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529" documentId="8_{E61C387B-F42F-4E9A-B188-332CD2521AD4}" xr6:coauthVersionLast="47" xr6:coauthVersionMax="47" xr10:uidLastSave="{A3E7D83F-1B0B-46BB-B936-C7AD9D142D20}"/>
  <bookViews>
    <workbookView xWindow="-120" yWindow="-120" windowWidth="29040" windowHeight="15720" activeTab="3" xr2:uid="{0041F827-F2F4-483B-B5D4-4E30860967B7}"/>
  </bookViews>
  <sheets>
    <sheet name="modelo_tese_H (2)" sheetId="6" r:id="rId1"/>
    <sheet name="Planilha1" sheetId="1" r:id="rId2"/>
    <sheet name="Planilha2" sheetId="5" r:id="rId3"/>
    <sheet name="parâmetros escolhidos" sheetId="7" r:id="rId4"/>
  </sheets>
  <definedNames>
    <definedName name="DadosExternos_1" localSheetId="0" hidden="1">'modelo_tese_H (2)'!$A$1:$AZ$501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N49" i="1"/>
  <c r="M45" i="1"/>
  <c r="M50" i="1"/>
  <c r="M49" i="1"/>
  <c r="M48" i="1"/>
  <c r="O33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O40" i="1"/>
  <c r="X3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O25" i="1"/>
  <c r="O13" i="1"/>
  <c r="J44" i="1"/>
  <c r="K44" i="1"/>
  <c r="J45" i="1"/>
  <c r="K45" i="1"/>
  <c r="J46" i="1"/>
  <c r="K46" i="1"/>
  <c r="L12" i="1"/>
  <c r="V12" i="1" s="1"/>
  <c r="L45" i="1"/>
  <c r="L44" i="1"/>
  <c r="I25" i="1"/>
  <c r="V3" i="1"/>
  <c r="V6" i="1"/>
  <c r="V7" i="1"/>
  <c r="V8" i="1"/>
  <c r="V9" i="1"/>
  <c r="V10" i="1"/>
  <c r="V11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7" i="1"/>
  <c r="V28" i="1"/>
  <c r="V29" i="1"/>
  <c r="V32" i="1"/>
  <c r="V38" i="1"/>
  <c r="V39" i="1"/>
  <c r="L42" i="1"/>
  <c r="L41" i="1"/>
  <c r="L38" i="1"/>
  <c r="L37" i="1"/>
  <c r="V37" i="1" s="1"/>
  <c r="L36" i="1"/>
  <c r="V36" i="1" s="1"/>
  <c r="L35" i="1"/>
  <c r="V35" i="1" s="1"/>
  <c r="L34" i="1"/>
  <c r="V34" i="1" s="1"/>
  <c r="L33" i="1"/>
  <c r="V33" i="1" s="1"/>
  <c r="L32" i="1"/>
  <c r="L31" i="1"/>
  <c r="V31" i="1" s="1"/>
  <c r="L30" i="1"/>
  <c r="V30" i="1" s="1"/>
  <c r="L29" i="1"/>
  <c r="L26" i="1"/>
  <c r="V26" i="1" s="1"/>
  <c r="U3" i="1"/>
  <c r="T3" i="1"/>
  <c r="U6" i="1"/>
  <c r="U7" i="1"/>
  <c r="U8" i="1"/>
  <c r="U9" i="1"/>
  <c r="U10" i="1"/>
  <c r="U11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W40" i="1"/>
  <c r="W39" i="1"/>
  <c r="T39" i="1"/>
  <c r="S40" i="1"/>
  <c r="S39" i="1"/>
  <c r="I42" i="1"/>
  <c r="S42" i="1" s="1"/>
  <c r="I55" i="1"/>
  <c r="K42" i="1"/>
  <c r="W42" i="1" s="1"/>
  <c r="J42" i="1"/>
  <c r="T6" i="1"/>
  <c r="T7" i="1"/>
  <c r="T8" i="1"/>
  <c r="T9" i="1"/>
  <c r="T10" i="1"/>
  <c r="T11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7" i="1"/>
  <c r="T28" i="1"/>
  <c r="T32" i="1"/>
  <c r="T38" i="1"/>
  <c r="K26" i="1"/>
  <c r="U26" i="1" s="1"/>
  <c r="J26" i="1"/>
  <c r="T26" i="1" s="1"/>
  <c r="K12" i="1"/>
  <c r="U12" i="1" s="1"/>
  <c r="J41" i="1"/>
  <c r="J38" i="1"/>
  <c r="J37" i="1"/>
  <c r="T37" i="1" s="1"/>
  <c r="J36" i="1"/>
  <c r="T36" i="1" s="1"/>
  <c r="J35" i="1"/>
  <c r="T35" i="1" s="1"/>
  <c r="J34" i="1"/>
  <c r="T34" i="1" s="1"/>
  <c r="J33" i="1"/>
  <c r="T33" i="1" s="1"/>
  <c r="J32" i="1"/>
  <c r="J31" i="1"/>
  <c r="T31" i="1" s="1"/>
  <c r="J30" i="1"/>
  <c r="T30" i="1" s="1"/>
  <c r="J29" i="1"/>
  <c r="T29" i="1" s="1"/>
  <c r="J12" i="1"/>
  <c r="T12" i="1" s="1"/>
  <c r="BD2" i="6"/>
  <c r="BD3" i="6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D143" i="6"/>
  <c r="BD144" i="6"/>
  <c r="BD145" i="6"/>
  <c r="BD146" i="6"/>
  <c r="BD147" i="6"/>
  <c r="BD148" i="6"/>
  <c r="BD149" i="6"/>
  <c r="BD150" i="6"/>
  <c r="BD151" i="6"/>
  <c r="BD152" i="6"/>
  <c r="BD153" i="6"/>
  <c r="BD154" i="6"/>
  <c r="BD155" i="6"/>
  <c r="BD156" i="6"/>
  <c r="BD157" i="6"/>
  <c r="BD158" i="6"/>
  <c r="BD159" i="6"/>
  <c r="BD160" i="6"/>
  <c r="BD161" i="6"/>
  <c r="BD162" i="6"/>
  <c r="BD163" i="6"/>
  <c r="BD164" i="6"/>
  <c r="BD165" i="6"/>
  <c r="BD166" i="6"/>
  <c r="BD167" i="6"/>
  <c r="BD168" i="6"/>
  <c r="BD169" i="6"/>
  <c r="BD170" i="6"/>
  <c r="BD171" i="6"/>
  <c r="BD172" i="6"/>
  <c r="BD173" i="6"/>
  <c r="BD174" i="6"/>
  <c r="BD175" i="6"/>
  <c r="BD176" i="6"/>
  <c r="BD177" i="6"/>
  <c r="BD178" i="6"/>
  <c r="BD179" i="6"/>
  <c r="BD180" i="6"/>
  <c r="BD181" i="6"/>
  <c r="BD182" i="6"/>
  <c r="BD183" i="6"/>
  <c r="BD184" i="6"/>
  <c r="BD185" i="6"/>
  <c r="BD186" i="6"/>
  <c r="BD187" i="6"/>
  <c r="BD188" i="6"/>
  <c r="BD189" i="6"/>
  <c r="BD190" i="6"/>
  <c r="BD191" i="6"/>
  <c r="BD192" i="6"/>
  <c r="BD193" i="6"/>
  <c r="BD194" i="6"/>
  <c r="BD195" i="6"/>
  <c r="BD196" i="6"/>
  <c r="BD197" i="6"/>
  <c r="BD198" i="6"/>
  <c r="BD199" i="6"/>
  <c r="BD200" i="6"/>
  <c r="BD201" i="6"/>
  <c r="BD202" i="6"/>
  <c r="BD203" i="6"/>
  <c r="BD204" i="6"/>
  <c r="BD205" i="6"/>
  <c r="BD206" i="6"/>
  <c r="BD207" i="6"/>
  <c r="BD208" i="6"/>
  <c r="BD209" i="6"/>
  <c r="BD210" i="6"/>
  <c r="BD211" i="6"/>
  <c r="BD212" i="6"/>
  <c r="BD213" i="6"/>
  <c r="BD214" i="6"/>
  <c r="BD215" i="6"/>
  <c r="BD216" i="6"/>
  <c r="BD217" i="6"/>
  <c r="BD218" i="6"/>
  <c r="BD219" i="6"/>
  <c r="BD220" i="6"/>
  <c r="BD221" i="6"/>
  <c r="BD222" i="6"/>
  <c r="BD223" i="6"/>
  <c r="BD224" i="6"/>
  <c r="BD225" i="6"/>
  <c r="BD226" i="6"/>
  <c r="BD227" i="6"/>
  <c r="BD228" i="6"/>
  <c r="BD229" i="6"/>
  <c r="BD230" i="6"/>
  <c r="BD231" i="6"/>
  <c r="BD232" i="6"/>
  <c r="BD233" i="6"/>
  <c r="BD234" i="6"/>
  <c r="BD235" i="6"/>
  <c r="BD236" i="6"/>
  <c r="BD237" i="6"/>
  <c r="BD238" i="6"/>
  <c r="BD239" i="6"/>
  <c r="BD240" i="6"/>
  <c r="BD241" i="6"/>
  <c r="BD242" i="6"/>
  <c r="BD243" i="6"/>
  <c r="BD244" i="6"/>
  <c r="BD245" i="6"/>
  <c r="BD246" i="6"/>
  <c r="BD247" i="6"/>
  <c r="BD248" i="6"/>
  <c r="BD249" i="6"/>
  <c r="BD250" i="6"/>
  <c r="BD251" i="6"/>
  <c r="BD252" i="6"/>
  <c r="BD253" i="6"/>
  <c r="BD254" i="6"/>
  <c r="BD255" i="6"/>
  <c r="BD256" i="6"/>
  <c r="BD257" i="6"/>
  <c r="BD258" i="6"/>
  <c r="BD259" i="6"/>
  <c r="BD260" i="6"/>
  <c r="BD261" i="6"/>
  <c r="BD262" i="6"/>
  <c r="BD263" i="6"/>
  <c r="BD264" i="6"/>
  <c r="BD265" i="6"/>
  <c r="BD266" i="6"/>
  <c r="BD267" i="6"/>
  <c r="BD268" i="6"/>
  <c r="BD269" i="6"/>
  <c r="BD270" i="6"/>
  <c r="BD271" i="6"/>
  <c r="BD272" i="6"/>
  <c r="BD273" i="6"/>
  <c r="BD274" i="6"/>
  <c r="BD275" i="6"/>
  <c r="BD276" i="6"/>
  <c r="BD277" i="6"/>
  <c r="BD278" i="6"/>
  <c r="BD279" i="6"/>
  <c r="BD280" i="6"/>
  <c r="BD281" i="6"/>
  <c r="BD282" i="6"/>
  <c r="BD283" i="6"/>
  <c r="BD284" i="6"/>
  <c r="BD285" i="6"/>
  <c r="BD286" i="6"/>
  <c r="BD287" i="6"/>
  <c r="BD288" i="6"/>
  <c r="BD289" i="6"/>
  <c r="BD290" i="6"/>
  <c r="BD291" i="6"/>
  <c r="BD292" i="6"/>
  <c r="BD293" i="6"/>
  <c r="BD294" i="6"/>
  <c r="BD295" i="6"/>
  <c r="BD296" i="6"/>
  <c r="BD297" i="6"/>
  <c r="BD298" i="6"/>
  <c r="BD299" i="6"/>
  <c r="BD300" i="6"/>
  <c r="BD301" i="6"/>
  <c r="BD302" i="6"/>
  <c r="BD303" i="6"/>
  <c r="BD304" i="6"/>
  <c r="BD305" i="6"/>
  <c r="BD306" i="6"/>
  <c r="BD307" i="6"/>
  <c r="BD308" i="6"/>
  <c r="BD309" i="6"/>
  <c r="BD310" i="6"/>
  <c r="BD311" i="6"/>
  <c r="BD312" i="6"/>
  <c r="BD313" i="6"/>
  <c r="BD314" i="6"/>
  <c r="BD315" i="6"/>
  <c r="BD316" i="6"/>
  <c r="BD317" i="6"/>
  <c r="BD318" i="6"/>
  <c r="BD319" i="6"/>
  <c r="BD320" i="6"/>
  <c r="BD321" i="6"/>
  <c r="BD322" i="6"/>
  <c r="BD323" i="6"/>
  <c r="BD324" i="6"/>
  <c r="BD325" i="6"/>
  <c r="BD326" i="6"/>
  <c r="BD327" i="6"/>
  <c r="BD328" i="6"/>
  <c r="BD329" i="6"/>
  <c r="BD330" i="6"/>
  <c r="BD331" i="6"/>
  <c r="BD332" i="6"/>
  <c r="BD333" i="6"/>
  <c r="BD334" i="6"/>
  <c r="BD335" i="6"/>
  <c r="BD336" i="6"/>
  <c r="BD337" i="6"/>
  <c r="BD338" i="6"/>
  <c r="BD339" i="6"/>
  <c r="BD340" i="6"/>
  <c r="BD341" i="6"/>
  <c r="BD342" i="6"/>
  <c r="BD343" i="6"/>
  <c r="BD344" i="6"/>
  <c r="BD345" i="6"/>
  <c r="BD346" i="6"/>
  <c r="BD347" i="6"/>
  <c r="BD348" i="6"/>
  <c r="BD349" i="6"/>
  <c r="BD350" i="6"/>
  <c r="BD351" i="6"/>
  <c r="BD352" i="6"/>
  <c r="BD353" i="6"/>
  <c r="BD354" i="6"/>
  <c r="BD355" i="6"/>
  <c r="BD356" i="6"/>
  <c r="BD357" i="6"/>
  <c r="BD358" i="6"/>
  <c r="BD359" i="6"/>
  <c r="BD360" i="6"/>
  <c r="BD361" i="6"/>
  <c r="BD362" i="6"/>
  <c r="BD363" i="6"/>
  <c r="BD364" i="6"/>
  <c r="BD365" i="6"/>
  <c r="BD366" i="6"/>
  <c r="BD367" i="6"/>
  <c r="BD368" i="6"/>
  <c r="BD369" i="6"/>
  <c r="BD370" i="6"/>
  <c r="BD371" i="6"/>
  <c r="BD372" i="6"/>
  <c r="BD373" i="6"/>
  <c r="BD374" i="6"/>
  <c r="BD375" i="6"/>
  <c r="BD376" i="6"/>
  <c r="BD377" i="6"/>
  <c r="BD378" i="6"/>
  <c r="BD379" i="6"/>
  <c r="BD380" i="6"/>
  <c r="BD381" i="6"/>
  <c r="BD382" i="6"/>
  <c r="BD383" i="6"/>
  <c r="BD384" i="6"/>
  <c r="BD385" i="6"/>
  <c r="BD386" i="6"/>
  <c r="BD387" i="6"/>
  <c r="BD388" i="6"/>
  <c r="BD389" i="6"/>
  <c r="BD390" i="6"/>
  <c r="BD391" i="6"/>
  <c r="BD392" i="6"/>
  <c r="BD393" i="6"/>
  <c r="BD394" i="6"/>
  <c r="BD395" i="6"/>
  <c r="BD396" i="6"/>
  <c r="BD397" i="6"/>
  <c r="BD398" i="6"/>
  <c r="BD399" i="6"/>
  <c r="BD400" i="6"/>
  <c r="BD401" i="6"/>
  <c r="BD402" i="6"/>
  <c r="BD403" i="6"/>
  <c r="BD404" i="6"/>
  <c r="BD405" i="6"/>
  <c r="BD406" i="6"/>
  <c r="BD407" i="6"/>
  <c r="BD408" i="6"/>
  <c r="BD409" i="6"/>
  <c r="BD410" i="6"/>
  <c r="BD411" i="6"/>
  <c r="BD412" i="6"/>
  <c r="BD413" i="6"/>
  <c r="BD414" i="6"/>
  <c r="BD415" i="6"/>
  <c r="BD416" i="6"/>
  <c r="BD417" i="6"/>
  <c r="BD418" i="6"/>
  <c r="BD419" i="6"/>
  <c r="BD420" i="6"/>
  <c r="BD421" i="6"/>
  <c r="BD422" i="6"/>
  <c r="BD423" i="6"/>
  <c r="BD424" i="6"/>
  <c r="BD425" i="6"/>
  <c r="BD426" i="6"/>
  <c r="BD427" i="6"/>
  <c r="BD428" i="6"/>
  <c r="BD429" i="6"/>
  <c r="BD430" i="6"/>
  <c r="BD431" i="6"/>
  <c r="BD432" i="6"/>
  <c r="BD433" i="6"/>
  <c r="BD434" i="6"/>
  <c r="BD435" i="6"/>
  <c r="BD436" i="6"/>
  <c r="BD437" i="6"/>
  <c r="BD438" i="6"/>
  <c r="BD439" i="6"/>
  <c r="BD440" i="6"/>
  <c r="BD441" i="6"/>
  <c r="BD442" i="6"/>
  <c r="BD443" i="6"/>
  <c r="BD444" i="6"/>
  <c r="BD445" i="6"/>
  <c r="BD446" i="6"/>
  <c r="BD447" i="6"/>
  <c r="BD448" i="6"/>
  <c r="BD449" i="6"/>
  <c r="BD450" i="6"/>
  <c r="BD451" i="6"/>
  <c r="BD452" i="6"/>
  <c r="BD453" i="6"/>
  <c r="BD454" i="6"/>
  <c r="BD455" i="6"/>
  <c r="BD456" i="6"/>
  <c r="BD457" i="6"/>
  <c r="BD458" i="6"/>
  <c r="BD459" i="6"/>
  <c r="BD460" i="6"/>
  <c r="BD461" i="6"/>
  <c r="BD462" i="6"/>
  <c r="BD463" i="6"/>
  <c r="BD464" i="6"/>
  <c r="BD465" i="6"/>
  <c r="BD466" i="6"/>
  <c r="BD467" i="6"/>
  <c r="BD468" i="6"/>
  <c r="BD469" i="6"/>
  <c r="BD470" i="6"/>
  <c r="BD471" i="6"/>
  <c r="BD472" i="6"/>
  <c r="BD473" i="6"/>
  <c r="BD474" i="6"/>
  <c r="BD475" i="6"/>
  <c r="BD476" i="6"/>
  <c r="BD477" i="6"/>
  <c r="BD478" i="6"/>
  <c r="BD479" i="6"/>
  <c r="BD480" i="6"/>
  <c r="BD481" i="6"/>
  <c r="BD482" i="6"/>
  <c r="BD483" i="6"/>
  <c r="BD484" i="6"/>
  <c r="BD485" i="6"/>
  <c r="BD486" i="6"/>
  <c r="BD487" i="6"/>
  <c r="BD488" i="6"/>
  <c r="BD489" i="6"/>
  <c r="BD490" i="6"/>
  <c r="BD491" i="6"/>
  <c r="BD492" i="6"/>
  <c r="BD493" i="6"/>
  <c r="BD494" i="6"/>
  <c r="BD495" i="6"/>
  <c r="BD496" i="6"/>
  <c r="BD497" i="6"/>
  <c r="BD498" i="6"/>
  <c r="BD499" i="6"/>
  <c r="BD500" i="6"/>
  <c r="BD501" i="6"/>
  <c r="BC22" i="6"/>
  <c r="BC23" i="6"/>
  <c r="BC24" i="6"/>
  <c r="BC43" i="6"/>
  <c r="BC59" i="6"/>
  <c r="BC68" i="6"/>
  <c r="BC70" i="6"/>
  <c r="BC71" i="6"/>
  <c r="BC108" i="6"/>
  <c r="BC131" i="6"/>
  <c r="BC156" i="6"/>
  <c r="BC157" i="6"/>
  <c r="BC160" i="6"/>
  <c r="BC161" i="6"/>
  <c r="BC214" i="6"/>
  <c r="BC215" i="6"/>
  <c r="BC239" i="6"/>
  <c r="BC247" i="6"/>
  <c r="BC275" i="6"/>
  <c r="BC286" i="6"/>
  <c r="BC288" i="6"/>
  <c r="BC322" i="6"/>
  <c r="BC323" i="6"/>
  <c r="BC324" i="6"/>
  <c r="BC325" i="6"/>
  <c r="BC337" i="6"/>
  <c r="BC358" i="6"/>
  <c r="BC359" i="6"/>
  <c r="BC360" i="6"/>
  <c r="BC384" i="6"/>
  <c r="BC385" i="6"/>
  <c r="BC387" i="6"/>
  <c r="BC388" i="6"/>
  <c r="BC419" i="6"/>
  <c r="BC424" i="6"/>
  <c r="BC425" i="6"/>
  <c r="BC464" i="6"/>
  <c r="BC465" i="6"/>
  <c r="BC466" i="6"/>
  <c r="BC467" i="6"/>
  <c r="BC468" i="6"/>
  <c r="BC491" i="6"/>
  <c r="BC492" i="6"/>
  <c r="BC493" i="6"/>
  <c r="BC495" i="6"/>
  <c r="BC496" i="6"/>
  <c r="BC497" i="6"/>
  <c r="BB34" i="6"/>
  <c r="BC34" i="6" s="1"/>
  <c r="BB44" i="6"/>
  <c r="BC44" i="6" s="1"/>
  <c r="BB46" i="6"/>
  <c r="BC46" i="6" s="1"/>
  <c r="BB47" i="6"/>
  <c r="BC47" i="6" s="1"/>
  <c r="BB48" i="6"/>
  <c r="BC48" i="6" s="1"/>
  <c r="BB49" i="6"/>
  <c r="BC49" i="6" s="1"/>
  <c r="BB67" i="6"/>
  <c r="BC67" i="6" s="1"/>
  <c r="BB82" i="6"/>
  <c r="BC82" i="6" s="1"/>
  <c r="BB94" i="6"/>
  <c r="BC94" i="6" s="1"/>
  <c r="BB95" i="6"/>
  <c r="BC95" i="6" s="1"/>
  <c r="BB96" i="6"/>
  <c r="BC96" i="6" s="1"/>
  <c r="BB97" i="6"/>
  <c r="BC97" i="6" s="1"/>
  <c r="BB130" i="6"/>
  <c r="BC130" i="6" s="1"/>
  <c r="BB142" i="6"/>
  <c r="BC142" i="6" s="1"/>
  <c r="BB143" i="6"/>
  <c r="BC143" i="6" s="1"/>
  <c r="BB144" i="6"/>
  <c r="BC144" i="6" s="1"/>
  <c r="BB145" i="6"/>
  <c r="BC145" i="6" s="1"/>
  <c r="BB154" i="6"/>
  <c r="BC154" i="6" s="1"/>
  <c r="BB175" i="6"/>
  <c r="BC175" i="6" s="1"/>
  <c r="BB176" i="6"/>
  <c r="BC176" i="6" s="1"/>
  <c r="BB178" i="6"/>
  <c r="BC178" i="6" s="1"/>
  <c r="BB202" i="6"/>
  <c r="BC202" i="6" s="1"/>
  <c r="BB203" i="6"/>
  <c r="BC203" i="6" s="1"/>
  <c r="BB204" i="6"/>
  <c r="BC204" i="6" s="1"/>
  <c r="BB205" i="6"/>
  <c r="BC205" i="6" s="1"/>
  <c r="BB226" i="6"/>
  <c r="BC226" i="6" s="1"/>
  <c r="BB238" i="6"/>
  <c r="BC238" i="6" s="1"/>
  <c r="BB240" i="6"/>
  <c r="BC240" i="6" s="1"/>
  <c r="BB274" i="6"/>
  <c r="BC274" i="6" s="1"/>
  <c r="BB283" i="6"/>
  <c r="BC283" i="6" s="1"/>
  <c r="BB284" i="6"/>
  <c r="BC284" i="6" s="1"/>
  <c r="BB286" i="6"/>
  <c r="BB287" i="6"/>
  <c r="BC287" i="6" s="1"/>
  <c r="BB289" i="6"/>
  <c r="BC289" i="6" s="1"/>
  <c r="BB298" i="6"/>
  <c r="BC298" i="6" s="1"/>
  <c r="BB322" i="6"/>
  <c r="BB334" i="6"/>
  <c r="BC334" i="6" s="1"/>
  <c r="BB335" i="6"/>
  <c r="BC335" i="6" s="1"/>
  <c r="BB336" i="6"/>
  <c r="BC336" i="6" s="1"/>
  <c r="BB343" i="6"/>
  <c r="BC343" i="6" s="1"/>
  <c r="BB344" i="6"/>
  <c r="BC344" i="6" s="1"/>
  <c r="BB346" i="6"/>
  <c r="BC346" i="6" s="1"/>
  <c r="BB379" i="6"/>
  <c r="BC379" i="6" s="1"/>
  <c r="BB380" i="6"/>
  <c r="BC380" i="6" s="1"/>
  <c r="BB381" i="6"/>
  <c r="BC381" i="6" s="1"/>
  <c r="BB382" i="6"/>
  <c r="BC382" i="6" s="1"/>
  <c r="BB384" i="6"/>
  <c r="BB385" i="6"/>
  <c r="BB394" i="6"/>
  <c r="BC394" i="6" s="1"/>
  <c r="BB395" i="6"/>
  <c r="BC395" i="6" s="1"/>
  <c r="BB396" i="6"/>
  <c r="BC396" i="6" s="1"/>
  <c r="BB430" i="6"/>
  <c r="BC430" i="6" s="1"/>
  <c r="BB431" i="6"/>
  <c r="BC431" i="6" s="1"/>
  <c r="BB432" i="6"/>
  <c r="BC432" i="6" s="1"/>
  <c r="BB442" i="6"/>
  <c r="BC442" i="6" s="1"/>
  <c r="BB443" i="6"/>
  <c r="BC443" i="6" s="1"/>
  <c r="BB444" i="6"/>
  <c r="BC444" i="6" s="1"/>
  <c r="BB445" i="6"/>
  <c r="BC445" i="6" s="1"/>
  <c r="BB478" i="6"/>
  <c r="BC478" i="6" s="1"/>
  <c r="BB489" i="6"/>
  <c r="BC489" i="6" s="1"/>
  <c r="BB490" i="6"/>
  <c r="BC490" i="6" s="1"/>
  <c r="BB491" i="6"/>
  <c r="BB492" i="6"/>
  <c r="BA2" i="6"/>
  <c r="BB2" i="6" s="1"/>
  <c r="BC2" i="6" s="1"/>
  <c r="BA3" i="6"/>
  <c r="BB3" i="6" s="1"/>
  <c r="BC3" i="6" s="1"/>
  <c r="BA4" i="6"/>
  <c r="BB4" i="6" s="1"/>
  <c r="BC4" i="6" s="1"/>
  <c r="BA5" i="6"/>
  <c r="BB5" i="6" s="1"/>
  <c r="BC5" i="6" s="1"/>
  <c r="BA6" i="6"/>
  <c r="BB6" i="6" s="1"/>
  <c r="BC6" i="6" s="1"/>
  <c r="BA7" i="6"/>
  <c r="BB7" i="6" s="1"/>
  <c r="BC7" i="6" s="1"/>
  <c r="BA8" i="6"/>
  <c r="BB8" i="6" s="1"/>
  <c r="BC8" i="6" s="1"/>
  <c r="BA9" i="6"/>
  <c r="BB9" i="6" s="1"/>
  <c r="BC9" i="6" s="1"/>
  <c r="BA10" i="6"/>
  <c r="BB10" i="6" s="1"/>
  <c r="BC10" i="6" s="1"/>
  <c r="BA11" i="6"/>
  <c r="BB11" i="6" s="1"/>
  <c r="BC11" i="6" s="1"/>
  <c r="BA12" i="6"/>
  <c r="BB12" i="6" s="1"/>
  <c r="BC12" i="6" s="1"/>
  <c r="BA13" i="6"/>
  <c r="BB13" i="6" s="1"/>
  <c r="BC13" i="6" s="1"/>
  <c r="BA14" i="6"/>
  <c r="BB14" i="6" s="1"/>
  <c r="BC14" i="6" s="1"/>
  <c r="BA15" i="6"/>
  <c r="BB15" i="6" s="1"/>
  <c r="BC15" i="6" s="1"/>
  <c r="BA16" i="6"/>
  <c r="BB16" i="6" s="1"/>
  <c r="BC16" i="6" s="1"/>
  <c r="BA17" i="6"/>
  <c r="BB17" i="6" s="1"/>
  <c r="BC17" i="6" s="1"/>
  <c r="BA18" i="6"/>
  <c r="BB18" i="6" s="1"/>
  <c r="BC18" i="6" s="1"/>
  <c r="BA19" i="6"/>
  <c r="BB19" i="6" s="1"/>
  <c r="BC19" i="6" s="1"/>
  <c r="BA20" i="6"/>
  <c r="BB20" i="6" s="1"/>
  <c r="BC20" i="6" s="1"/>
  <c r="BA21" i="6"/>
  <c r="BB21" i="6" s="1"/>
  <c r="BC21" i="6" s="1"/>
  <c r="BA22" i="6"/>
  <c r="BB22" i="6" s="1"/>
  <c r="BA23" i="6"/>
  <c r="BB23" i="6" s="1"/>
  <c r="BA24" i="6"/>
  <c r="BB24" i="6" s="1"/>
  <c r="BA25" i="6"/>
  <c r="BB25" i="6" s="1"/>
  <c r="BC25" i="6" s="1"/>
  <c r="BA26" i="6"/>
  <c r="BB26" i="6" s="1"/>
  <c r="BC26" i="6" s="1"/>
  <c r="BA27" i="6"/>
  <c r="BB27" i="6" s="1"/>
  <c r="BC27" i="6" s="1"/>
  <c r="BA28" i="6"/>
  <c r="BB28" i="6" s="1"/>
  <c r="BC28" i="6" s="1"/>
  <c r="BA29" i="6"/>
  <c r="BB29" i="6" s="1"/>
  <c r="BC29" i="6" s="1"/>
  <c r="BA30" i="6"/>
  <c r="BB30" i="6" s="1"/>
  <c r="BC30" i="6" s="1"/>
  <c r="BA31" i="6"/>
  <c r="BB31" i="6" s="1"/>
  <c r="BC31" i="6" s="1"/>
  <c r="BA32" i="6"/>
  <c r="BB32" i="6" s="1"/>
  <c r="BC32" i="6" s="1"/>
  <c r="BA33" i="6"/>
  <c r="BB33" i="6" s="1"/>
  <c r="BC33" i="6" s="1"/>
  <c r="BA34" i="6"/>
  <c r="BA35" i="6"/>
  <c r="BB35" i="6" s="1"/>
  <c r="BC35" i="6" s="1"/>
  <c r="BA36" i="6"/>
  <c r="BB36" i="6" s="1"/>
  <c r="BC36" i="6" s="1"/>
  <c r="BA37" i="6"/>
  <c r="BB37" i="6" s="1"/>
  <c r="BC37" i="6" s="1"/>
  <c r="BA38" i="6"/>
  <c r="BB38" i="6" s="1"/>
  <c r="BC38" i="6" s="1"/>
  <c r="BA39" i="6"/>
  <c r="BB39" i="6" s="1"/>
  <c r="BC39" i="6" s="1"/>
  <c r="BA40" i="6"/>
  <c r="BB40" i="6" s="1"/>
  <c r="BC40" i="6" s="1"/>
  <c r="BA41" i="6"/>
  <c r="BB41" i="6" s="1"/>
  <c r="BC41" i="6" s="1"/>
  <c r="BA42" i="6"/>
  <c r="BB42" i="6" s="1"/>
  <c r="BC42" i="6" s="1"/>
  <c r="BA43" i="6"/>
  <c r="BB43" i="6" s="1"/>
  <c r="BA44" i="6"/>
  <c r="BA45" i="6"/>
  <c r="BB45" i="6" s="1"/>
  <c r="BC45" i="6" s="1"/>
  <c r="BA46" i="6"/>
  <c r="BA47" i="6"/>
  <c r="BA48" i="6"/>
  <c r="BA49" i="6"/>
  <c r="BA50" i="6"/>
  <c r="BB50" i="6" s="1"/>
  <c r="BC50" i="6" s="1"/>
  <c r="BA51" i="6"/>
  <c r="BB51" i="6" s="1"/>
  <c r="BC51" i="6" s="1"/>
  <c r="BA52" i="6"/>
  <c r="BB52" i="6" s="1"/>
  <c r="BC52" i="6" s="1"/>
  <c r="BA53" i="6"/>
  <c r="BB53" i="6" s="1"/>
  <c r="BC53" i="6" s="1"/>
  <c r="BA54" i="6"/>
  <c r="BB54" i="6" s="1"/>
  <c r="BC54" i="6" s="1"/>
  <c r="BA55" i="6"/>
  <c r="BB55" i="6" s="1"/>
  <c r="BC55" i="6" s="1"/>
  <c r="BA56" i="6"/>
  <c r="BB56" i="6" s="1"/>
  <c r="BC56" i="6" s="1"/>
  <c r="BA57" i="6"/>
  <c r="BB57" i="6" s="1"/>
  <c r="BC57" i="6" s="1"/>
  <c r="BA58" i="6"/>
  <c r="BB58" i="6" s="1"/>
  <c r="BC58" i="6" s="1"/>
  <c r="BA59" i="6"/>
  <c r="BB59" i="6" s="1"/>
  <c r="BA60" i="6"/>
  <c r="BB60" i="6" s="1"/>
  <c r="BC60" i="6" s="1"/>
  <c r="BA61" i="6"/>
  <c r="BB61" i="6" s="1"/>
  <c r="BC61" i="6" s="1"/>
  <c r="BA62" i="6"/>
  <c r="BB62" i="6" s="1"/>
  <c r="BC62" i="6" s="1"/>
  <c r="BA63" i="6"/>
  <c r="BB63" i="6" s="1"/>
  <c r="BC63" i="6" s="1"/>
  <c r="BA64" i="6"/>
  <c r="BB64" i="6" s="1"/>
  <c r="BC64" i="6" s="1"/>
  <c r="BA65" i="6"/>
  <c r="BB65" i="6" s="1"/>
  <c r="BC65" i="6" s="1"/>
  <c r="BA66" i="6"/>
  <c r="BB66" i="6" s="1"/>
  <c r="BC66" i="6" s="1"/>
  <c r="BA67" i="6"/>
  <c r="BA68" i="6"/>
  <c r="BB68" i="6" s="1"/>
  <c r="BA69" i="6"/>
  <c r="BB69" i="6" s="1"/>
  <c r="BC69" i="6" s="1"/>
  <c r="BA70" i="6"/>
  <c r="BB70" i="6" s="1"/>
  <c r="BA71" i="6"/>
  <c r="BB71" i="6" s="1"/>
  <c r="BA72" i="6"/>
  <c r="BB72" i="6" s="1"/>
  <c r="BC72" i="6" s="1"/>
  <c r="BA73" i="6"/>
  <c r="BB73" i="6" s="1"/>
  <c r="BC73" i="6" s="1"/>
  <c r="BA74" i="6"/>
  <c r="BB74" i="6" s="1"/>
  <c r="BC74" i="6" s="1"/>
  <c r="BA75" i="6"/>
  <c r="BB75" i="6" s="1"/>
  <c r="BC75" i="6" s="1"/>
  <c r="BA76" i="6"/>
  <c r="BB76" i="6" s="1"/>
  <c r="BC76" i="6" s="1"/>
  <c r="BA77" i="6"/>
  <c r="BB77" i="6" s="1"/>
  <c r="BC77" i="6" s="1"/>
  <c r="BA78" i="6"/>
  <c r="BB78" i="6" s="1"/>
  <c r="BC78" i="6" s="1"/>
  <c r="BA79" i="6"/>
  <c r="BB79" i="6" s="1"/>
  <c r="BC79" i="6" s="1"/>
  <c r="BA80" i="6"/>
  <c r="BB80" i="6" s="1"/>
  <c r="BC80" i="6" s="1"/>
  <c r="BA81" i="6"/>
  <c r="BB81" i="6" s="1"/>
  <c r="BC81" i="6" s="1"/>
  <c r="BA82" i="6"/>
  <c r="BA83" i="6"/>
  <c r="BB83" i="6" s="1"/>
  <c r="BC83" i="6" s="1"/>
  <c r="BA84" i="6"/>
  <c r="BB84" i="6" s="1"/>
  <c r="BC84" i="6" s="1"/>
  <c r="BA85" i="6"/>
  <c r="BB85" i="6" s="1"/>
  <c r="BC85" i="6" s="1"/>
  <c r="BA86" i="6"/>
  <c r="BB86" i="6" s="1"/>
  <c r="BC86" i="6" s="1"/>
  <c r="BA87" i="6"/>
  <c r="BB87" i="6" s="1"/>
  <c r="BC87" i="6" s="1"/>
  <c r="BA88" i="6"/>
  <c r="BB88" i="6" s="1"/>
  <c r="BC88" i="6" s="1"/>
  <c r="BA89" i="6"/>
  <c r="BB89" i="6" s="1"/>
  <c r="BC89" i="6" s="1"/>
  <c r="BA90" i="6"/>
  <c r="BB90" i="6" s="1"/>
  <c r="BC90" i="6" s="1"/>
  <c r="BA91" i="6"/>
  <c r="BB91" i="6" s="1"/>
  <c r="BC91" i="6" s="1"/>
  <c r="BA92" i="6"/>
  <c r="BB92" i="6" s="1"/>
  <c r="BC92" i="6" s="1"/>
  <c r="BA93" i="6"/>
  <c r="BB93" i="6" s="1"/>
  <c r="BC93" i="6" s="1"/>
  <c r="BA94" i="6"/>
  <c r="BA95" i="6"/>
  <c r="BA96" i="6"/>
  <c r="BA97" i="6"/>
  <c r="BA98" i="6"/>
  <c r="BB98" i="6" s="1"/>
  <c r="BC98" i="6" s="1"/>
  <c r="BA99" i="6"/>
  <c r="BB99" i="6" s="1"/>
  <c r="BC99" i="6" s="1"/>
  <c r="BA100" i="6"/>
  <c r="BB100" i="6" s="1"/>
  <c r="BC100" i="6" s="1"/>
  <c r="BA101" i="6"/>
  <c r="BB101" i="6" s="1"/>
  <c r="BC101" i="6" s="1"/>
  <c r="BA102" i="6"/>
  <c r="BB102" i="6" s="1"/>
  <c r="BC102" i="6" s="1"/>
  <c r="BA103" i="6"/>
  <c r="BB103" i="6" s="1"/>
  <c r="BC103" i="6" s="1"/>
  <c r="BA104" i="6"/>
  <c r="BB104" i="6" s="1"/>
  <c r="BC104" i="6" s="1"/>
  <c r="BA105" i="6"/>
  <c r="BB105" i="6" s="1"/>
  <c r="BC105" i="6" s="1"/>
  <c r="BA106" i="6"/>
  <c r="BB106" i="6" s="1"/>
  <c r="BC106" i="6" s="1"/>
  <c r="BA107" i="6"/>
  <c r="BB107" i="6" s="1"/>
  <c r="BC107" i="6" s="1"/>
  <c r="BA108" i="6"/>
  <c r="BB108" i="6" s="1"/>
  <c r="BA109" i="6"/>
  <c r="BB109" i="6" s="1"/>
  <c r="BC109" i="6" s="1"/>
  <c r="BA110" i="6"/>
  <c r="BB110" i="6" s="1"/>
  <c r="BC110" i="6" s="1"/>
  <c r="BA111" i="6"/>
  <c r="BB111" i="6" s="1"/>
  <c r="BC111" i="6" s="1"/>
  <c r="BA112" i="6"/>
  <c r="BB112" i="6" s="1"/>
  <c r="BC112" i="6" s="1"/>
  <c r="BA113" i="6"/>
  <c r="BB113" i="6" s="1"/>
  <c r="BC113" i="6" s="1"/>
  <c r="BA114" i="6"/>
  <c r="BB114" i="6" s="1"/>
  <c r="BC114" i="6" s="1"/>
  <c r="BA115" i="6"/>
  <c r="BB115" i="6" s="1"/>
  <c r="BC115" i="6" s="1"/>
  <c r="BA116" i="6"/>
  <c r="BB116" i="6" s="1"/>
  <c r="BC116" i="6" s="1"/>
  <c r="BA117" i="6"/>
  <c r="BB117" i="6" s="1"/>
  <c r="BC117" i="6" s="1"/>
  <c r="BA118" i="6"/>
  <c r="BB118" i="6" s="1"/>
  <c r="BC118" i="6" s="1"/>
  <c r="BA119" i="6"/>
  <c r="BB119" i="6" s="1"/>
  <c r="BC119" i="6" s="1"/>
  <c r="BA120" i="6"/>
  <c r="BB120" i="6" s="1"/>
  <c r="BC120" i="6" s="1"/>
  <c r="BA121" i="6"/>
  <c r="BB121" i="6" s="1"/>
  <c r="BC121" i="6" s="1"/>
  <c r="BA122" i="6"/>
  <c r="BB122" i="6" s="1"/>
  <c r="BC122" i="6" s="1"/>
  <c r="BA123" i="6"/>
  <c r="BB123" i="6" s="1"/>
  <c r="BC123" i="6" s="1"/>
  <c r="BA124" i="6"/>
  <c r="BB124" i="6" s="1"/>
  <c r="BC124" i="6" s="1"/>
  <c r="BA125" i="6"/>
  <c r="BB125" i="6" s="1"/>
  <c r="BC125" i="6" s="1"/>
  <c r="BA126" i="6"/>
  <c r="BB126" i="6" s="1"/>
  <c r="BC126" i="6" s="1"/>
  <c r="BA127" i="6"/>
  <c r="BB127" i="6" s="1"/>
  <c r="BC127" i="6" s="1"/>
  <c r="BA128" i="6"/>
  <c r="BB128" i="6" s="1"/>
  <c r="BC128" i="6" s="1"/>
  <c r="BA129" i="6"/>
  <c r="BB129" i="6" s="1"/>
  <c r="BC129" i="6" s="1"/>
  <c r="BA130" i="6"/>
  <c r="BA131" i="6"/>
  <c r="BB131" i="6" s="1"/>
  <c r="BA132" i="6"/>
  <c r="BB132" i="6" s="1"/>
  <c r="BC132" i="6" s="1"/>
  <c r="BA133" i="6"/>
  <c r="BB133" i="6" s="1"/>
  <c r="BC133" i="6" s="1"/>
  <c r="BA134" i="6"/>
  <c r="BB134" i="6" s="1"/>
  <c r="BC134" i="6" s="1"/>
  <c r="BA135" i="6"/>
  <c r="BB135" i="6" s="1"/>
  <c r="BC135" i="6" s="1"/>
  <c r="BA136" i="6"/>
  <c r="BB136" i="6" s="1"/>
  <c r="BC136" i="6" s="1"/>
  <c r="BA137" i="6"/>
  <c r="BB137" i="6" s="1"/>
  <c r="BC137" i="6" s="1"/>
  <c r="BA138" i="6"/>
  <c r="BB138" i="6" s="1"/>
  <c r="BC138" i="6" s="1"/>
  <c r="BA139" i="6"/>
  <c r="BB139" i="6" s="1"/>
  <c r="BC139" i="6" s="1"/>
  <c r="BA140" i="6"/>
  <c r="BB140" i="6" s="1"/>
  <c r="BC140" i="6" s="1"/>
  <c r="BA141" i="6"/>
  <c r="BB141" i="6" s="1"/>
  <c r="BC141" i="6" s="1"/>
  <c r="BA142" i="6"/>
  <c r="BA143" i="6"/>
  <c r="BA144" i="6"/>
  <c r="BA145" i="6"/>
  <c r="BA146" i="6"/>
  <c r="BB146" i="6" s="1"/>
  <c r="BC146" i="6" s="1"/>
  <c r="BA147" i="6"/>
  <c r="BB147" i="6" s="1"/>
  <c r="BC147" i="6" s="1"/>
  <c r="BA148" i="6"/>
  <c r="BB148" i="6" s="1"/>
  <c r="BC148" i="6" s="1"/>
  <c r="BA149" i="6"/>
  <c r="BB149" i="6" s="1"/>
  <c r="BC149" i="6" s="1"/>
  <c r="BA150" i="6"/>
  <c r="BB150" i="6" s="1"/>
  <c r="BC150" i="6" s="1"/>
  <c r="BA151" i="6"/>
  <c r="BB151" i="6" s="1"/>
  <c r="BC151" i="6" s="1"/>
  <c r="BA152" i="6"/>
  <c r="BB152" i="6" s="1"/>
  <c r="BC152" i="6" s="1"/>
  <c r="BA153" i="6"/>
  <c r="BB153" i="6" s="1"/>
  <c r="BC153" i="6" s="1"/>
  <c r="BA154" i="6"/>
  <c r="BA155" i="6"/>
  <c r="BB155" i="6" s="1"/>
  <c r="BC155" i="6" s="1"/>
  <c r="BA156" i="6"/>
  <c r="BB156" i="6" s="1"/>
  <c r="BA157" i="6"/>
  <c r="BB157" i="6" s="1"/>
  <c r="BA158" i="6"/>
  <c r="BB158" i="6" s="1"/>
  <c r="BC158" i="6" s="1"/>
  <c r="BA159" i="6"/>
  <c r="BB159" i="6" s="1"/>
  <c r="BC159" i="6" s="1"/>
  <c r="BA160" i="6"/>
  <c r="BB160" i="6" s="1"/>
  <c r="BA161" i="6"/>
  <c r="BB161" i="6" s="1"/>
  <c r="BA162" i="6"/>
  <c r="BB162" i="6" s="1"/>
  <c r="BC162" i="6" s="1"/>
  <c r="BA163" i="6"/>
  <c r="BB163" i="6" s="1"/>
  <c r="BC163" i="6" s="1"/>
  <c r="BA164" i="6"/>
  <c r="BB164" i="6" s="1"/>
  <c r="BC164" i="6" s="1"/>
  <c r="BA165" i="6"/>
  <c r="BB165" i="6" s="1"/>
  <c r="BC165" i="6" s="1"/>
  <c r="BA166" i="6"/>
  <c r="BB166" i="6" s="1"/>
  <c r="BC166" i="6" s="1"/>
  <c r="BA167" i="6"/>
  <c r="BB167" i="6" s="1"/>
  <c r="BC167" i="6" s="1"/>
  <c r="BA168" i="6"/>
  <c r="BB168" i="6" s="1"/>
  <c r="BC168" i="6" s="1"/>
  <c r="BA169" i="6"/>
  <c r="BB169" i="6" s="1"/>
  <c r="BC169" i="6" s="1"/>
  <c r="BA170" i="6"/>
  <c r="BB170" i="6" s="1"/>
  <c r="BC170" i="6" s="1"/>
  <c r="BA171" i="6"/>
  <c r="BB171" i="6" s="1"/>
  <c r="BC171" i="6" s="1"/>
  <c r="BA172" i="6"/>
  <c r="BB172" i="6" s="1"/>
  <c r="BC172" i="6" s="1"/>
  <c r="BA173" i="6"/>
  <c r="BB173" i="6" s="1"/>
  <c r="BC173" i="6" s="1"/>
  <c r="BA174" i="6"/>
  <c r="BB174" i="6" s="1"/>
  <c r="BC174" i="6" s="1"/>
  <c r="BA175" i="6"/>
  <c r="BA176" i="6"/>
  <c r="BA177" i="6"/>
  <c r="BB177" i="6" s="1"/>
  <c r="BC177" i="6" s="1"/>
  <c r="BA178" i="6"/>
  <c r="BA179" i="6"/>
  <c r="BB179" i="6" s="1"/>
  <c r="BC179" i="6" s="1"/>
  <c r="BA180" i="6"/>
  <c r="BB180" i="6" s="1"/>
  <c r="BC180" i="6" s="1"/>
  <c r="BA181" i="6"/>
  <c r="BB181" i="6" s="1"/>
  <c r="BC181" i="6" s="1"/>
  <c r="BA182" i="6"/>
  <c r="BB182" i="6" s="1"/>
  <c r="BC182" i="6" s="1"/>
  <c r="BA183" i="6"/>
  <c r="BB183" i="6" s="1"/>
  <c r="BC183" i="6" s="1"/>
  <c r="BA184" i="6"/>
  <c r="BB184" i="6" s="1"/>
  <c r="BC184" i="6" s="1"/>
  <c r="BA185" i="6"/>
  <c r="BB185" i="6" s="1"/>
  <c r="BC185" i="6" s="1"/>
  <c r="BA186" i="6"/>
  <c r="BB186" i="6" s="1"/>
  <c r="BC186" i="6" s="1"/>
  <c r="BA187" i="6"/>
  <c r="BB187" i="6" s="1"/>
  <c r="BC187" i="6" s="1"/>
  <c r="BA188" i="6"/>
  <c r="BB188" i="6" s="1"/>
  <c r="BC188" i="6" s="1"/>
  <c r="BA189" i="6"/>
  <c r="BB189" i="6" s="1"/>
  <c r="BC189" i="6" s="1"/>
  <c r="BA190" i="6"/>
  <c r="BB190" i="6" s="1"/>
  <c r="BC190" i="6" s="1"/>
  <c r="BA191" i="6"/>
  <c r="BB191" i="6" s="1"/>
  <c r="BC191" i="6" s="1"/>
  <c r="BA192" i="6"/>
  <c r="BB192" i="6" s="1"/>
  <c r="BC192" i="6" s="1"/>
  <c r="BA193" i="6"/>
  <c r="BB193" i="6" s="1"/>
  <c r="BC193" i="6" s="1"/>
  <c r="BA194" i="6"/>
  <c r="BB194" i="6" s="1"/>
  <c r="BC194" i="6" s="1"/>
  <c r="BA195" i="6"/>
  <c r="BB195" i="6" s="1"/>
  <c r="BC195" i="6" s="1"/>
  <c r="BA196" i="6"/>
  <c r="BB196" i="6" s="1"/>
  <c r="BC196" i="6" s="1"/>
  <c r="BA197" i="6"/>
  <c r="BB197" i="6" s="1"/>
  <c r="BC197" i="6" s="1"/>
  <c r="BA198" i="6"/>
  <c r="BB198" i="6" s="1"/>
  <c r="BC198" i="6" s="1"/>
  <c r="BA199" i="6"/>
  <c r="BB199" i="6" s="1"/>
  <c r="BC199" i="6" s="1"/>
  <c r="BA200" i="6"/>
  <c r="BB200" i="6" s="1"/>
  <c r="BC200" i="6" s="1"/>
  <c r="BA201" i="6"/>
  <c r="BB201" i="6" s="1"/>
  <c r="BC201" i="6" s="1"/>
  <c r="BA202" i="6"/>
  <c r="BA203" i="6"/>
  <c r="BA204" i="6"/>
  <c r="BA205" i="6"/>
  <c r="BA206" i="6"/>
  <c r="BB206" i="6" s="1"/>
  <c r="BC206" i="6" s="1"/>
  <c r="BA207" i="6"/>
  <c r="BB207" i="6" s="1"/>
  <c r="BC207" i="6" s="1"/>
  <c r="BA208" i="6"/>
  <c r="BB208" i="6" s="1"/>
  <c r="BC208" i="6" s="1"/>
  <c r="BA209" i="6"/>
  <c r="BB209" i="6" s="1"/>
  <c r="BC209" i="6" s="1"/>
  <c r="BA210" i="6"/>
  <c r="BB210" i="6" s="1"/>
  <c r="BC210" i="6" s="1"/>
  <c r="BA211" i="6"/>
  <c r="BB211" i="6" s="1"/>
  <c r="BC211" i="6" s="1"/>
  <c r="BA212" i="6"/>
  <c r="BB212" i="6" s="1"/>
  <c r="BC212" i="6" s="1"/>
  <c r="BA213" i="6"/>
  <c r="BB213" i="6" s="1"/>
  <c r="BC213" i="6" s="1"/>
  <c r="BA214" i="6"/>
  <c r="BB214" i="6" s="1"/>
  <c r="BA215" i="6"/>
  <c r="BB215" i="6" s="1"/>
  <c r="BA216" i="6"/>
  <c r="BB216" i="6" s="1"/>
  <c r="BC216" i="6" s="1"/>
  <c r="BA217" i="6"/>
  <c r="BB217" i="6" s="1"/>
  <c r="BC217" i="6" s="1"/>
  <c r="BA218" i="6"/>
  <c r="BB218" i="6" s="1"/>
  <c r="BC218" i="6" s="1"/>
  <c r="BA219" i="6"/>
  <c r="BB219" i="6" s="1"/>
  <c r="BC219" i="6" s="1"/>
  <c r="BA220" i="6"/>
  <c r="BB220" i="6" s="1"/>
  <c r="BC220" i="6" s="1"/>
  <c r="BA221" i="6"/>
  <c r="BB221" i="6" s="1"/>
  <c r="BC221" i="6" s="1"/>
  <c r="BA222" i="6"/>
  <c r="BB222" i="6" s="1"/>
  <c r="BC222" i="6" s="1"/>
  <c r="BA223" i="6"/>
  <c r="BB223" i="6" s="1"/>
  <c r="BC223" i="6" s="1"/>
  <c r="BA224" i="6"/>
  <c r="BB224" i="6" s="1"/>
  <c r="BC224" i="6" s="1"/>
  <c r="BA225" i="6"/>
  <c r="BB225" i="6" s="1"/>
  <c r="BC225" i="6" s="1"/>
  <c r="BA226" i="6"/>
  <c r="BA227" i="6"/>
  <c r="BB227" i="6" s="1"/>
  <c r="BC227" i="6" s="1"/>
  <c r="BA228" i="6"/>
  <c r="BB228" i="6" s="1"/>
  <c r="BC228" i="6" s="1"/>
  <c r="BA229" i="6"/>
  <c r="BB229" i="6" s="1"/>
  <c r="BC229" i="6" s="1"/>
  <c r="BA230" i="6"/>
  <c r="BB230" i="6" s="1"/>
  <c r="BC230" i="6" s="1"/>
  <c r="BA231" i="6"/>
  <c r="BB231" i="6" s="1"/>
  <c r="BC231" i="6" s="1"/>
  <c r="BA232" i="6"/>
  <c r="BB232" i="6" s="1"/>
  <c r="BC232" i="6" s="1"/>
  <c r="BA233" i="6"/>
  <c r="BB233" i="6" s="1"/>
  <c r="BC233" i="6" s="1"/>
  <c r="BA234" i="6"/>
  <c r="BB234" i="6" s="1"/>
  <c r="BC234" i="6" s="1"/>
  <c r="BA235" i="6"/>
  <c r="BB235" i="6" s="1"/>
  <c r="BC235" i="6" s="1"/>
  <c r="BA236" i="6"/>
  <c r="BB236" i="6" s="1"/>
  <c r="BC236" i="6" s="1"/>
  <c r="BA237" i="6"/>
  <c r="BB237" i="6" s="1"/>
  <c r="BC237" i="6" s="1"/>
  <c r="BA238" i="6"/>
  <c r="BA239" i="6"/>
  <c r="BB239" i="6" s="1"/>
  <c r="BA240" i="6"/>
  <c r="BA241" i="6"/>
  <c r="BB241" i="6" s="1"/>
  <c r="BC241" i="6" s="1"/>
  <c r="BA242" i="6"/>
  <c r="BB242" i="6" s="1"/>
  <c r="BC242" i="6" s="1"/>
  <c r="BA243" i="6"/>
  <c r="BB243" i="6" s="1"/>
  <c r="BC243" i="6" s="1"/>
  <c r="BA244" i="6"/>
  <c r="BB244" i="6" s="1"/>
  <c r="BC244" i="6" s="1"/>
  <c r="BA245" i="6"/>
  <c r="BB245" i="6" s="1"/>
  <c r="BC245" i="6" s="1"/>
  <c r="BA246" i="6"/>
  <c r="BB246" i="6" s="1"/>
  <c r="BC246" i="6" s="1"/>
  <c r="BA247" i="6"/>
  <c r="BB247" i="6" s="1"/>
  <c r="BA248" i="6"/>
  <c r="BB248" i="6" s="1"/>
  <c r="BC248" i="6" s="1"/>
  <c r="BA249" i="6"/>
  <c r="BB249" i="6" s="1"/>
  <c r="BC249" i="6" s="1"/>
  <c r="BA250" i="6"/>
  <c r="BB250" i="6" s="1"/>
  <c r="BC250" i="6" s="1"/>
  <c r="BA251" i="6"/>
  <c r="BB251" i="6" s="1"/>
  <c r="BC251" i="6" s="1"/>
  <c r="BA252" i="6"/>
  <c r="BB252" i="6" s="1"/>
  <c r="BC252" i="6" s="1"/>
  <c r="BA253" i="6"/>
  <c r="BB253" i="6" s="1"/>
  <c r="BC253" i="6" s="1"/>
  <c r="BA254" i="6"/>
  <c r="BB254" i="6" s="1"/>
  <c r="BC254" i="6" s="1"/>
  <c r="BA255" i="6"/>
  <c r="BB255" i="6" s="1"/>
  <c r="BC255" i="6" s="1"/>
  <c r="BA256" i="6"/>
  <c r="BB256" i="6" s="1"/>
  <c r="BC256" i="6" s="1"/>
  <c r="BA257" i="6"/>
  <c r="BB257" i="6" s="1"/>
  <c r="BC257" i="6" s="1"/>
  <c r="BA258" i="6"/>
  <c r="BB258" i="6" s="1"/>
  <c r="BC258" i="6" s="1"/>
  <c r="BA259" i="6"/>
  <c r="BB259" i="6" s="1"/>
  <c r="BC259" i="6" s="1"/>
  <c r="BA260" i="6"/>
  <c r="BB260" i="6" s="1"/>
  <c r="BC260" i="6" s="1"/>
  <c r="BA261" i="6"/>
  <c r="BB261" i="6" s="1"/>
  <c r="BC261" i="6" s="1"/>
  <c r="BA262" i="6"/>
  <c r="BB262" i="6" s="1"/>
  <c r="BC262" i="6" s="1"/>
  <c r="BA263" i="6"/>
  <c r="BB263" i="6" s="1"/>
  <c r="BC263" i="6" s="1"/>
  <c r="BA264" i="6"/>
  <c r="BB264" i="6" s="1"/>
  <c r="BC264" i="6" s="1"/>
  <c r="BA265" i="6"/>
  <c r="BB265" i="6" s="1"/>
  <c r="BC265" i="6" s="1"/>
  <c r="BA266" i="6"/>
  <c r="BB266" i="6" s="1"/>
  <c r="BC266" i="6" s="1"/>
  <c r="BA267" i="6"/>
  <c r="BB267" i="6" s="1"/>
  <c r="BC267" i="6" s="1"/>
  <c r="BA268" i="6"/>
  <c r="BB268" i="6" s="1"/>
  <c r="BC268" i="6" s="1"/>
  <c r="BA269" i="6"/>
  <c r="BB269" i="6" s="1"/>
  <c r="BC269" i="6" s="1"/>
  <c r="BA270" i="6"/>
  <c r="BB270" i="6" s="1"/>
  <c r="BC270" i="6" s="1"/>
  <c r="BA271" i="6"/>
  <c r="BB271" i="6" s="1"/>
  <c r="BC271" i="6" s="1"/>
  <c r="BA272" i="6"/>
  <c r="BB272" i="6" s="1"/>
  <c r="BC272" i="6" s="1"/>
  <c r="BA273" i="6"/>
  <c r="BB273" i="6" s="1"/>
  <c r="BC273" i="6" s="1"/>
  <c r="BA274" i="6"/>
  <c r="BA275" i="6"/>
  <c r="BB275" i="6" s="1"/>
  <c r="BA276" i="6"/>
  <c r="BB276" i="6" s="1"/>
  <c r="BC276" i="6" s="1"/>
  <c r="BA277" i="6"/>
  <c r="BB277" i="6" s="1"/>
  <c r="BC277" i="6" s="1"/>
  <c r="BA278" i="6"/>
  <c r="BB278" i="6" s="1"/>
  <c r="BC278" i="6" s="1"/>
  <c r="BA279" i="6"/>
  <c r="BB279" i="6" s="1"/>
  <c r="BC279" i="6" s="1"/>
  <c r="BA280" i="6"/>
  <c r="BB280" i="6" s="1"/>
  <c r="BC280" i="6" s="1"/>
  <c r="BA281" i="6"/>
  <c r="BB281" i="6" s="1"/>
  <c r="BC281" i="6" s="1"/>
  <c r="BA282" i="6"/>
  <c r="BB282" i="6" s="1"/>
  <c r="BC282" i="6" s="1"/>
  <c r="BA283" i="6"/>
  <c r="BA284" i="6"/>
  <c r="BA285" i="6"/>
  <c r="BB285" i="6" s="1"/>
  <c r="BC285" i="6" s="1"/>
  <c r="BA286" i="6"/>
  <c r="BA287" i="6"/>
  <c r="BA288" i="6"/>
  <c r="BB288" i="6" s="1"/>
  <c r="BA289" i="6"/>
  <c r="BA290" i="6"/>
  <c r="BB290" i="6" s="1"/>
  <c r="BC290" i="6" s="1"/>
  <c r="BA291" i="6"/>
  <c r="BB291" i="6" s="1"/>
  <c r="BC291" i="6" s="1"/>
  <c r="BA292" i="6"/>
  <c r="BB292" i="6" s="1"/>
  <c r="BC292" i="6" s="1"/>
  <c r="BA293" i="6"/>
  <c r="BB293" i="6" s="1"/>
  <c r="BC293" i="6" s="1"/>
  <c r="BA294" i="6"/>
  <c r="BB294" i="6" s="1"/>
  <c r="BC294" i="6" s="1"/>
  <c r="BA295" i="6"/>
  <c r="BB295" i="6" s="1"/>
  <c r="BC295" i="6" s="1"/>
  <c r="BA296" i="6"/>
  <c r="BB296" i="6" s="1"/>
  <c r="BC296" i="6" s="1"/>
  <c r="BA297" i="6"/>
  <c r="BB297" i="6" s="1"/>
  <c r="BC297" i="6" s="1"/>
  <c r="BA298" i="6"/>
  <c r="BA299" i="6"/>
  <c r="BB299" i="6" s="1"/>
  <c r="BC299" i="6" s="1"/>
  <c r="BA300" i="6"/>
  <c r="BB300" i="6" s="1"/>
  <c r="BC300" i="6" s="1"/>
  <c r="BA301" i="6"/>
  <c r="BB301" i="6" s="1"/>
  <c r="BC301" i="6" s="1"/>
  <c r="BA302" i="6"/>
  <c r="BB302" i="6" s="1"/>
  <c r="BC302" i="6" s="1"/>
  <c r="BA303" i="6"/>
  <c r="BB303" i="6" s="1"/>
  <c r="BC303" i="6" s="1"/>
  <c r="BA304" i="6"/>
  <c r="BB304" i="6" s="1"/>
  <c r="BC304" i="6" s="1"/>
  <c r="BA305" i="6"/>
  <c r="BB305" i="6" s="1"/>
  <c r="BC305" i="6" s="1"/>
  <c r="BA306" i="6"/>
  <c r="BB306" i="6" s="1"/>
  <c r="BC306" i="6" s="1"/>
  <c r="BA307" i="6"/>
  <c r="BB307" i="6" s="1"/>
  <c r="BC307" i="6" s="1"/>
  <c r="BA308" i="6"/>
  <c r="BB308" i="6" s="1"/>
  <c r="BC308" i="6" s="1"/>
  <c r="BA309" i="6"/>
  <c r="BB309" i="6" s="1"/>
  <c r="BC309" i="6" s="1"/>
  <c r="BA310" i="6"/>
  <c r="BB310" i="6" s="1"/>
  <c r="BC310" i="6" s="1"/>
  <c r="BA311" i="6"/>
  <c r="BB311" i="6" s="1"/>
  <c r="BC311" i="6" s="1"/>
  <c r="BA312" i="6"/>
  <c r="BB312" i="6" s="1"/>
  <c r="BC312" i="6" s="1"/>
  <c r="BA313" i="6"/>
  <c r="BB313" i="6" s="1"/>
  <c r="BC313" i="6" s="1"/>
  <c r="BA314" i="6"/>
  <c r="BB314" i="6" s="1"/>
  <c r="BC314" i="6" s="1"/>
  <c r="BA315" i="6"/>
  <c r="BB315" i="6" s="1"/>
  <c r="BC315" i="6" s="1"/>
  <c r="BA316" i="6"/>
  <c r="BB316" i="6" s="1"/>
  <c r="BC316" i="6" s="1"/>
  <c r="BA317" i="6"/>
  <c r="BB317" i="6" s="1"/>
  <c r="BC317" i="6" s="1"/>
  <c r="BA318" i="6"/>
  <c r="BB318" i="6" s="1"/>
  <c r="BC318" i="6" s="1"/>
  <c r="BA319" i="6"/>
  <c r="BB319" i="6" s="1"/>
  <c r="BC319" i="6" s="1"/>
  <c r="BA320" i="6"/>
  <c r="BB320" i="6" s="1"/>
  <c r="BC320" i="6" s="1"/>
  <c r="BA321" i="6"/>
  <c r="BB321" i="6" s="1"/>
  <c r="BC321" i="6" s="1"/>
  <c r="BA322" i="6"/>
  <c r="BA323" i="6"/>
  <c r="BB323" i="6" s="1"/>
  <c r="BA324" i="6"/>
  <c r="BB324" i="6" s="1"/>
  <c r="BA325" i="6"/>
  <c r="BB325" i="6" s="1"/>
  <c r="BA326" i="6"/>
  <c r="BB326" i="6" s="1"/>
  <c r="BC326" i="6" s="1"/>
  <c r="BA327" i="6"/>
  <c r="BB327" i="6" s="1"/>
  <c r="BC327" i="6" s="1"/>
  <c r="BA328" i="6"/>
  <c r="BB328" i="6" s="1"/>
  <c r="BC328" i="6" s="1"/>
  <c r="BA329" i="6"/>
  <c r="BB329" i="6" s="1"/>
  <c r="BC329" i="6" s="1"/>
  <c r="BA330" i="6"/>
  <c r="BB330" i="6" s="1"/>
  <c r="BC330" i="6" s="1"/>
  <c r="BA331" i="6"/>
  <c r="BB331" i="6" s="1"/>
  <c r="BC331" i="6" s="1"/>
  <c r="BA332" i="6"/>
  <c r="BB332" i="6" s="1"/>
  <c r="BC332" i="6" s="1"/>
  <c r="BA333" i="6"/>
  <c r="BB333" i="6" s="1"/>
  <c r="BC333" i="6" s="1"/>
  <c r="BA334" i="6"/>
  <c r="BA335" i="6"/>
  <c r="BA336" i="6"/>
  <c r="BA337" i="6"/>
  <c r="BB337" i="6" s="1"/>
  <c r="BA338" i="6"/>
  <c r="BB338" i="6" s="1"/>
  <c r="BC338" i="6" s="1"/>
  <c r="BA339" i="6"/>
  <c r="BB339" i="6" s="1"/>
  <c r="BC339" i="6" s="1"/>
  <c r="BA340" i="6"/>
  <c r="BB340" i="6" s="1"/>
  <c r="BC340" i="6" s="1"/>
  <c r="BA341" i="6"/>
  <c r="BB341" i="6" s="1"/>
  <c r="BC341" i="6" s="1"/>
  <c r="BA342" i="6"/>
  <c r="BB342" i="6" s="1"/>
  <c r="BC342" i="6" s="1"/>
  <c r="BA343" i="6"/>
  <c r="BA344" i="6"/>
  <c r="BA345" i="6"/>
  <c r="BB345" i="6" s="1"/>
  <c r="BC345" i="6" s="1"/>
  <c r="BA346" i="6"/>
  <c r="BA347" i="6"/>
  <c r="BB347" i="6" s="1"/>
  <c r="BC347" i="6" s="1"/>
  <c r="BA348" i="6"/>
  <c r="BB348" i="6" s="1"/>
  <c r="BC348" i="6" s="1"/>
  <c r="BA349" i="6"/>
  <c r="BB349" i="6" s="1"/>
  <c r="BC349" i="6" s="1"/>
  <c r="BA350" i="6"/>
  <c r="BB350" i="6" s="1"/>
  <c r="BC350" i="6" s="1"/>
  <c r="BA351" i="6"/>
  <c r="BB351" i="6" s="1"/>
  <c r="BC351" i="6" s="1"/>
  <c r="BA352" i="6"/>
  <c r="BB352" i="6" s="1"/>
  <c r="BC352" i="6" s="1"/>
  <c r="BA353" i="6"/>
  <c r="BB353" i="6" s="1"/>
  <c r="BC353" i="6" s="1"/>
  <c r="BA354" i="6"/>
  <c r="BB354" i="6" s="1"/>
  <c r="BC354" i="6" s="1"/>
  <c r="BA355" i="6"/>
  <c r="BB355" i="6" s="1"/>
  <c r="BC355" i="6" s="1"/>
  <c r="BA356" i="6"/>
  <c r="BB356" i="6" s="1"/>
  <c r="BC356" i="6" s="1"/>
  <c r="BA357" i="6"/>
  <c r="BB357" i="6" s="1"/>
  <c r="BC357" i="6" s="1"/>
  <c r="BA358" i="6"/>
  <c r="BB358" i="6" s="1"/>
  <c r="BA359" i="6"/>
  <c r="BB359" i="6" s="1"/>
  <c r="BA360" i="6"/>
  <c r="BB360" i="6" s="1"/>
  <c r="BA361" i="6"/>
  <c r="BB361" i="6" s="1"/>
  <c r="BC361" i="6" s="1"/>
  <c r="BA362" i="6"/>
  <c r="BB362" i="6" s="1"/>
  <c r="BC362" i="6" s="1"/>
  <c r="BA363" i="6"/>
  <c r="BB363" i="6" s="1"/>
  <c r="BC363" i="6" s="1"/>
  <c r="BA364" i="6"/>
  <c r="BB364" i="6" s="1"/>
  <c r="BC364" i="6" s="1"/>
  <c r="BA365" i="6"/>
  <c r="BB365" i="6" s="1"/>
  <c r="BC365" i="6" s="1"/>
  <c r="BA366" i="6"/>
  <c r="BB366" i="6" s="1"/>
  <c r="BC366" i="6" s="1"/>
  <c r="BA367" i="6"/>
  <c r="BB367" i="6" s="1"/>
  <c r="BC367" i="6" s="1"/>
  <c r="BA368" i="6"/>
  <c r="BB368" i="6" s="1"/>
  <c r="BC368" i="6" s="1"/>
  <c r="BA369" i="6"/>
  <c r="BB369" i="6" s="1"/>
  <c r="BC369" i="6" s="1"/>
  <c r="BA370" i="6"/>
  <c r="BB370" i="6" s="1"/>
  <c r="BC370" i="6" s="1"/>
  <c r="BA371" i="6"/>
  <c r="BB371" i="6" s="1"/>
  <c r="BC371" i="6" s="1"/>
  <c r="BA372" i="6"/>
  <c r="BB372" i="6" s="1"/>
  <c r="BC372" i="6" s="1"/>
  <c r="BA373" i="6"/>
  <c r="BB373" i="6" s="1"/>
  <c r="BC373" i="6" s="1"/>
  <c r="BA374" i="6"/>
  <c r="BB374" i="6" s="1"/>
  <c r="BC374" i="6" s="1"/>
  <c r="BA375" i="6"/>
  <c r="BB375" i="6" s="1"/>
  <c r="BC375" i="6" s="1"/>
  <c r="BA376" i="6"/>
  <c r="BB376" i="6" s="1"/>
  <c r="BC376" i="6" s="1"/>
  <c r="BA377" i="6"/>
  <c r="BB377" i="6" s="1"/>
  <c r="BC377" i="6" s="1"/>
  <c r="BA378" i="6"/>
  <c r="BB378" i="6" s="1"/>
  <c r="BC378" i="6" s="1"/>
  <c r="BA379" i="6"/>
  <c r="BA380" i="6"/>
  <c r="BA381" i="6"/>
  <c r="BA382" i="6"/>
  <c r="BA383" i="6"/>
  <c r="BB383" i="6" s="1"/>
  <c r="BC383" i="6" s="1"/>
  <c r="BA384" i="6"/>
  <c r="BA385" i="6"/>
  <c r="BA386" i="6"/>
  <c r="BB386" i="6" s="1"/>
  <c r="BC386" i="6" s="1"/>
  <c r="BA387" i="6"/>
  <c r="BB387" i="6" s="1"/>
  <c r="BA388" i="6"/>
  <c r="BB388" i="6" s="1"/>
  <c r="BA389" i="6"/>
  <c r="BB389" i="6" s="1"/>
  <c r="BC389" i="6" s="1"/>
  <c r="BA390" i="6"/>
  <c r="BB390" i="6" s="1"/>
  <c r="BC390" i="6" s="1"/>
  <c r="BA391" i="6"/>
  <c r="BB391" i="6" s="1"/>
  <c r="BC391" i="6" s="1"/>
  <c r="BA392" i="6"/>
  <c r="BB392" i="6" s="1"/>
  <c r="BC392" i="6" s="1"/>
  <c r="BA393" i="6"/>
  <c r="BB393" i="6" s="1"/>
  <c r="BC393" i="6" s="1"/>
  <c r="BA394" i="6"/>
  <c r="BA395" i="6"/>
  <c r="BA396" i="6"/>
  <c r="BA397" i="6"/>
  <c r="BB397" i="6" s="1"/>
  <c r="BC397" i="6" s="1"/>
  <c r="BA398" i="6"/>
  <c r="BB398" i="6" s="1"/>
  <c r="BC398" i="6" s="1"/>
  <c r="BA399" i="6"/>
  <c r="BB399" i="6" s="1"/>
  <c r="BC399" i="6" s="1"/>
  <c r="BA400" i="6"/>
  <c r="BB400" i="6" s="1"/>
  <c r="BC400" i="6" s="1"/>
  <c r="BA401" i="6"/>
  <c r="BB401" i="6" s="1"/>
  <c r="BC401" i="6" s="1"/>
  <c r="BA402" i="6"/>
  <c r="BB402" i="6" s="1"/>
  <c r="BC402" i="6" s="1"/>
  <c r="BA403" i="6"/>
  <c r="BB403" i="6" s="1"/>
  <c r="BC403" i="6" s="1"/>
  <c r="BA404" i="6"/>
  <c r="BB404" i="6" s="1"/>
  <c r="BC404" i="6" s="1"/>
  <c r="BA405" i="6"/>
  <c r="BB405" i="6" s="1"/>
  <c r="BC405" i="6" s="1"/>
  <c r="BA406" i="6"/>
  <c r="BB406" i="6" s="1"/>
  <c r="BC406" i="6" s="1"/>
  <c r="BA407" i="6"/>
  <c r="BB407" i="6" s="1"/>
  <c r="BC407" i="6" s="1"/>
  <c r="BA408" i="6"/>
  <c r="BB408" i="6" s="1"/>
  <c r="BC408" i="6" s="1"/>
  <c r="BA409" i="6"/>
  <c r="BB409" i="6" s="1"/>
  <c r="BC409" i="6" s="1"/>
  <c r="BA410" i="6"/>
  <c r="BB410" i="6" s="1"/>
  <c r="BC410" i="6" s="1"/>
  <c r="BA411" i="6"/>
  <c r="BB411" i="6" s="1"/>
  <c r="BC411" i="6" s="1"/>
  <c r="BA412" i="6"/>
  <c r="BB412" i="6" s="1"/>
  <c r="BC412" i="6" s="1"/>
  <c r="BA413" i="6"/>
  <c r="BB413" i="6" s="1"/>
  <c r="BC413" i="6" s="1"/>
  <c r="BA414" i="6"/>
  <c r="BB414" i="6" s="1"/>
  <c r="BC414" i="6" s="1"/>
  <c r="BA415" i="6"/>
  <c r="BB415" i="6" s="1"/>
  <c r="BC415" i="6" s="1"/>
  <c r="BA416" i="6"/>
  <c r="BB416" i="6" s="1"/>
  <c r="BC416" i="6" s="1"/>
  <c r="BA417" i="6"/>
  <c r="BB417" i="6" s="1"/>
  <c r="BC417" i="6" s="1"/>
  <c r="BA418" i="6"/>
  <c r="BB418" i="6" s="1"/>
  <c r="BC418" i="6" s="1"/>
  <c r="BA419" i="6"/>
  <c r="BB419" i="6" s="1"/>
  <c r="BA420" i="6"/>
  <c r="BB420" i="6" s="1"/>
  <c r="BC420" i="6" s="1"/>
  <c r="BA421" i="6"/>
  <c r="BB421" i="6" s="1"/>
  <c r="BC421" i="6" s="1"/>
  <c r="BA422" i="6"/>
  <c r="BB422" i="6" s="1"/>
  <c r="BC422" i="6" s="1"/>
  <c r="BA423" i="6"/>
  <c r="BB423" i="6" s="1"/>
  <c r="BC423" i="6" s="1"/>
  <c r="BA424" i="6"/>
  <c r="BB424" i="6" s="1"/>
  <c r="BA425" i="6"/>
  <c r="BB425" i="6" s="1"/>
  <c r="BA426" i="6"/>
  <c r="BB426" i="6" s="1"/>
  <c r="BC426" i="6" s="1"/>
  <c r="BA427" i="6"/>
  <c r="BB427" i="6" s="1"/>
  <c r="BC427" i="6" s="1"/>
  <c r="BA428" i="6"/>
  <c r="BB428" i="6" s="1"/>
  <c r="BC428" i="6" s="1"/>
  <c r="BA429" i="6"/>
  <c r="BB429" i="6" s="1"/>
  <c r="BC429" i="6" s="1"/>
  <c r="BA430" i="6"/>
  <c r="BA431" i="6"/>
  <c r="BA432" i="6"/>
  <c r="BA433" i="6"/>
  <c r="BB433" i="6" s="1"/>
  <c r="BC433" i="6" s="1"/>
  <c r="BA434" i="6"/>
  <c r="BB434" i="6" s="1"/>
  <c r="BC434" i="6" s="1"/>
  <c r="BA435" i="6"/>
  <c r="BB435" i="6" s="1"/>
  <c r="BC435" i="6" s="1"/>
  <c r="BA436" i="6"/>
  <c r="BB436" i="6" s="1"/>
  <c r="BC436" i="6" s="1"/>
  <c r="BA437" i="6"/>
  <c r="BB437" i="6" s="1"/>
  <c r="BC437" i="6" s="1"/>
  <c r="BA438" i="6"/>
  <c r="BB438" i="6" s="1"/>
  <c r="BC438" i="6" s="1"/>
  <c r="BA439" i="6"/>
  <c r="BB439" i="6" s="1"/>
  <c r="BC439" i="6" s="1"/>
  <c r="BA440" i="6"/>
  <c r="BB440" i="6" s="1"/>
  <c r="BC440" i="6" s="1"/>
  <c r="BA441" i="6"/>
  <c r="BB441" i="6" s="1"/>
  <c r="BC441" i="6" s="1"/>
  <c r="BA442" i="6"/>
  <c r="BA443" i="6"/>
  <c r="BA444" i="6"/>
  <c r="BA445" i="6"/>
  <c r="BA446" i="6"/>
  <c r="BB446" i="6" s="1"/>
  <c r="BC446" i="6" s="1"/>
  <c r="BA447" i="6"/>
  <c r="BB447" i="6" s="1"/>
  <c r="BC447" i="6" s="1"/>
  <c r="BA448" i="6"/>
  <c r="BB448" i="6" s="1"/>
  <c r="BC448" i="6" s="1"/>
  <c r="BA449" i="6"/>
  <c r="BB449" i="6" s="1"/>
  <c r="BC449" i="6" s="1"/>
  <c r="BA450" i="6"/>
  <c r="BB450" i="6" s="1"/>
  <c r="BC450" i="6" s="1"/>
  <c r="BA451" i="6"/>
  <c r="BB451" i="6" s="1"/>
  <c r="BC451" i="6" s="1"/>
  <c r="BA452" i="6"/>
  <c r="BB452" i="6" s="1"/>
  <c r="BC452" i="6" s="1"/>
  <c r="BA453" i="6"/>
  <c r="BB453" i="6" s="1"/>
  <c r="BC453" i="6" s="1"/>
  <c r="BA454" i="6"/>
  <c r="BB454" i="6" s="1"/>
  <c r="BC454" i="6" s="1"/>
  <c r="BA455" i="6"/>
  <c r="BB455" i="6" s="1"/>
  <c r="BC455" i="6" s="1"/>
  <c r="BA456" i="6"/>
  <c r="BB456" i="6" s="1"/>
  <c r="BC456" i="6" s="1"/>
  <c r="BA457" i="6"/>
  <c r="BB457" i="6" s="1"/>
  <c r="BC457" i="6" s="1"/>
  <c r="BA458" i="6"/>
  <c r="BB458" i="6" s="1"/>
  <c r="BC458" i="6" s="1"/>
  <c r="BA459" i="6"/>
  <c r="BB459" i="6" s="1"/>
  <c r="BC459" i="6" s="1"/>
  <c r="BA460" i="6"/>
  <c r="BB460" i="6" s="1"/>
  <c r="BC460" i="6" s="1"/>
  <c r="BA461" i="6"/>
  <c r="BB461" i="6" s="1"/>
  <c r="BC461" i="6" s="1"/>
  <c r="BA462" i="6"/>
  <c r="BB462" i="6" s="1"/>
  <c r="BC462" i="6" s="1"/>
  <c r="BA463" i="6"/>
  <c r="BB463" i="6" s="1"/>
  <c r="BC463" i="6" s="1"/>
  <c r="BA464" i="6"/>
  <c r="BB464" i="6" s="1"/>
  <c r="BA465" i="6"/>
  <c r="BB465" i="6" s="1"/>
  <c r="BA466" i="6"/>
  <c r="BB466" i="6" s="1"/>
  <c r="BA467" i="6"/>
  <c r="BB467" i="6" s="1"/>
  <c r="BA468" i="6"/>
  <c r="BB468" i="6" s="1"/>
  <c r="BA469" i="6"/>
  <c r="BB469" i="6" s="1"/>
  <c r="BC469" i="6" s="1"/>
  <c r="BA470" i="6"/>
  <c r="BB470" i="6" s="1"/>
  <c r="BC470" i="6" s="1"/>
  <c r="BA471" i="6"/>
  <c r="BB471" i="6" s="1"/>
  <c r="BC471" i="6" s="1"/>
  <c r="BA472" i="6"/>
  <c r="BB472" i="6" s="1"/>
  <c r="BC472" i="6" s="1"/>
  <c r="BA473" i="6"/>
  <c r="BB473" i="6" s="1"/>
  <c r="BC473" i="6" s="1"/>
  <c r="BA474" i="6"/>
  <c r="BB474" i="6" s="1"/>
  <c r="BC474" i="6" s="1"/>
  <c r="BA475" i="6"/>
  <c r="BB475" i="6" s="1"/>
  <c r="BC475" i="6" s="1"/>
  <c r="BA476" i="6"/>
  <c r="BB476" i="6" s="1"/>
  <c r="BC476" i="6" s="1"/>
  <c r="BA477" i="6"/>
  <c r="BB477" i="6" s="1"/>
  <c r="BC477" i="6" s="1"/>
  <c r="BA478" i="6"/>
  <c r="BA479" i="6"/>
  <c r="BB479" i="6" s="1"/>
  <c r="BC479" i="6" s="1"/>
  <c r="BA480" i="6"/>
  <c r="BB480" i="6" s="1"/>
  <c r="BC480" i="6" s="1"/>
  <c r="BA481" i="6"/>
  <c r="BB481" i="6" s="1"/>
  <c r="BC481" i="6" s="1"/>
  <c r="BA482" i="6"/>
  <c r="BB482" i="6" s="1"/>
  <c r="BC482" i="6" s="1"/>
  <c r="BA483" i="6"/>
  <c r="BB483" i="6" s="1"/>
  <c r="BC483" i="6" s="1"/>
  <c r="BA484" i="6"/>
  <c r="BB484" i="6" s="1"/>
  <c r="BC484" i="6" s="1"/>
  <c r="BA485" i="6"/>
  <c r="BB485" i="6" s="1"/>
  <c r="BC485" i="6" s="1"/>
  <c r="BA486" i="6"/>
  <c r="BB486" i="6" s="1"/>
  <c r="BC486" i="6" s="1"/>
  <c r="BA487" i="6"/>
  <c r="BB487" i="6" s="1"/>
  <c r="BC487" i="6" s="1"/>
  <c r="BA488" i="6"/>
  <c r="BB488" i="6" s="1"/>
  <c r="BC488" i="6" s="1"/>
  <c r="BA489" i="6"/>
  <c r="BA490" i="6"/>
  <c r="BA491" i="6"/>
  <c r="BA492" i="6"/>
  <c r="BA493" i="6"/>
  <c r="BB493" i="6" s="1"/>
  <c r="BA494" i="6"/>
  <c r="BB494" i="6" s="1"/>
  <c r="BC494" i="6" s="1"/>
  <c r="BA495" i="6"/>
  <c r="BB495" i="6" s="1"/>
  <c r="BA496" i="6"/>
  <c r="BB496" i="6" s="1"/>
  <c r="BA497" i="6"/>
  <c r="BB497" i="6" s="1"/>
  <c r="BA498" i="6"/>
  <c r="BB498" i="6" s="1"/>
  <c r="BC498" i="6" s="1"/>
  <c r="BA499" i="6"/>
  <c r="BB499" i="6" s="1"/>
  <c r="BC499" i="6" s="1"/>
  <c r="BA500" i="6"/>
  <c r="BB500" i="6" s="1"/>
  <c r="BC500" i="6" s="1"/>
  <c r="BA501" i="6"/>
  <c r="BB501" i="6" s="1"/>
  <c r="BC501" i="6" s="1"/>
  <c r="B6" i="5"/>
  <c r="B9" i="5"/>
  <c r="B4" i="5"/>
  <c r="I12" i="1"/>
  <c r="S12" i="1" s="1"/>
  <c r="M30" i="1"/>
  <c r="M31" i="1"/>
  <c r="M29" i="1"/>
  <c r="M34" i="1"/>
  <c r="M35" i="1"/>
  <c r="M36" i="1"/>
  <c r="M37" i="1"/>
  <c r="M33" i="1"/>
  <c r="M39" i="1"/>
  <c r="M42" i="1" s="1"/>
  <c r="S30" i="1"/>
  <c r="S31" i="1"/>
  <c r="S33" i="1"/>
  <c r="S34" i="1"/>
  <c r="S35" i="1"/>
  <c r="S36" i="1"/>
  <c r="S37" i="1"/>
  <c r="S29" i="1"/>
  <c r="S32" i="1"/>
  <c r="S38" i="1"/>
  <c r="M32" i="1"/>
  <c r="M55" i="1"/>
  <c r="M38" i="1"/>
  <c r="M12" i="1"/>
  <c r="Z7" i="1"/>
  <c r="Z8" i="1"/>
  <c r="AA7" i="1"/>
  <c r="AA8" i="1"/>
  <c r="Q7" i="1"/>
  <c r="R7" i="1"/>
  <c r="S7" i="1"/>
  <c r="W7" i="1"/>
  <c r="Q8" i="1"/>
  <c r="R8" i="1"/>
  <c r="S8" i="1"/>
  <c r="W8" i="1"/>
  <c r="Q9" i="1"/>
  <c r="R9" i="1"/>
  <c r="S9" i="1"/>
  <c r="W9" i="1"/>
  <c r="Q10" i="1"/>
  <c r="R10" i="1"/>
  <c r="S10" i="1"/>
  <c r="W10" i="1"/>
  <c r="Q11" i="1"/>
  <c r="R11" i="1"/>
  <c r="S11" i="1"/>
  <c r="W11" i="1"/>
  <c r="Q12" i="1"/>
  <c r="R12" i="1"/>
  <c r="W12" i="1"/>
  <c r="Q13" i="1"/>
  <c r="R13" i="1"/>
  <c r="S13" i="1"/>
  <c r="W13" i="1"/>
  <c r="Q14" i="1"/>
  <c r="R14" i="1"/>
  <c r="S14" i="1"/>
  <c r="W14" i="1"/>
  <c r="Q15" i="1"/>
  <c r="R15" i="1"/>
  <c r="S15" i="1"/>
  <c r="W15" i="1"/>
  <c r="Q16" i="1"/>
  <c r="R16" i="1"/>
  <c r="S16" i="1"/>
  <c r="W16" i="1"/>
  <c r="Q17" i="1"/>
  <c r="R17" i="1"/>
  <c r="S17" i="1"/>
  <c r="W17" i="1"/>
  <c r="Q18" i="1"/>
  <c r="R18" i="1"/>
  <c r="S18" i="1"/>
  <c r="W18" i="1"/>
  <c r="Q19" i="1"/>
  <c r="R19" i="1"/>
  <c r="S19" i="1"/>
  <c r="W19" i="1"/>
  <c r="Q20" i="1"/>
  <c r="R20" i="1"/>
  <c r="S20" i="1"/>
  <c r="W20" i="1"/>
  <c r="Q21" i="1"/>
  <c r="R21" i="1"/>
  <c r="S21" i="1"/>
  <c r="W21" i="1"/>
  <c r="Q22" i="1"/>
  <c r="R22" i="1"/>
  <c r="S22" i="1"/>
  <c r="W22" i="1"/>
  <c r="Q23" i="1"/>
  <c r="R23" i="1"/>
  <c r="S23" i="1"/>
  <c r="W23" i="1"/>
  <c r="Q24" i="1"/>
  <c r="R24" i="1"/>
  <c r="S24" i="1"/>
  <c r="W24" i="1"/>
  <c r="Q25" i="1"/>
  <c r="R25" i="1"/>
  <c r="S25" i="1"/>
  <c r="W25" i="1"/>
  <c r="Q26" i="1"/>
  <c r="R26" i="1"/>
  <c r="S26" i="1"/>
  <c r="W26" i="1"/>
  <c r="Q27" i="1"/>
  <c r="R27" i="1"/>
  <c r="S27" i="1"/>
  <c r="W27" i="1"/>
  <c r="Q28" i="1"/>
  <c r="R28" i="1"/>
  <c r="S28" i="1"/>
  <c r="W28" i="1"/>
  <c r="Q29" i="1"/>
  <c r="R29" i="1"/>
  <c r="W29" i="1"/>
  <c r="Q30" i="1"/>
  <c r="R30" i="1"/>
  <c r="W30" i="1"/>
  <c r="W31" i="1"/>
  <c r="Q32" i="1"/>
  <c r="R32" i="1"/>
  <c r="W32" i="1"/>
  <c r="Q33" i="1"/>
  <c r="R33" i="1"/>
  <c r="W33" i="1"/>
  <c r="Q34" i="1"/>
  <c r="R34" i="1"/>
  <c r="W34" i="1"/>
  <c r="W35" i="1"/>
  <c r="Q36" i="1"/>
  <c r="R36" i="1"/>
  <c r="W36" i="1"/>
  <c r="W37" i="1"/>
  <c r="Q38" i="1"/>
  <c r="R38" i="1"/>
  <c r="W38" i="1"/>
  <c r="Q39" i="1"/>
  <c r="R39" i="1"/>
  <c r="Q40" i="1"/>
  <c r="R40" i="1"/>
  <c r="Q6" i="1"/>
  <c r="R6" i="1"/>
  <c r="S6" i="1"/>
  <c r="W6" i="1"/>
  <c r="H35" i="1"/>
  <c r="R35" i="1" s="1"/>
  <c r="H31" i="1"/>
  <c r="R31" i="1" s="1"/>
  <c r="AA35" i="1"/>
  <c r="G35" i="1"/>
  <c r="Q35" i="1" s="1"/>
  <c r="Z35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6" i="1"/>
  <c r="AA37" i="1"/>
  <c r="AA38" i="1"/>
  <c r="AA39" i="1"/>
  <c r="AA40" i="1"/>
  <c r="AA6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6" i="1"/>
  <c r="Z37" i="1"/>
  <c r="Z38" i="1"/>
  <c r="Z39" i="1"/>
  <c r="Z40" i="1"/>
  <c r="Z6" i="1"/>
  <c r="Q41" i="1"/>
  <c r="G31" i="1"/>
  <c r="Q31" i="1" s="1"/>
  <c r="M44" i="1" l="1"/>
  <c r="M46" i="1"/>
  <c r="L46" i="1"/>
  <c r="I44" i="1"/>
  <c r="I3" i="1"/>
  <c r="H37" i="1"/>
  <c r="R37" i="1" s="1"/>
  <c r="G37" i="1"/>
  <c r="Q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98446-9E82-476F-96A3-F0C199B4D460}" keepAlive="1" name="Consulta - modelo_tese_H (2)" description="Conexão com a consulta 'modelo_tese_H (2)' na pasta de trabalho." type="5" refreshedVersion="8" background="1" saveData="1">
    <dbPr connection="Provider=Microsoft.Mashup.OleDb.1;Data Source=$Workbook$;Location=&quot;modelo_tese_H (2)&quot;;Extended Properties=&quot;&quot;" command="SELECT * FROM [modelo_tese_H (2)]"/>
  </connection>
</connections>
</file>

<file path=xl/sharedStrings.xml><?xml version="1.0" encoding="utf-8"?>
<sst xmlns="http://schemas.openxmlformats.org/spreadsheetml/2006/main" count="304" uniqueCount="183">
  <si>
    <t>parâmetros:</t>
  </si>
  <si>
    <t>tx crexcimento exógena</t>
  </si>
  <si>
    <t>phi0</t>
  </si>
  <si>
    <t>MANDARINO</t>
  </si>
  <si>
    <t>taxa de juros</t>
  </si>
  <si>
    <t>i</t>
  </si>
  <si>
    <t>amortização</t>
  </si>
  <si>
    <t>r</t>
  </si>
  <si>
    <t>PMC trabalhadores</t>
  </si>
  <si>
    <t>cw</t>
  </si>
  <si>
    <t>PMC capitalistas</t>
  </si>
  <si>
    <t>cr</t>
  </si>
  <si>
    <t>profit-share</t>
  </si>
  <si>
    <t>pi</t>
  </si>
  <si>
    <t>wage-share</t>
  </si>
  <si>
    <t>w</t>
  </si>
  <si>
    <t>sensibilidade investimento</t>
  </si>
  <si>
    <t>gamma</t>
  </si>
  <si>
    <t>proporção lucros distribuídos</t>
  </si>
  <si>
    <t>ro</t>
  </si>
  <si>
    <t>razão capital-produto</t>
  </si>
  <si>
    <t>v</t>
  </si>
  <si>
    <t>depreciação</t>
  </si>
  <si>
    <t>delta</t>
  </si>
  <si>
    <t>utilização da capacidade instalada</t>
  </si>
  <si>
    <t>u</t>
  </si>
  <si>
    <t>fixos:</t>
  </si>
  <si>
    <t>utilização da capacidade instalada normal</t>
  </si>
  <si>
    <t>un</t>
  </si>
  <si>
    <t>h</t>
  </si>
  <si>
    <t>propensão marginal a investir</t>
  </si>
  <si>
    <t>eta</t>
  </si>
  <si>
    <t>parâmetro de emulação</t>
  </si>
  <si>
    <t>coeficiente de empréstimos</t>
  </si>
  <si>
    <t>beta</t>
  </si>
  <si>
    <t>coeficiente taxa de juros tipo B</t>
  </si>
  <si>
    <t>coeficiente taxa de juros tipo Z</t>
  </si>
  <si>
    <t>lambda_z</t>
  </si>
  <si>
    <t>lambda_b</t>
  </si>
  <si>
    <t>coeficientes iniciais</t>
  </si>
  <si>
    <t>valores absolutos iniciais</t>
  </si>
  <si>
    <t>depositos trabalhadores</t>
  </si>
  <si>
    <t>depositos capitalistas</t>
  </si>
  <si>
    <t>depositos totais</t>
  </si>
  <si>
    <t>divida trabalhadores B</t>
  </si>
  <si>
    <t>divida trabalhadores Z</t>
  </si>
  <si>
    <t>divida firmas</t>
  </si>
  <si>
    <t>divida total</t>
  </si>
  <si>
    <t xml:space="preserve">estoque de capital </t>
  </si>
  <si>
    <t>K</t>
  </si>
  <si>
    <t>Dw</t>
  </si>
  <si>
    <t>Dr</t>
  </si>
  <si>
    <t>D</t>
  </si>
  <si>
    <t>Lbw</t>
  </si>
  <si>
    <t>Lzw</t>
  </si>
  <si>
    <t>Lf</t>
  </si>
  <si>
    <t>L</t>
  </si>
  <si>
    <t>consumo autônomo</t>
  </si>
  <si>
    <t>Zw</t>
  </si>
  <si>
    <t>externos</t>
  </si>
  <si>
    <t>x</t>
  </si>
  <si>
    <t>iniciais</t>
  </si>
  <si>
    <t>PAIM_2013</t>
  </si>
  <si>
    <t>FÓRMULAS</t>
  </si>
  <si>
    <t>dívida trabalhadores total</t>
  </si>
  <si>
    <t>Lw</t>
  </si>
  <si>
    <t>#PAIM_2013</t>
  </si>
  <si>
    <t>MANDARINO_3</t>
  </si>
  <si>
    <t>#MANDARINO_1</t>
  </si>
  <si>
    <t>#MANDARINO_3</t>
  </si>
  <si>
    <t>AVRITZER E BROCHIER</t>
  </si>
  <si>
    <t>phi1</t>
  </si>
  <si>
    <t>coeficiente debt-service/sensibilidade taxa de juros</t>
  </si>
  <si>
    <t>http://www.repec.eae.fea.usp.br/documentos/Carvalho_Rugitsky_25WP.pdf</t>
  </si>
  <si>
    <t>LAURA E RUGISTKY: POF:http://www.repec.eae.fea.usp.br/documentos/Carvalho_Rugitsky_25WP.pdf</t>
  </si>
  <si>
    <t>https://www.scielo.br/j/neco/a/G6JtYFZHRjzPqJktDyXgxdD/?format=pdf&amp;lang=pt</t>
  </si>
  <si>
    <t>miebach e marquetti</t>
  </si>
  <si>
    <t>PIB</t>
  </si>
  <si>
    <t>sustentabilidade</t>
  </si>
  <si>
    <t>produto pleno emprego</t>
  </si>
  <si>
    <t>fonte</t>
  </si>
  <si>
    <t>exógeno</t>
  </si>
  <si>
    <t>BCB</t>
  </si>
  <si>
    <t>CÁLCUL</t>
  </si>
  <si>
    <t>MÉDIA SELIC 2013</t>
  </si>
  <si>
    <t>MÉDIA AMORTIZAÇÃO CALCULADA 2013</t>
  </si>
  <si>
    <t>IBGE</t>
  </si>
  <si>
    <t>POF</t>
  </si>
  <si>
    <t>MIEBACH E MARQUETTI</t>
  </si>
  <si>
    <t>IPEA</t>
  </si>
  <si>
    <t>NUCI - FGV</t>
  </si>
  <si>
    <t>MÉDIA SÉRIE JAN/2003-FEV/2025</t>
  </si>
  <si>
    <t>CALCULADO</t>
  </si>
  <si>
    <t>DESCREVER</t>
  </si>
  <si>
    <t>pesquisar</t>
  </si>
  <si>
    <t>média 2013-2024</t>
  </si>
  <si>
    <t>Column1</t>
  </si>
  <si>
    <t>period</t>
  </si>
  <si>
    <t>W</t>
  </si>
  <si>
    <t>Ydw</t>
  </si>
  <si>
    <t>Ciw</t>
  </si>
  <si>
    <t>Bw</t>
  </si>
  <si>
    <t>Ct</t>
  </si>
  <si>
    <t>Cw</t>
  </si>
  <si>
    <t>SAVw</t>
  </si>
  <si>
    <t>Ydr</t>
  </si>
  <si>
    <t>Cr</t>
  </si>
  <si>
    <t>FT</t>
  </si>
  <si>
    <t>FD</t>
  </si>
  <si>
    <t>FU</t>
  </si>
  <si>
    <t>Fb</t>
  </si>
  <si>
    <t>SAVr</t>
  </si>
  <si>
    <t>I</t>
  </si>
  <si>
    <t>E</t>
  </si>
  <si>
    <t>Yfc</t>
  </si>
  <si>
    <t>C</t>
  </si>
  <si>
    <t>Y</t>
  </si>
  <si>
    <t>SAV</t>
  </si>
  <si>
    <t>gZw</t>
  </si>
  <si>
    <t>Vw</t>
  </si>
  <si>
    <t>Vr</t>
  </si>
  <si>
    <t>i.1</t>
  </si>
  <si>
    <t>cw.1</t>
  </si>
  <si>
    <t>cr.1</t>
  </si>
  <si>
    <t>w.1</t>
  </si>
  <si>
    <t>Coluna1</t>
  </si>
  <si>
    <t>Coluna2</t>
  </si>
  <si>
    <t>gzw</t>
  </si>
  <si>
    <t>Coluna3</t>
  </si>
  <si>
    <t>679.417717145115=</t>
  </si>
  <si>
    <t>Coluna4</t>
  </si>
  <si>
    <t>BASE 1 - COM BETA</t>
  </si>
  <si>
    <t>BASE 2 - SEM BETA</t>
  </si>
  <si>
    <t># BASE 1_COM BETA</t>
  </si>
  <si>
    <t>MODELO_H_CB</t>
  </si>
  <si>
    <t>crescimento consumo autônomo exógeno</t>
  </si>
  <si>
    <t># BASE 1_SEM BETA</t>
  </si>
  <si>
    <t>MODELO_H_SB</t>
  </si>
  <si>
    <t>BASE 3 - COM BETA_AUMENTADO</t>
  </si>
  <si>
    <t>MODELO_H_CB_BETA7</t>
  </si>
  <si>
    <t>BUCCHIANICO</t>
  </si>
  <si>
    <t>#BUCCHIANICO</t>
  </si>
  <si>
    <t># BUCCHIANICO_2024</t>
  </si>
  <si>
    <t>BUCCHIANICO_2024</t>
  </si>
  <si>
    <t>Sigla</t>
  </si>
  <si>
    <t>Definição</t>
  </si>
  <si>
    <t>Valor</t>
  </si>
  <si>
    <t>Profit-share</t>
  </si>
  <si>
    <t>Propensão a consumir a partir dos salários</t>
  </si>
  <si>
    <t>Propensão a consumir a partir dos lucros</t>
  </si>
  <si>
    <t>Utilização da Capacidade</t>
  </si>
  <si>
    <t>Razão capital-produto</t>
  </si>
  <si>
    <t>Taxa de Depreciação</t>
  </si>
  <si>
    <t>Sensibilidade do investimento a desvios da utilização da capacidade</t>
  </si>
  <si>
    <t>Parcela fixa do consumo autônomo</t>
  </si>
  <si>
    <t>Sensibilidade do consumo autônomo à taxa de juros</t>
  </si>
  <si>
    <t>FONTE</t>
  </si>
  <si>
    <t>Wage-share</t>
  </si>
  <si>
    <t>MIEBACH, MARQUETTI (2022). Ano 2013</t>
  </si>
  <si>
    <t>LEITE (2015). POF 2008-2009, valor para 92% mais pobres</t>
  </si>
  <si>
    <t>LEITE (2015). POF 2008-2009, valor para 8% mais ricos</t>
  </si>
  <si>
    <t>NUCI. Média 2013-2024</t>
  </si>
  <si>
    <t>Elaborado com dados do IPEA e da FGV, média 2013-2024</t>
  </si>
  <si>
    <t>Elaborado com dados do IPEA, média 2013-2024</t>
  </si>
  <si>
    <t>Elaborado com dados do BC. Ano 2013</t>
  </si>
  <si>
    <t>0,009</t>
  </si>
  <si>
    <t>Mandarino, dos Santos e Macedo (2024)</t>
  </si>
  <si>
    <t>definido pelo autor</t>
  </si>
  <si>
    <t>0.05 (modelo base)</t>
  </si>
  <si>
    <t>0.08  (modelo base)</t>
  </si>
  <si>
    <t>0.135 (modelo base)</t>
  </si>
  <si>
    <t>Limite de crédito do tipo B</t>
  </si>
  <si>
    <t>parâmetros iniciais</t>
  </si>
  <si>
    <t>r_b</t>
  </si>
  <si>
    <t>r_z</t>
  </si>
  <si>
    <t>Taxa básica de juros</t>
  </si>
  <si>
    <t>Proporção de Amortização do tipo B</t>
  </si>
  <si>
    <t>Coeficiente de relação com taxa básica (i) do tipo Z</t>
  </si>
  <si>
    <t>Coeficiente de relação com taxa básica (i) do tipo B</t>
  </si>
  <si>
    <t>Proporção de Amortização do tipo Z</t>
  </si>
  <si>
    <t>K0</t>
  </si>
  <si>
    <t>Valor inicial do estoque de capital</t>
  </si>
  <si>
    <t>Lb0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</si>
</sst>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0" applyNumberFormat="1"/>
    <xf numFmtId="164" fontId="0" fillId="0" borderId="0" xfId="1" applyNumberFormat="1" applyFont="1"/>
    <xf numFmtId="0" fontId="0" fillId="2" borderId="0" xfId="0" applyFill="1"/>
    <xf numFmtId="164" fontId="0" fillId="2" borderId="0" xfId="0" applyNumberFormat="1" applyFill="1"/>
    <xf numFmtId="43" fontId="0" fillId="2" borderId="0" xfId="0" applyNumberFormat="1" applyFill="1"/>
    <xf numFmtId="4" fontId="3" fillId="2" borderId="0" xfId="0" applyNumberFormat="1" applyFont="1" applyFill="1"/>
    <xf numFmtId="164" fontId="0" fillId="2" borderId="0" xfId="1" applyNumberFormat="1" applyFont="1" applyFill="1"/>
    <xf numFmtId="43" fontId="0" fillId="0" borderId="0" xfId="1" applyFont="1"/>
    <xf numFmtId="10" fontId="0" fillId="0" borderId="0" xfId="2" applyNumberFormat="1" applyFont="1"/>
    <xf numFmtId="0" fontId="4" fillId="2" borderId="0" xfId="0" applyFont="1" applyFill="1"/>
    <xf numFmtId="43" fontId="0" fillId="2" borderId="0" xfId="1" applyFont="1" applyFill="1"/>
    <xf numFmtId="165" fontId="0" fillId="0" borderId="0" xfId="2" applyNumberFormat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top" wrapText="1"/>
    </xf>
    <xf numFmtId="0" fontId="5" fillId="0" borderId="4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justify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3"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4AABCFC-9208-4FDB-A71E-065049155106}" autoFormatId="16" applyNumberFormats="0" applyBorderFormats="0" applyFontFormats="0" applyPatternFormats="0" applyAlignmentFormats="0" applyWidthHeightFormats="0">
  <queryTableRefresh nextId="57" unboundColumnsRight="4">
    <queryTableFields count="56">
      <queryTableField id="1" name="Column1" tableColumnId="1"/>
      <queryTableField id="2" name="period" tableColumnId="2"/>
      <queryTableField id="3" name="W" tableColumnId="3"/>
      <queryTableField id="4" name="Ydw" tableColumnId="4"/>
      <queryTableField id="5" name="Ciw" tableColumnId="5"/>
      <queryTableField id="6" name="Bw" tableColumnId="6"/>
      <queryTableField id="7" name="Ct" tableColumnId="7"/>
      <queryTableField id="8" name="Zw" tableColumnId="8"/>
      <queryTableField id="9" name="Cw" tableColumnId="9"/>
      <queryTableField id="10" name="Lbw" tableColumnId="10"/>
      <queryTableField id="11" name="Lzw" tableColumnId="11"/>
      <queryTableField id="12" name="SAVw" tableColumnId="12"/>
      <queryTableField id="13" name="Lw" tableColumnId="13"/>
      <queryTableField id="14" name="Dw" tableColumnId="14"/>
      <queryTableField id="15" name="Ydr" tableColumnId="15"/>
      <queryTableField id="16" name="Cr" tableColumnId="16"/>
      <queryTableField id="17" name="FT" tableColumnId="17"/>
      <queryTableField id="18" name="FD" tableColumnId="18"/>
      <queryTableField id="19" name="FU" tableColumnId="19"/>
      <queryTableField id="20" name="Fb" tableColumnId="20"/>
      <queryTableField id="21" name="SAVr" tableColumnId="21"/>
      <queryTableField id="22" name="Dr" tableColumnId="22"/>
      <queryTableField id="23" name="I" tableColumnId="23"/>
      <queryTableField id="24" name="h" tableColumnId="24"/>
      <queryTableField id="25" name="K" tableColumnId="25"/>
      <queryTableField id="26" name="E" tableColumnId="26"/>
      <queryTableField id="27" name="u" tableColumnId="27"/>
      <queryTableField id="28" name="Yfc" tableColumnId="28"/>
      <queryTableField id="29" name="C" tableColumnId="29"/>
      <queryTableField id="30" name="Y" tableColumnId="30"/>
      <queryTableField id="31" name="D" tableColumnId="31"/>
      <queryTableField id="32" name="SAV" tableColumnId="32"/>
      <queryTableField id="33" name="gZw" tableColumnId="33"/>
      <queryTableField id="34" name="Vw" tableColumnId="34"/>
      <queryTableField id="35" name="Vr" tableColumnId="35"/>
      <queryTableField id="36" name="phi0" tableColumnId="36"/>
      <queryTableField id="37" name="phi1" tableColumnId="37"/>
      <queryTableField id="38" name="i.1" tableColumnId="38"/>
      <queryTableField id="39" name="r" tableColumnId="39"/>
      <queryTableField id="40" name="cw.1" tableColumnId="40"/>
      <queryTableField id="41" name="cr.1" tableColumnId="41"/>
      <queryTableField id="42" name="pi" tableColumnId="42"/>
      <queryTableField id="43" name="w.1" tableColumnId="43"/>
      <queryTableField id="44" name="gamma" tableColumnId="44"/>
      <queryTableField id="45" name="ro" tableColumnId="45"/>
      <queryTableField id="46" name="v" tableColumnId="46"/>
      <queryTableField id="47" name="delta" tableColumnId="47"/>
      <queryTableField id="48" name="un" tableColumnId="48"/>
      <queryTableField id="49" name="eta" tableColumnId="49"/>
      <queryTableField id="50" name="beta" tableColumnId="50"/>
      <queryTableField id="51" name="lambda_b" tableColumnId="51"/>
      <queryTableField id="52" name="lambda_z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43DCB-3915-4F4F-B0D1-5A315921761A}" name="modelo_tese_H__2" displayName="modelo_tese_H__2" ref="A1:BD501" tableType="queryTable" totalsRowShown="0">
  <autoFilter ref="A1:BD501" xr:uid="{DE643DCB-3915-4F4F-B0D1-5A315921761A}"/>
  <tableColumns count="56">
    <tableColumn id="1" xr3:uid="{B3E7FA59-C615-48F0-BF4D-4B79413308AE}" uniqueName="1" name="Column1" queryTableFieldId="1"/>
    <tableColumn id="2" xr3:uid="{FAE9A250-339E-481D-8A23-D48B1C4A459F}" uniqueName="2" name="period" queryTableFieldId="2"/>
    <tableColumn id="3" xr3:uid="{82A191B1-3678-4B6A-9D9E-791A640245DD}" uniqueName="3" name="W" queryTableFieldId="3"/>
    <tableColumn id="4" xr3:uid="{77F4BF67-FCCF-419C-A9A1-7F2E14872BBF}" uniqueName="4" name="Ydw" queryTableFieldId="4"/>
    <tableColumn id="5" xr3:uid="{5A50B7F7-B0D4-41AD-8A6B-B14EF8E4F9AE}" uniqueName="5" name="Ciw" queryTableFieldId="5"/>
    <tableColumn id="6" xr3:uid="{98FF6ED2-6A61-492C-B536-4ED29FE9F025}" uniqueName="6" name="Bw" queryTableFieldId="6"/>
    <tableColumn id="7" xr3:uid="{528B1838-A9D0-4322-AD04-473766F69E88}" uniqueName="7" name="Ct" queryTableFieldId="7"/>
    <tableColumn id="8" xr3:uid="{46B2FE40-D006-4C00-AC4D-4C0CB7E082CE}" uniqueName="8" name="Zw" queryTableFieldId="8"/>
    <tableColumn id="9" xr3:uid="{61A349C7-3604-43E5-A84A-DD19FF9A3C51}" uniqueName="9" name="Cw" queryTableFieldId="9"/>
    <tableColumn id="10" xr3:uid="{73D3F5D3-80D5-48BA-9481-866E7286C73C}" uniqueName="10" name="Lbw" queryTableFieldId="10"/>
    <tableColumn id="11" xr3:uid="{596547EB-1049-48CF-A6C9-7620D7B7A9F9}" uniqueName="11" name="Lzw" queryTableFieldId="11"/>
    <tableColumn id="12" xr3:uid="{C86D91D5-18BA-4E2D-9276-5DE4A4D41FB6}" uniqueName="12" name="SAVw" queryTableFieldId="12"/>
    <tableColumn id="13" xr3:uid="{73934A10-EF4B-49A3-8AE3-71A7783C31AF}" uniqueName="13" name="Lw" queryTableFieldId="13"/>
    <tableColumn id="14" xr3:uid="{E4AF087F-547E-4329-A30B-7A330CE796A4}" uniqueName="14" name="Dw" queryTableFieldId="14"/>
    <tableColumn id="15" xr3:uid="{24FE2A10-59DD-4479-9BAC-C914B5C56DFB}" uniqueName="15" name="Ydr" queryTableFieldId="15"/>
    <tableColumn id="16" xr3:uid="{67DECF2F-EE54-4341-B749-D0220D2DA40E}" uniqueName="16" name="Cr" queryTableFieldId="16"/>
    <tableColumn id="17" xr3:uid="{55133D81-2ADE-42C2-8D3B-50B641694791}" uniqueName="17" name="FT" queryTableFieldId="17"/>
    <tableColumn id="18" xr3:uid="{3D91480A-50F0-488A-8C71-E248584437F2}" uniqueName="18" name="FD" queryTableFieldId="18"/>
    <tableColumn id="19" xr3:uid="{450ADACF-9529-41E4-8C4B-3463249F284A}" uniqueName="19" name="FU" queryTableFieldId="19"/>
    <tableColumn id="20" xr3:uid="{282C102C-43BA-4671-9199-6936199FED61}" uniqueName="20" name="Fb" queryTableFieldId="20"/>
    <tableColumn id="21" xr3:uid="{F87D3514-658E-4623-A468-BED7CD141E21}" uniqueName="21" name="SAVr" queryTableFieldId="21"/>
    <tableColumn id="22" xr3:uid="{78379F26-FAA9-4642-A797-F8A7EC99532A}" uniqueName="22" name="Dr" queryTableFieldId="22"/>
    <tableColumn id="23" xr3:uid="{CD044A70-F14F-46F3-917E-A87B3FBE4F6C}" uniqueName="23" name="I" queryTableFieldId="23"/>
    <tableColumn id="24" xr3:uid="{913A189C-E649-4F7A-9C74-093C0333140E}" uniqueName="24" name="h" queryTableFieldId="24"/>
    <tableColumn id="25" xr3:uid="{3A66F197-285C-461A-9929-BC61044CF590}" uniqueName="25" name="K" queryTableFieldId="25"/>
    <tableColumn id="26" xr3:uid="{AFCF5735-7F69-4BC3-A40D-2347467D51A5}" uniqueName="26" name="E" queryTableFieldId="26"/>
    <tableColumn id="27" xr3:uid="{99436406-A168-4E50-9B14-A01E906B0279}" uniqueName="27" name="u" queryTableFieldId="27"/>
    <tableColumn id="28" xr3:uid="{234DDBF9-2E27-4AC2-BF73-63C065A0FBB6}" uniqueName="28" name="Yfc" queryTableFieldId="28"/>
    <tableColumn id="29" xr3:uid="{94E3E4F1-6F0F-4CEF-8860-A1514CA4CEE6}" uniqueName="29" name="C" queryTableFieldId="29"/>
    <tableColumn id="30" xr3:uid="{3FFDCA4F-11B9-441F-B991-998081F85979}" uniqueName="30" name="Y" queryTableFieldId="30"/>
    <tableColumn id="31" xr3:uid="{FDE104E3-44DE-4F07-A251-99DD404029D2}" uniqueName="31" name="D" queryTableFieldId="31"/>
    <tableColumn id="32" xr3:uid="{A0B72BA7-0945-4CC4-B780-18E8E79BB5C4}" uniqueName="32" name="SAV" queryTableFieldId="32"/>
    <tableColumn id="33" xr3:uid="{3285C5C3-8089-49CA-B819-CC03AC8B8989}" uniqueName="33" name="gZw" queryTableFieldId="33"/>
    <tableColumn id="34" xr3:uid="{450FB8CB-B076-47D8-AF1C-8FDDA89B2801}" uniqueName="34" name="Vw" queryTableFieldId="34"/>
    <tableColumn id="35" xr3:uid="{0FDAA78A-3257-4AF5-ADD1-854C5C11C9D4}" uniqueName="35" name="Vr" queryTableFieldId="35"/>
    <tableColumn id="36" xr3:uid="{0E2F0C8C-DBF5-4A2F-8105-3ACE9EF2D284}" uniqueName="36" name="phi0" queryTableFieldId="36"/>
    <tableColumn id="37" xr3:uid="{86710D89-1C25-4CF1-BB44-6BA42607DC69}" uniqueName="37" name="phi1" queryTableFieldId="37"/>
    <tableColumn id="38" xr3:uid="{A91F6F3B-604B-41E9-A19F-7A2299795842}" uniqueName="38" name="i.1" queryTableFieldId="38"/>
    <tableColumn id="39" xr3:uid="{8972AC4A-211F-4401-9DB4-3230CDF058EF}" uniqueName="39" name="r" queryTableFieldId="39"/>
    <tableColumn id="40" xr3:uid="{3E86726E-76C1-42F0-A895-AB18FF66CCED}" uniqueName="40" name="cw.1" queryTableFieldId="40"/>
    <tableColumn id="41" xr3:uid="{75DB7FBB-29E7-4305-9201-07483D29E378}" uniqueName="41" name="cr.1" queryTableFieldId="41"/>
    <tableColumn id="42" xr3:uid="{BB77C873-FD57-4F08-8C4E-12758866C882}" uniqueName="42" name="pi" queryTableFieldId="42"/>
    <tableColumn id="43" xr3:uid="{6203FB3E-F97F-464B-B8A1-A9D8955E4399}" uniqueName="43" name="w.1" queryTableFieldId="43"/>
    <tableColumn id="44" xr3:uid="{030D7D58-72A1-4296-AFD4-FED825285D37}" uniqueName="44" name="gamma" queryTableFieldId="44"/>
    <tableColumn id="45" xr3:uid="{3F4813C5-76D2-4A08-81C8-E6CF118C985B}" uniqueName="45" name="ro" queryTableFieldId="45"/>
    <tableColumn id="46" xr3:uid="{FBB21DD2-48B8-4111-A813-3B10EB4CCA88}" uniqueName="46" name="v" queryTableFieldId="46"/>
    <tableColumn id="47" xr3:uid="{413CF386-9A6F-47AC-9F75-C164D3652A19}" uniqueName="47" name="delta" queryTableFieldId="47"/>
    <tableColumn id="48" xr3:uid="{FF77FA48-A547-4081-8F8C-176C20E019C1}" uniqueName="48" name="un" queryTableFieldId="48"/>
    <tableColumn id="49" xr3:uid="{1E446128-1656-4724-A833-1EF2E0FDF930}" uniqueName="49" name="eta" queryTableFieldId="49"/>
    <tableColumn id="50" xr3:uid="{9B7ABA18-BD78-43F7-A800-FC603EAD4076}" uniqueName="50" name="beta" queryTableFieldId="50"/>
    <tableColumn id="51" xr3:uid="{F6839178-B7C9-4EC9-9AAD-F197E00A9036}" uniqueName="51" name="lambda_b" queryTableFieldId="51"/>
    <tableColumn id="52" xr3:uid="{094CA926-D9A1-4A8F-8CD5-8F23120C38F3}" uniqueName="52" name="lambda_z" queryTableFieldId="52"/>
    <tableColumn id="53" xr3:uid="{2C795BCE-D8FB-4EA4-88C7-980D8CCBBD5E}" uniqueName="53" name="Coluna1" queryTableFieldId="53" dataDxfId="2" dataCellStyle="Vírgula">
      <calculatedColumnFormula>modelo_tese_H__2[[#This Row],[Vw]]+modelo_tese_H__2[[#This Row],[Vr]]+modelo_tese_H__2[[#This Row],[K]]-modelo_tese_H__2[[#This Row],[E]]</calculatedColumnFormula>
    </tableColumn>
    <tableColumn id="54" xr3:uid="{09AC70DD-63C8-4950-B262-D81142A85165}" uniqueName="54" name="Coluna2" queryTableFieldId="54" dataDxfId="1" dataCellStyle="Vírgula">
      <calculatedColumnFormula>modelo_tese_H__2[[#This Row],[K]]-modelo_tese_H__2[[#This Row],[Coluna1]]</calculatedColumnFormula>
    </tableColumn>
    <tableColumn id="55" xr3:uid="{38306844-F6F5-4255-A368-F85A1D8BC843}" uniqueName="55" name="Coluna3" queryTableFieldId="55" dataDxfId="0">
      <calculatedColumnFormula>modelo_tese_H__2[[#This Row],[Coluna2]]/modelo_tese_H__2[[#This Row],[Coluna1]]</calculatedColumnFormula>
    </tableColumn>
    <tableColumn id="56" xr3:uid="{EAFE65EC-7B61-4CEF-8E4C-368612AB3711}" uniqueName="56" name="Coluna4" queryTableFieldId="56" dataCellStyle="Vírgula">
      <calculatedColumnFormula>modelo_tese_H__2[[#This Row],[D]]-modelo_tese_H__2[[#This Row],[Dw]]-modelo_tese_H__2[[#This Row],[Dr]]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B8A0-8732-43BF-88F7-07D2BF411246}">
  <dimension ref="A1:BD501"/>
  <sheetViews>
    <sheetView topLeftCell="A82" zoomScale="70" zoomScaleNormal="70" workbookViewId="0">
      <selection activeCell="BD1" sqref="BD1:BD1048576"/>
    </sheetView>
  </sheetViews>
  <sheetFormatPr defaultRowHeight="15" x14ac:dyDescent="0.25"/>
  <cols>
    <col min="1" max="1" width="11.42578125" bestFit="1" customWidth="1"/>
    <col min="3" max="11" width="12" bestFit="1" customWidth="1"/>
    <col min="12" max="12" width="12.7109375" bestFit="1" customWidth="1"/>
    <col min="13" max="13" width="12" bestFit="1" customWidth="1"/>
    <col min="14" max="14" width="12.7109375" bestFit="1" customWidth="1"/>
    <col min="15" max="30" width="12" bestFit="1" customWidth="1"/>
    <col min="31" max="32" width="12.7109375" bestFit="1" customWidth="1"/>
    <col min="33" max="33" width="9" bestFit="1" customWidth="1"/>
    <col min="34" max="34" width="12.7109375" bestFit="1" customWidth="1"/>
    <col min="35" max="35" width="12" bestFit="1" customWidth="1"/>
    <col min="36" max="37" width="7.140625" bestFit="1" customWidth="1"/>
    <col min="38" max="39" width="7" bestFit="1" customWidth="1"/>
    <col min="40" max="40" width="7.28515625" bestFit="1" customWidth="1"/>
    <col min="41" max="41" width="6.5703125" bestFit="1" customWidth="1"/>
    <col min="42" max="43" width="7" bestFit="1" customWidth="1"/>
    <col min="44" max="44" width="9.7109375" bestFit="1" customWidth="1"/>
    <col min="45" max="45" width="5.140625" bestFit="1" customWidth="1"/>
    <col min="46" max="46" width="5" bestFit="1" customWidth="1"/>
    <col min="47" max="47" width="12" bestFit="1" customWidth="1"/>
    <col min="48" max="48" width="7" bestFit="1" customWidth="1"/>
    <col min="49" max="49" width="6.140625" bestFit="1" customWidth="1"/>
    <col min="50" max="50" width="7.28515625" bestFit="1" customWidth="1"/>
    <col min="51" max="51" width="11.85546875" bestFit="1" customWidth="1"/>
    <col min="52" max="52" width="11.5703125" bestFit="1" customWidth="1"/>
    <col min="53" max="53" width="27.85546875" bestFit="1" customWidth="1"/>
    <col min="54" max="54" width="28.85546875" bestFit="1" customWidth="1"/>
    <col min="56" max="56" width="9.140625" style="8"/>
  </cols>
  <sheetData>
    <row r="1" spans="1:56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58</v>
      </c>
      <c r="I1" t="s">
        <v>103</v>
      </c>
      <c r="J1" t="s">
        <v>53</v>
      </c>
      <c r="K1" t="s">
        <v>54</v>
      </c>
      <c r="L1" t="s">
        <v>104</v>
      </c>
      <c r="M1" t="s">
        <v>65</v>
      </c>
      <c r="N1" t="s">
        <v>50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51</v>
      </c>
      <c r="W1" t="s">
        <v>112</v>
      </c>
      <c r="X1" t="s">
        <v>29</v>
      </c>
      <c r="Y1" t="s">
        <v>49</v>
      </c>
      <c r="Z1" t="s">
        <v>113</v>
      </c>
      <c r="AA1" t="s">
        <v>25</v>
      </c>
      <c r="AB1" t="s">
        <v>114</v>
      </c>
      <c r="AC1" t="s">
        <v>115</v>
      </c>
      <c r="AD1" t="s">
        <v>116</v>
      </c>
      <c r="AE1" t="s">
        <v>52</v>
      </c>
      <c r="AF1" t="s">
        <v>117</v>
      </c>
      <c r="AG1" t="s">
        <v>118</v>
      </c>
      <c r="AH1" t="s">
        <v>119</v>
      </c>
      <c r="AI1" t="s">
        <v>120</v>
      </c>
      <c r="AJ1" t="s">
        <v>2</v>
      </c>
      <c r="AK1" t="s">
        <v>71</v>
      </c>
      <c r="AL1" t="s">
        <v>121</v>
      </c>
      <c r="AM1" t="s">
        <v>7</v>
      </c>
      <c r="AN1" t="s">
        <v>122</v>
      </c>
      <c r="AO1" t="s">
        <v>123</v>
      </c>
      <c r="AP1" t="s">
        <v>13</v>
      </c>
      <c r="AQ1" t="s">
        <v>124</v>
      </c>
      <c r="AR1" t="s">
        <v>17</v>
      </c>
      <c r="AS1" t="s">
        <v>19</v>
      </c>
      <c r="AT1" t="s">
        <v>21</v>
      </c>
      <c r="AU1" t="s">
        <v>23</v>
      </c>
      <c r="AV1" t="s">
        <v>28</v>
      </c>
      <c r="AW1" t="s">
        <v>31</v>
      </c>
      <c r="AX1" t="s">
        <v>34</v>
      </c>
      <c r="AY1" t="s">
        <v>38</v>
      </c>
      <c r="AZ1" t="s">
        <v>37</v>
      </c>
      <c r="BA1" t="s">
        <v>125</v>
      </c>
      <c r="BB1" t="s">
        <v>126</v>
      </c>
      <c r="BC1" t="s">
        <v>128</v>
      </c>
      <c r="BD1" s="8" t="s">
        <v>130</v>
      </c>
    </row>
    <row r="2" spans="1:56" x14ac:dyDescent="0.25">
      <c r="A2">
        <v>1</v>
      </c>
      <c r="B2">
        <v>1</v>
      </c>
      <c r="C2">
        <v>1.0000000000000001E-15</v>
      </c>
      <c r="D2">
        <v>267.698364870707</v>
      </c>
      <c r="E2">
        <v>238.25154473492901</v>
      </c>
      <c r="F2">
        <v>9.9157888760444806</v>
      </c>
      <c r="G2">
        <v>436.567322255818</v>
      </c>
      <c r="H2">
        <v>85.194035067271599</v>
      </c>
      <c r="I2">
        <v>333.36136867824501</v>
      </c>
      <c r="J2">
        <v>363.226</v>
      </c>
      <c r="K2">
        <v>518.77800000000002</v>
      </c>
      <c r="L2">
        <v>-65.663003807538402</v>
      </c>
      <c r="M2">
        <v>882.00400000000002</v>
      </c>
      <c r="N2">
        <v>1053.3441</v>
      </c>
      <c r="O2">
        <v>1.0000000000000001E-15</v>
      </c>
      <c r="P2">
        <v>145.522440751939</v>
      </c>
      <c r="Q2">
        <v>285.56798838769498</v>
      </c>
      <c r="R2">
        <v>142.783994193848</v>
      </c>
      <c r="S2">
        <v>142.783994193848</v>
      </c>
      <c r="T2">
        <v>77.704552399999997</v>
      </c>
      <c r="U2">
        <v>74.966105841908202</v>
      </c>
      <c r="V2">
        <v>793.65589999999997</v>
      </c>
      <c r="W2">
        <v>182.571019621148</v>
      </c>
      <c r="X2">
        <v>0.27471835192080502</v>
      </c>
      <c r="Y2">
        <v>1532.4046239279</v>
      </c>
      <c r="Z2">
        <v>39.7870254273002</v>
      </c>
      <c r="AA2">
        <v>0.7893</v>
      </c>
      <c r="AB2">
        <v>841.98056259774705</v>
      </c>
      <c r="AC2">
        <v>478.88380943018399</v>
      </c>
      <c r="AD2">
        <v>746.64886411860402</v>
      </c>
      <c r="AE2">
        <v>1847</v>
      </c>
      <c r="AF2">
        <v>152.08709622821701</v>
      </c>
      <c r="AG2">
        <v>5.5594999999999999E-2</v>
      </c>
      <c r="AH2">
        <v>1.0000000000000001E-15</v>
      </c>
      <c r="AI2">
        <v>114.753131269208</v>
      </c>
      <c r="AJ2">
        <v>0.06</v>
      </c>
      <c r="AK2">
        <v>0.05</v>
      </c>
      <c r="AL2">
        <v>8.8099999999999998E-2</v>
      </c>
      <c r="AM2">
        <v>3.8100000000000002E-2</v>
      </c>
      <c r="AN2">
        <v>0.89</v>
      </c>
      <c r="AO2">
        <v>0.66</v>
      </c>
      <c r="AP2">
        <v>0.42970000000000003</v>
      </c>
      <c r="AQ2">
        <v>0.57030000000000003</v>
      </c>
      <c r="AR2">
        <v>8.9999999999999993E-3</v>
      </c>
      <c r="AS2">
        <v>0.5</v>
      </c>
      <c r="AT2">
        <v>1.82</v>
      </c>
      <c r="AU2">
        <v>6.3545217126973294E-2</v>
      </c>
      <c r="AV2">
        <v>0.7893</v>
      </c>
      <c r="AW2">
        <v>3</v>
      </c>
      <c r="AX2">
        <v>0.05</v>
      </c>
      <c r="AY2">
        <v>1</v>
      </c>
      <c r="AZ2">
        <v>1</v>
      </c>
      <c r="BA2" s="2">
        <f>modelo_tese_H__2[[#This Row],[Vw]]+modelo_tese_H__2[[#This Row],[Vr]]+modelo_tese_H__2[[#This Row],[K]]-modelo_tese_H__2[[#This Row],[E]]</f>
        <v>1607.3707297698079</v>
      </c>
      <c r="BB2" s="2">
        <f>modelo_tese_H__2[[#This Row],[K]]-modelo_tese_H__2[[#This Row],[Coluna1]]</f>
        <v>-74.966105841907847</v>
      </c>
      <c r="BC2">
        <f>modelo_tese_H__2[[#This Row],[Coluna2]]/modelo_tese_H__2[[#This Row],[Coluna1]]</f>
        <v>-4.6638964150257839E-2</v>
      </c>
      <c r="BD2" s="8">
        <f>modelo_tese_H__2[[#This Row],[D]]-modelo_tese_H__2[[#This Row],[Dw]]-modelo_tese_H__2[[#This Row],[Dr]]</f>
        <v>0</v>
      </c>
    </row>
    <row r="3" spans="1:56" x14ac:dyDescent="0.25">
      <c r="A3">
        <v>2</v>
      </c>
      <c r="B3">
        <v>2</v>
      </c>
      <c r="C3">
        <v>338.76712105930199</v>
      </c>
      <c r="D3">
        <v>219.014495754184</v>
      </c>
      <c r="E3">
        <v>194.92290122122401</v>
      </c>
      <c r="F3">
        <v>10.581407450139601</v>
      </c>
      <c r="G3">
        <v>406.551050224015</v>
      </c>
      <c r="H3">
        <v>89.930397446836594</v>
      </c>
      <c r="I3">
        <v>295.43470611819998</v>
      </c>
      <c r="J3">
        <v>359.96849685014001</v>
      </c>
      <c r="K3">
        <v>588.94295564683705</v>
      </c>
      <c r="L3">
        <v>-76.420210364016</v>
      </c>
      <c r="M3">
        <v>948.91145249697604</v>
      </c>
      <c r="N3">
        <v>976.92388963598398</v>
      </c>
      <c r="O3">
        <v>205.32881324445199</v>
      </c>
      <c r="P3">
        <v>135.51701674133801</v>
      </c>
      <c r="Q3">
        <v>255.24852168890399</v>
      </c>
      <c r="R3">
        <v>127.624260844452</v>
      </c>
      <c r="S3">
        <v>127.624260844452</v>
      </c>
      <c r="T3">
        <v>77.704552399999997</v>
      </c>
      <c r="U3">
        <v>34.372137458897697</v>
      </c>
      <c r="V3">
        <v>828.02803745889798</v>
      </c>
      <c r="W3">
        <v>163.06391988866801</v>
      </c>
      <c r="X3">
        <v>0.27451115451171798</v>
      </c>
      <c r="Y3">
        <v>1598.09155926269</v>
      </c>
      <c r="Z3">
        <v>75.226684471516293</v>
      </c>
      <c r="AA3">
        <v>0.70549804726548704</v>
      </c>
      <c r="AB3">
        <v>841.98056259774705</v>
      </c>
      <c r="AC3">
        <v>430.95172285953799</v>
      </c>
      <c r="AD3">
        <v>594.01564274820601</v>
      </c>
      <c r="AE3">
        <v>1804.9519270948799</v>
      </c>
      <c r="AF3">
        <v>-42.048072905118303</v>
      </c>
      <c r="AG3">
        <v>5.5594999999999999E-2</v>
      </c>
      <c r="AH3">
        <v>28.012437139007901</v>
      </c>
      <c r="AI3">
        <v>903.25472193041401</v>
      </c>
      <c r="AJ3">
        <v>0.06</v>
      </c>
      <c r="AK3">
        <v>0.05</v>
      </c>
      <c r="AL3">
        <v>8.8099999999999998E-2</v>
      </c>
      <c r="AM3">
        <v>3.8100000000000002E-2</v>
      </c>
      <c r="AN3">
        <v>0.89</v>
      </c>
      <c r="AO3">
        <v>0.66</v>
      </c>
      <c r="AP3">
        <v>0.42970000000000003</v>
      </c>
      <c r="AQ3">
        <v>0.57030000000000003</v>
      </c>
      <c r="AR3">
        <v>8.9999999999999993E-3</v>
      </c>
      <c r="AS3">
        <v>0.5</v>
      </c>
      <c r="AT3">
        <v>1.82</v>
      </c>
      <c r="AU3">
        <v>6.3545217126973294E-2</v>
      </c>
      <c r="AV3">
        <v>0.7893</v>
      </c>
      <c r="AW3">
        <v>3</v>
      </c>
      <c r="AX3">
        <v>0.05</v>
      </c>
      <c r="AY3">
        <v>1</v>
      </c>
      <c r="AZ3">
        <v>1</v>
      </c>
      <c r="BA3" s="2">
        <f>modelo_tese_H__2[[#This Row],[Vw]]+modelo_tese_H__2[[#This Row],[Vr]]+modelo_tese_H__2[[#This Row],[K]]-modelo_tese_H__2[[#This Row],[E]]</f>
        <v>2454.1320338605956</v>
      </c>
      <c r="BB3" s="2">
        <f>modelo_tese_H__2[[#This Row],[K]]-modelo_tese_H__2[[#This Row],[Coluna1]]</f>
        <v>-856.04047459790559</v>
      </c>
      <c r="BC3">
        <f>modelo_tese_H__2[[#This Row],[Coluna2]]/modelo_tese_H__2[[#This Row],[Coluna1]]</f>
        <v>-0.34881598169405259</v>
      </c>
      <c r="BD3" s="8">
        <f>modelo_tese_H__2[[#This Row],[D]]-modelo_tese_H__2[[#This Row],[Dw]]-modelo_tese_H__2[[#This Row],[Dr]]</f>
        <v>-2.0463630789890885E-12</v>
      </c>
    </row>
    <row r="4" spans="1:56" x14ac:dyDescent="0.25">
      <c r="A4">
        <v>3</v>
      </c>
      <c r="B4">
        <v>3</v>
      </c>
      <c r="C4">
        <v>351.89447573791898</v>
      </c>
      <c r="D4">
        <v>223.27738272212301</v>
      </c>
      <c r="E4">
        <v>198.71687062269001</v>
      </c>
      <c r="F4">
        <v>11.464872462115</v>
      </c>
      <c r="G4">
        <v>428.01431986499</v>
      </c>
      <c r="H4">
        <v>94.930077892893493</v>
      </c>
      <c r="I4">
        <v>305.11182097769802</v>
      </c>
      <c r="J4">
        <v>357.71856958226402</v>
      </c>
      <c r="K4">
        <v>661.434306929586</v>
      </c>
      <c r="L4">
        <v>-81.834438255574895</v>
      </c>
      <c r="M4">
        <v>1019.15287651185</v>
      </c>
      <c r="N4">
        <v>895.08945138040895</v>
      </c>
      <c r="O4">
        <v>216.16884841666101</v>
      </c>
      <c r="P4">
        <v>142.671439954997</v>
      </c>
      <c r="Q4">
        <v>265.13949890335601</v>
      </c>
      <c r="R4">
        <v>132.56974945167801</v>
      </c>
      <c r="S4">
        <v>132.56974945167801</v>
      </c>
      <c r="T4">
        <v>83.599098964983597</v>
      </c>
      <c r="U4">
        <v>36.816444204763101</v>
      </c>
      <c r="V4">
        <v>864.84448166366099</v>
      </c>
      <c r="W4">
        <v>169.25071370858001</v>
      </c>
      <c r="X4">
        <v>0.27429723591309402</v>
      </c>
      <c r="Y4">
        <v>1665.79119784914</v>
      </c>
      <c r="Z4">
        <v>111.907648728418</v>
      </c>
      <c r="AA4">
        <v>0.70271432655913402</v>
      </c>
      <c r="AB4">
        <v>878.07228530917098</v>
      </c>
      <c r="AC4">
        <v>447.78326093269499</v>
      </c>
      <c r="AD4">
        <v>617.03397464127397</v>
      </c>
      <c r="AE4">
        <v>1759.93393304407</v>
      </c>
      <c r="AF4">
        <v>-45.017994050811801</v>
      </c>
      <c r="AG4">
        <v>5.5594999999999999E-2</v>
      </c>
      <c r="AH4">
        <v>-124.06342513144099</v>
      </c>
      <c r="AI4">
        <v>976.75213039207904</v>
      </c>
      <c r="AJ4">
        <v>0.06</v>
      </c>
      <c r="AK4">
        <v>0.05</v>
      </c>
      <c r="AL4">
        <v>8.8099999999999998E-2</v>
      </c>
      <c r="AM4">
        <v>3.8100000000000002E-2</v>
      </c>
      <c r="AN4">
        <v>0.89</v>
      </c>
      <c r="AO4">
        <v>0.66</v>
      </c>
      <c r="AP4">
        <v>0.42970000000000003</v>
      </c>
      <c r="AQ4">
        <v>0.57030000000000003</v>
      </c>
      <c r="AR4">
        <v>8.9999999999999993E-3</v>
      </c>
      <c r="AS4">
        <v>0.5</v>
      </c>
      <c r="AT4">
        <v>1.82</v>
      </c>
      <c r="AU4">
        <v>6.3545217126973294E-2</v>
      </c>
      <c r="AV4">
        <v>0.7893</v>
      </c>
      <c r="AW4">
        <v>3</v>
      </c>
      <c r="AX4">
        <v>0.05</v>
      </c>
      <c r="AY4">
        <v>1</v>
      </c>
      <c r="AZ4">
        <v>1</v>
      </c>
      <c r="BA4" s="2">
        <f>modelo_tese_H__2[[#This Row],[Vw]]+modelo_tese_H__2[[#This Row],[Vr]]+modelo_tese_H__2[[#This Row],[K]]-modelo_tese_H__2[[#This Row],[E]]</f>
        <v>2406.5722543813604</v>
      </c>
      <c r="BB4" s="2">
        <f>modelo_tese_H__2[[#This Row],[K]]-modelo_tese_H__2[[#This Row],[Coluna1]]</f>
        <v>-740.78105653222042</v>
      </c>
      <c r="BC4">
        <f>modelo_tese_H__2[[#This Row],[Coluna2]]/modelo_tese_H__2[[#This Row],[Coluna1]]</f>
        <v>-0.30781583855775296</v>
      </c>
      <c r="BD4" s="8">
        <f>modelo_tese_H__2[[#This Row],[D]]-modelo_tese_H__2[[#This Row],[Dw]]-modelo_tese_H__2[[#This Row],[Dr]]</f>
        <v>0</v>
      </c>
    </row>
    <row r="5" spans="1:56" x14ac:dyDescent="0.25">
      <c r="A5">
        <v>4</v>
      </c>
      <c r="B5">
        <v>4</v>
      </c>
      <c r="C5">
        <v>365.811566610456</v>
      </c>
      <c r="D5">
        <v>227.88475870770799</v>
      </c>
      <c r="E5">
        <v>202.81743524986101</v>
      </c>
      <c r="F5">
        <v>12.391540614082899</v>
      </c>
      <c r="G5">
        <v>450.648247531518</v>
      </c>
      <c r="H5">
        <v>100.20771557334901</v>
      </c>
      <c r="I5">
        <v>315.416691437292</v>
      </c>
      <c r="J5">
        <v>356.48103269526302</v>
      </c>
      <c r="K5">
        <v>736.441375408917</v>
      </c>
      <c r="L5">
        <v>-87.531932729583801</v>
      </c>
      <c r="M5">
        <v>1092.92240810418</v>
      </c>
      <c r="N5">
        <v>807.55751865082505</v>
      </c>
      <c r="O5">
        <v>227.600125015918</v>
      </c>
      <c r="P5">
        <v>150.216082510506</v>
      </c>
      <c r="Q5">
        <v>275.625513190449</v>
      </c>
      <c r="R5">
        <v>137.81275659522399</v>
      </c>
      <c r="S5">
        <v>137.81275659522399</v>
      </c>
      <c r="T5">
        <v>89.787368420693994</v>
      </c>
      <c r="U5">
        <v>39.392493247530297</v>
      </c>
      <c r="V5">
        <v>904.23697491119106</v>
      </c>
      <c r="W5">
        <v>175.804305853106</v>
      </c>
      <c r="X5">
        <v>0.27407880116264099</v>
      </c>
      <c r="Y5">
        <v>1735.7424403467201</v>
      </c>
      <c r="Z5">
        <v>149.89919798630001</v>
      </c>
      <c r="AA5">
        <v>0.70081741742002601</v>
      </c>
      <c r="AB5">
        <v>915.26988892809902</v>
      </c>
      <c r="AC5">
        <v>465.632773947798</v>
      </c>
      <c r="AD5">
        <v>641.43707980090505</v>
      </c>
      <c r="AE5">
        <v>1711.7944935620201</v>
      </c>
      <c r="AF5">
        <v>-48.139439482053596</v>
      </c>
      <c r="AG5">
        <v>5.5594999999999999E-2</v>
      </c>
      <c r="AH5">
        <v>-285.36488945335498</v>
      </c>
      <c r="AI5">
        <v>1054.13617289749</v>
      </c>
      <c r="AJ5">
        <v>0.06</v>
      </c>
      <c r="AK5">
        <v>0.05</v>
      </c>
      <c r="AL5">
        <v>8.8099999999999998E-2</v>
      </c>
      <c r="AM5">
        <v>3.8100000000000002E-2</v>
      </c>
      <c r="AN5">
        <v>0.89</v>
      </c>
      <c r="AO5">
        <v>0.66</v>
      </c>
      <c r="AP5">
        <v>0.42970000000000003</v>
      </c>
      <c r="AQ5">
        <v>0.57030000000000003</v>
      </c>
      <c r="AR5">
        <v>8.9999999999999993E-3</v>
      </c>
      <c r="AS5">
        <v>0.5</v>
      </c>
      <c r="AT5">
        <v>1.82</v>
      </c>
      <c r="AU5">
        <v>6.3545217126973294E-2</v>
      </c>
      <c r="AV5">
        <v>0.7893</v>
      </c>
      <c r="AW5">
        <v>3</v>
      </c>
      <c r="AX5">
        <v>0.05</v>
      </c>
      <c r="AY5">
        <v>1</v>
      </c>
      <c r="AZ5">
        <v>1</v>
      </c>
      <c r="BA5" s="2">
        <f>modelo_tese_H__2[[#This Row],[Vw]]+modelo_tese_H__2[[#This Row],[Vr]]+modelo_tese_H__2[[#This Row],[K]]-modelo_tese_H__2[[#This Row],[E]]</f>
        <v>2354.6145258045553</v>
      </c>
      <c r="BB5" s="2">
        <f>modelo_tese_H__2[[#This Row],[K]]-modelo_tese_H__2[[#This Row],[Coluna1]]</f>
        <v>-618.87208545783528</v>
      </c>
      <c r="BC5">
        <f>modelo_tese_H__2[[#This Row],[Coluna2]]/modelo_tese_H__2[[#This Row],[Coluna1]]</f>
        <v>-0.26283371595457689</v>
      </c>
      <c r="BD5" s="8">
        <f>modelo_tese_H__2[[#This Row],[D]]-modelo_tese_H__2[[#This Row],[Dw]]-modelo_tese_H__2[[#This Row],[Dr]]</f>
        <v>3.979039320256561E-12</v>
      </c>
    </row>
    <row r="6" spans="1:56" x14ac:dyDescent="0.25">
      <c r="A6">
        <v>5</v>
      </c>
      <c r="B6">
        <v>5</v>
      </c>
      <c r="C6">
        <v>380.56524714391003</v>
      </c>
      <c r="D6">
        <v>232.85764431643199</v>
      </c>
      <c r="E6">
        <v>207.24330344162399</v>
      </c>
      <c r="F6">
        <v>13.3639171911178</v>
      </c>
      <c r="G6">
        <v>474.52164726398001</v>
      </c>
      <c r="H6">
        <v>105.77876352064899</v>
      </c>
      <c r="I6">
        <v>326.38598415339101</v>
      </c>
      <c r="J6">
        <v>356.263022540691</v>
      </c>
      <c r="K6">
        <v>814.16172252648698</v>
      </c>
      <c r="L6">
        <v>-93.528339836959503</v>
      </c>
      <c r="M6">
        <v>1170.4247450671801</v>
      </c>
      <c r="N6">
        <v>714.029178813866</v>
      </c>
      <c r="O6">
        <v>239.65739760807099</v>
      </c>
      <c r="P6">
        <v>158.17388242132699</v>
      </c>
      <c r="Q6">
        <v>286.74186690818499</v>
      </c>
      <c r="R6">
        <v>143.37093345409301</v>
      </c>
      <c r="S6">
        <v>143.37093345409301</v>
      </c>
      <c r="T6">
        <v>96.286464153978301</v>
      </c>
      <c r="U6">
        <v>42.107201163459997</v>
      </c>
      <c r="V6">
        <v>946.34417607465105</v>
      </c>
      <c r="W6">
        <v>182.74724747737699</v>
      </c>
      <c r="X6">
        <v>0.27385778396347199</v>
      </c>
      <c r="Y6">
        <v>1808.19155757576</v>
      </c>
      <c r="Z6">
        <v>189.27551200958399</v>
      </c>
      <c r="AA6">
        <v>0.69969997814434404</v>
      </c>
      <c r="AB6">
        <v>953.70463755314404</v>
      </c>
      <c r="AC6">
        <v>484.559866574718</v>
      </c>
      <c r="AD6">
        <v>667.30711405209502</v>
      </c>
      <c r="AE6">
        <v>1660.37335488852</v>
      </c>
      <c r="AF6">
        <v>-51.421138673499598</v>
      </c>
      <c r="AG6">
        <v>5.5594999999999999E-2</v>
      </c>
      <c r="AH6">
        <v>-456.39556625331198</v>
      </c>
      <c r="AI6">
        <v>1135.6196880842399</v>
      </c>
      <c r="AJ6">
        <v>0.06</v>
      </c>
      <c r="AK6">
        <v>0.05</v>
      </c>
      <c r="AL6">
        <v>8.8099999999999998E-2</v>
      </c>
      <c r="AM6">
        <v>3.8100000000000002E-2</v>
      </c>
      <c r="AN6">
        <v>0.89</v>
      </c>
      <c r="AO6">
        <v>0.66</v>
      </c>
      <c r="AP6">
        <v>0.42970000000000003</v>
      </c>
      <c r="AQ6">
        <v>0.57030000000000003</v>
      </c>
      <c r="AR6">
        <v>8.9999999999999993E-3</v>
      </c>
      <c r="AS6">
        <v>0.5</v>
      </c>
      <c r="AT6">
        <v>1.82</v>
      </c>
      <c r="AU6">
        <v>6.3545217126973294E-2</v>
      </c>
      <c r="AV6">
        <v>0.7893</v>
      </c>
      <c r="AW6">
        <v>3</v>
      </c>
      <c r="AX6">
        <v>0.05</v>
      </c>
      <c r="AY6">
        <v>1</v>
      </c>
      <c r="AZ6">
        <v>1</v>
      </c>
      <c r="BA6" s="2">
        <f>modelo_tese_H__2[[#This Row],[Vw]]+modelo_tese_H__2[[#This Row],[Vr]]+modelo_tese_H__2[[#This Row],[K]]-modelo_tese_H__2[[#This Row],[E]]</f>
        <v>2298.1401673971041</v>
      </c>
      <c r="BB6" s="2">
        <f>modelo_tese_H__2[[#This Row],[K]]-modelo_tese_H__2[[#This Row],[Coluna1]]</f>
        <v>-489.94860982134401</v>
      </c>
      <c r="BC6">
        <f>modelo_tese_H__2[[#This Row],[Coluna2]]/modelo_tese_H__2[[#This Row],[Coluna1]]</f>
        <v>-0.21319352786747756</v>
      </c>
      <c r="BD6" s="8">
        <f>modelo_tese_H__2[[#This Row],[D]]-modelo_tese_H__2[[#This Row],[Dw]]-modelo_tese_H__2[[#This Row],[Dr]]</f>
        <v>2.9558577807620168E-12</v>
      </c>
    </row>
    <row r="7" spans="1:56" x14ac:dyDescent="0.25">
      <c r="A7">
        <v>6</v>
      </c>
      <c r="B7">
        <v>6</v>
      </c>
      <c r="C7">
        <v>396.20453453824803</v>
      </c>
      <c r="D7">
        <v>238.217815793238</v>
      </c>
      <c r="E7">
        <v>212.01385605598199</v>
      </c>
      <c r="F7">
        <v>14.3846466702234</v>
      </c>
      <c r="G7">
        <v>499.70678946044899</v>
      </c>
      <c r="H7">
        <v>111.65953387858001</v>
      </c>
      <c r="I7">
        <v>338.058036604785</v>
      </c>
      <c r="J7">
        <v>357.07404805211399</v>
      </c>
      <c r="K7">
        <v>894.80169477680704</v>
      </c>
      <c r="L7">
        <v>-99.840220811546899</v>
      </c>
      <c r="M7">
        <v>1251.87574282892</v>
      </c>
      <c r="N7">
        <v>614.18895800231905</v>
      </c>
      <c r="O7">
        <v>252.37716639416601</v>
      </c>
      <c r="P7">
        <v>166.56892982015</v>
      </c>
      <c r="Q7">
        <v>298.52549270749603</v>
      </c>
      <c r="R7">
        <v>149.26274635374801</v>
      </c>
      <c r="S7">
        <v>149.26274635374801</v>
      </c>
      <c r="T7">
        <v>103.114420040418</v>
      </c>
      <c r="U7">
        <v>44.967922106955399</v>
      </c>
      <c r="V7">
        <v>991.31209818160596</v>
      </c>
      <c r="W7">
        <v>190.10306082080899</v>
      </c>
      <c r="X7">
        <v>0.27363587777321402</v>
      </c>
      <c r="Y7">
        <v>1883.3926932632601</v>
      </c>
      <c r="Z7">
        <v>230.115826476645</v>
      </c>
      <c r="AA7">
        <v>0.69926697992243803</v>
      </c>
      <c r="AB7">
        <v>993.51184482184794</v>
      </c>
      <c r="AC7">
        <v>504.62696642493398</v>
      </c>
      <c r="AD7">
        <v>694.73002724574405</v>
      </c>
      <c r="AE7">
        <v>1605.5010561839299</v>
      </c>
      <c r="AF7">
        <v>-54.8722987045915</v>
      </c>
      <c r="AG7">
        <v>5.5594999999999999E-2</v>
      </c>
      <c r="AH7">
        <v>-637.68678482660198</v>
      </c>
      <c r="AI7">
        <v>1221.42792465825</v>
      </c>
      <c r="AJ7">
        <v>0.06</v>
      </c>
      <c r="AK7">
        <v>0.05</v>
      </c>
      <c r="AL7">
        <v>8.8099999999999998E-2</v>
      </c>
      <c r="AM7">
        <v>3.8100000000000002E-2</v>
      </c>
      <c r="AN7">
        <v>0.89</v>
      </c>
      <c r="AO7">
        <v>0.66</v>
      </c>
      <c r="AP7">
        <v>0.42970000000000003</v>
      </c>
      <c r="AQ7">
        <v>0.57030000000000003</v>
      </c>
      <c r="AR7">
        <v>8.9999999999999993E-3</v>
      </c>
      <c r="AS7">
        <v>0.5</v>
      </c>
      <c r="AT7">
        <v>1.82</v>
      </c>
      <c r="AU7">
        <v>6.3545217126973294E-2</v>
      </c>
      <c r="AV7">
        <v>0.7893</v>
      </c>
      <c r="AW7">
        <v>3</v>
      </c>
      <c r="AX7">
        <v>0.05</v>
      </c>
      <c r="AY7">
        <v>1</v>
      </c>
      <c r="AZ7">
        <v>1</v>
      </c>
      <c r="BA7" s="2">
        <f>modelo_tese_H__2[[#This Row],[Vw]]+modelo_tese_H__2[[#This Row],[Vr]]+modelo_tese_H__2[[#This Row],[K]]-modelo_tese_H__2[[#This Row],[E]]</f>
        <v>2237.0180066182634</v>
      </c>
      <c r="BB7" s="2">
        <f>modelo_tese_H__2[[#This Row],[K]]-modelo_tese_H__2[[#This Row],[Coluna1]]</f>
        <v>-353.6253133550033</v>
      </c>
      <c r="BC7">
        <f>modelo_tese_H__2[[#This Row],[Coluna2]]/modelo_tese_H__2[[#This Row],[Coluna1]]</f>
        <v>-0.158078885511335</v>
      </c>
      <c r="BD7" s="8">
        <f>modelo_tese_H__2[[#This Row],[D]]-modelo_tese_H__2[[#This Row],[Dw]]-modelo_tese_H__2[[#This Row],[Dr]]</f>
        <v>4.8885340220294893E-12</v>
      </c>
    </row>
    <row r="8" spans="1:56" x14ac:dyDescent="0.25">
      <c r="A8">
        <v>7</v>
      </c>
      <c r="B8">
        <v>7</v>
      </c>
      <c r="C8">
        <v>412.78080948924497</v>
      </c>
      <c r="D8">
        <v>243.98792550068401</v>
      </c>
      <c r="E8">
        <v>217.14925369560899</v>
      </c>
      <c r="F8">
        <v>15.4565200068844</v>
      </c>
      <c r="G8">
        <v>526.27965383329604</v>
      </c>
      <c r="H8">
        <v>117.86724566455899</v>
      </c>
      <c r="I8">
        <v>350.47301936705202</v>
      </c>
      <c r="J8">
        <v>358.92604682821298</v>
      </c>
      <c r="K8">
        <v>978.57699587036996</v>
      </c>
      <c r="L8">
        <v>-106.485093866368</v>
      </c>
      <c r="M8">
        <v>1337.50304269858</v>
      </c>
      <c r="N8">
        <v>507.70386413595003</v>
      </c>
      <c r="O8">
        <v>265.79780496631099</v>
      </c>
      <c r="P8">
        <v>175.42655127776499</v>
      </c>
      <c r="Q8">
        <v>311.01510404616602</v>
      </c>
      <c r="R8">
        <v>155.50755202308301</v>
      </c>
      <c r="S8">
        <v>155.50755202308301</v>
      </c>
      <c r="T8">
        <v>110.290252943228</v>
      </c>
      <c r="U8">
        <v>47.982462821035398</v>
      </c>
      <c r="V8">
        <v>1039.29456100264</v>
      </c>
      <c r="W8">
        <v>197.89634289059401</v>
      </c>
      <c r="X8">
        <v>0.27341456229553601</v>
      </c>
      <c r="Y8">
        <v>1961.6084385250899</v>
      </c>
      <c r="Z8">
        <v>272.50461734415597</v>
      </c>
      <c r="AA8">
        <v>0.699433828827281</v>
      </c>
      <c r="AB8">
        <v>1034.8311501446501</v>
      </c>
      <c r="AC8">
        <v>525.89957064481803</v>
      </c>
      <c r="AD8">
        <v>723.79591353541105</v>
      </c>
      <c r="AE8">
        <v>1546.9984251385899</v>
      </c>
      <c r="AF8">
        <v>-58.502631045333104</v>
      </c>
      <c r="AG8">
        <v>5.5594999999999999E-2</v>
      </c>
      <c r="AH8">
        <v>-829.79917856263296</v>
      </c>
      <c r="AI8">
        <v>1311.7991783468001</v>
      </c>
      <c r="AJ8">
        <v>0.06</v>
      </c>
      <c r="AK8">
        <v>0.05</v>
      </c>
      <c r="AL8">
        <v>8.8099999999999998E-2</v>
      </c>
      <c r="AM8">
        <v>3.8100000000000002E-2</v>
      </c>
      <c r="AN8">
        <v>0.89</v>
      </c>
      <c r="AO8">
        <v>0.66</v>
      </c>
      <c r="AP8">
        <v>0.42970000000000003</v>
      </c>
      <c r="AQ8">
        <v>0.57030000000000003</v>
      </c>
      <c r="AR8">
        <v>8.9999999999999993E-3</v>
      </c>
      <c r="AS8">
        <v>0.5</v>
      </c>
      <c r="AT8">
        <v>1.82</v>
      </c>
      <c r="AU8">
        <v>6.3545217126973294E-2</v>
      </c>
      <c r="AV8">
        <v>0.7893</v>
      </c>
      <c r="AW8">
        <v>3</v>
      </c>
      <c r="AX8">
        <v>0.05</v>
      </c>
      <c r="AY8">
        <v>1</v>
      </c>
      <c r="AZ8">
        <v>1</v>
      </c>
      <c r="BA8" s="2">
        <f>modelo_tese_H__2[[#This Row],[Vw]]+modelo_tese_H__2[[#This Row],[Vr]]+modelo_tese_H__2[[#This Row],[K]]-modelo_tese_H__2[[#This Row],[E]]</f>
        <v>2171.103820965101</v>
      </c>
      <c r="BB8" s="2">
        <f>modelo_tese_H__2[[#This Row],[K]]-modelo_tese_H__2[[#This Row],[Coluna1]]</f>
        <v>-209.4953824400111</v>
      </c>
      <c r="BC8">
        <f>modelo_tese_H__2[[#This Row],[Coluna2]]/modelo_tese_H__2[[#This Row],[Coluna1]]</f>
        <v>-9.6492567705438431E-2</v>
      </c>
      <c r="BD8" s="8">
        <f>modelo_tese_H__2[[#This Row],[D]]-modelo_tese_H__2[[#This Row],[Dw]]-modelo_tese_H__2[[#This Row],[Dr]]</f>
        <v>0</v>
      </c>
    </row>
    <row r="9" spans="1:56" x14ac:dyDescent="0.25">
      <c r="A9">
        <v>8</v>
      </c>
      <c r="B9">
        <v>8</v>
      </c>
      <c r="C9">
        <v>430.34801527358297</v>
      </c>
      <c r="D9">
        <v>250.19161739735301</v>
      </c>
      <c r="E9">
        <v>222.67053948364401</v>
      </c>
      <c r="F9">
        <v>16.582482400939899</v>
      </c>
      <c r="G9">
        <v>554.32018750244094</v>
      </c>
      <c r="H9">
        <v>124.42007518728001</v>
      </c>
      <c r="I9">
        <v>363.67309707186399</v>
      </c>
      <c r="J9">
        <v>361.83344684499798</v>
      </c>
      <c r="K9">
        <v>1065.71328751499</v>
      </c>
      <c r="L9">
        <v>-113.481479674512</v>
      </c>
      <c r="M9">
        <v>1427.5467343599901</v>
      </c>
      <c r="N9">
        <v>394.22238446143899</v>
      </c>
      <c r="O9">
        <v>279.959690657799</v>
      </c>
      <c r="P9">
        <v>184.77339583414701</v>
      </c>
      <c r="Q9">
        <v>324.25134519210701</v>
      </c>
      <c r="R9">
        <v>162.12567259605399</v>
      </c>
      <c r="S9">
        <v>162.12567259605399</v>
      </c>
      <c r="T9">
        <v>117.834018061745</v>
      </c>
      <c r="U9">
        <v>51.159099860026402</v>
      </c>
      <c r="V9">
        <v>1090.4536608626699</v>
      </c>
      <c r="W9">
        <v>206.15286755967901</v>
      </c>
      <c r="X9">
        <v>0.27319512626202402</v>
      </c>
      <c r="Y9">
        <v>2043.1104719405801</v>
      </c>
      <c r="Z9">
        <v>316.53181230778102</v>
      </c>
      <c r="AA9">
        <v>0.70012486135111596</v>
      </c>
      <c r="AB9">
        <v>1077.8068343544401</v>
      </c>
      <c r="AC9">
        <v>548.44649290601103</v>
      </c>
      <c r="AD9">
        <v>754.59936046568998</v>
      </c>
      <c r="AE9">
        <v>1484.67604532411</v>
      </c>
      <c r="AF9">
        <v>-62.322379814485203</v>
      </c>
      <c r="AG9">
        <v>5.5594999999999999E-2</v>
      </c>
      <c r="AH9">
        <v>-1033.3243498985501</v>
      </c>
      <c r="AI9">
        <v>1406.9854731704499</v>
      </c>
      <c r="AJ9">
        <v>0.06</v>
      </c>
      <c r="AK9">
        <v>0.05</v>
      </c>
      <c r="AL9">
        <v>8.8099999999999998E-2</v>
      </c>
      <c r="AM9">
        <v>3.8100000000000002E-2</v>
      </c>
      <c r="AN9">
        <v>0.89</v>
      </c>
      <c r="AO9">
        <v>0.66</v>
      </c>
      <c r="AP9">
        <v>0.42970000000000003</v>
      </c>
      <c r="AQ9">
        <v>0.57030000000000003</v>
      </c>
      <c r="AR9">
        <v>8.9999999999999993E-3</v>
      </c>
      <c r="AS9">
        <v>0.5</v>
      </c>
      <c r="AT9">
        <v>1.82</v>
      </c>
      <c r="AU9">
        <v>6.3545217126973294E-2</v>
      </c>
      <c r="AV9">
        <v>0.7893</v>
      </c>
      <c r="AW9">
        <v>3</v>
      </c>
      <c r="AX9">
        <v>0.05</v>
      </c>
      <c r="AY9">
        <v>1</v>
      </c>
      <c r="AZ9">
        <v>1</v>
      </c>
      <c r="BA9" s="2">
        <f>modelo_tese_H__2[[#This Row],[Vw]]+modelo_tese_H__2[[#This Row],[Vr]]+modelo_tese_H__2[[#This Row],[K]]-modelo_tese_H__2[[#This Row],[E]]</f>
        <v>2100.239782904699</v>
      </c>
      <c r="BB9" s="2">
        <f>modelo_tese_H__2[[#This Row],[K]]-modelo_tese_H__2[[#This Row],[Coluna1]]</f>
        <v>-57.129310964118986</v>
      </c>
      <c r="BC9">
        <f>modelo_tese_H__2[[#This Row],[Coluna2]]/modelo_tese_H__2[[#This Row],[Coluna1]]</f>
        <v>-2.7201327881289494E-2</v>
      </c>
      <c r="BD9" s="8">
        <f>modelo_tese_H__2[[#This Row],[D]]-modelo_tese_H__2[[#This Row],[Dw]]-modelo_tese_H__2[[#This Row],[Dr]]</f>
        <v>0</v>
      </c>
    </row>
    <row r="10" spans="1:56" x14ac:dyDescent="0.25">
      <c r="A10">
        <v>9</v>
      </c>
      <c r="B10">
        <v>9</v>
      </c>
      <c r="C10">
        <v>448.96285786535799</v>
      </c>
      <c r="D10">
        <v>256.85363897415101</v>
      </c>
      <c r="E10">
        <v>228.59973868699501</v>
      </c>
      <c r="F10">
        <v>17.765641557250799</v>
      </c>
      <c r="G10">
        <v>583.91256983201004</v>
      </c>
      <c r="H10">
        <v>131.33720926731701</v>
      </c>
      <c r="I10">
        <v>377.70258951156302</v>
      </c>
      <c r="J10">
        <v>365.81323407745401</v>
      </c>
      <c r="K10">
        <v>1156.44682052799</v>
      </c>
      <c r="L10">
        <v>-120.848950537411</v>
      </c>
      <c r="M10">
        <v>1522.26005460544</v>
      </c>
      <c r="N10">
        <v>273.37343392402698</v>
      </c>
      <c r="O10">
        <v>294.90533829899499</v>
      </c>
      <c r="P10">
        <v>194.63752327733701</v>
      </c>
      <c r="Q10">
        <v>338.27694200375998</v>
      </c>
      <c r="R10">
        <v>169.13847100187999</v>
      </c>
      <c r="S10">
        <v>169.13847100187999</v>
      </c>
      <c r="T10">
        <v>125.766867297115</v>
      </c>
      <c r="U10">
        <v>54.506598943319801</v>
      </c>
      <c r="V10">
        <v>1144.9602598059901</v>
      </c>
      <c r="W10">
        <v>214.899687080218</v>
      </c>
      <c r="X10">
        <v>0.272978687200436</v>
      </c>
      <c r="Y10">
        <v>2128.1802604669501</v>
      </c>
      <c r="Z10">
        <v>362.29302838611898</v>
      </c>
      <c r="AA10">
        <v>0.70127213160476598</v>
      </c>
      <c r="AB10">
        <v>1122.58817139593</v>
      </c>
      <c r="AC10">
        <v>572.34011278889898</v>
      </c>
      <c r="AD10">
        <v>787.23979986911797</v>
      </c>
      <c r="AE10">
        <v>1418.3336937300201</v>
      </c>
      <c r="AF10">
        <v>-66.342351594091696</v>
      </c>
      <c r="AG10">
        <v>5.5594999999999999E-2</v>
      </c>
      <c r="AH10">
        <v>-1248.88662068141</v>
      </c>
      <c r="AI10">
        <v>1507.2532881921099</v>
      </c>
      <c r="AJ10">
        <v>0.06</v>
      </c>
      <c r="AK10">
        <v>0.05</v>
      </c>
      <c r="AL10">
        <v>8.8099999999999998E-2</v>
      </c>
      <c r="AM10">
        <v>3.8100000000000002E-2</v>
      </c>
      <c r="AN10">
        <v>0.89</v>
      </c>
      <c r="AO10">
        <v>0.66</v>
      </c>
      <c r="AP10">
        <v>0.42970000000000003</v>
      </c>
      <c r="AQ10">
        <v>0.57030000000000003</v>
      </c>
      <c r="AR10">
        <v>8.9999999999999993E-3</v>
      </c>
      <c r="AS10">
        <v>0.5</v>
      </c>
      <c r="AT10">
        <v>1.82</v>
      </c>
      <c r="AU10">
        <v>6.3545217126973294E-2</v>
      </c>
      <c r="AV10">
        <v>0.7893</v>
      </c>
      <c r="AW10">
        <v>3</v>
      </c>
      <c r="AX10">
        <v>0.05</v>
      </c>
      <c r="AY10">
        <v>1</v>
      </c>
      <c r="AZ10">
        <v>1</v>
      </c>
      <c r="BA10" s="2">
        <f>modelo_tese_H__2[[#This Row],[Vw]]+modelo_tese_H__2[[#This Row],[Vr]]+modelo_tese_H__2[[#This Row],[K]]-modelo_tese_H__2[[#This Row],[E]]</f>
        <v>2024.2538995915309</v>
      </c>
      <c r="BB10" s="2">
        <f>modelo_tese_H__2[[#This Row],[K]]-modelo_tese_H__2[[#This Row],[Coluna1]]</f>
        <v>103.92636087541928</v>
      </c>
      <c r="BC10">
        <f>modelo_tese_H__2[[#This Row],[Coluna2]]/modelo_tese_H__2[[#This Row],[Coluna1]]</f>
        <v>5.1340575851868346E-2</v>
      </c>
      <c r="BD10" s="8">
        <f>modelo_tese_H__2[[#This Row],[D]]-modelo_tese_H__2[[#This Row],[Dw]]-modelo_tese_H__2[[#This Row],[Dr]]</f>
        <v>2.9558577807620168E-12</v>
      </c>
    </row>
    <row r="11" spans="1:56" x14ac:dyDescent="0.25">
      <c r="A11">
        <v>10</v>
      </c>
      <c r="B11">
        <v>10</v>
      </c>
      <c r="C11">
        <v>468.68500861068401</v>
      </c>
      <c r="D11">
        <v>263.99995091130398</v>
      </c>
      <c r="E11">
        <v>234.95995631106001</v>
      </c>
      <c r="F11">
        <v>19.009276459287701</v>
      </c>
      <c r="G11">
        <v>615.14548549681399</v>
      </c>
      <c r="H11">
        <v>138.638901416534</v>
      </c>
      <c r="I11">
        <v>392.60813418688201</v>
      </c>
      <c r="J11">
        <v>370.885026318391</v>
      </c>
      <c r="K11">
        <v>1251.0250980824001</v>
      </c>
      <c r="L11">
        <v>-128.608183275578</v>
      </c>
      <c r="M11">
        <v>1621.91012440079</v>
      </c>
      <c r="N11">
        <v>144.76525064844901</v>
      </c>
      <c r="O11">
        <v>310.67953812970399</v>
      </c>
      <c r="P11">
        <v>205.048495165605</v>
      </c>
      <c r="Q11">
        <v>353.13685463792899</v>
      </c>
      <c r="R11">
        <v>176.56842731896401</v>
      </c>
      <c r="S11">
        <v>176.56842731896401</v>
      </c>
      <c r="T11">
        <v>134.11111081073901</v>
      </c>
      <c r="U11">
        <v>58.034236386937103</v>
      </c>
      <c r="V11">
        <v>1202.99449619293</v>
      </c>
      <c r="W11">
        <v>224.16523389612701</v>
      </c>
      <c r="X11">
        <v>0.27276620873774599</v>
      </c>
      <c r="Y11">
        <v>2217.1098176263599</v>
      </c>
      <c r="Z11">
        <v>409.88983496328098</v>
      </c>
      <c r="AA11">
        <v>0.70281442737576205</v>
      </c>
      <c r="AB11">
        <v>1169.3298134433801</v>
      </c>
      <c r="AC11">
        <v>597.65662935248599</v>
      </c>
      <c r="AD11">
        <v>821.821863248613</v>
      </c>
      <c r="AE11">
        <v>1347.7597468413701</v>
      </c>
      <c r="AF11">
        <v>-70.573946888641004</v>
      </c>
      <c r="AG11">
        <v>5.5594999999999999E-2</v>
      </c>
      <c r="AH11">
        <v>-1477.1448737523499</v>
      </c>
      <c r="AI11">
        <v>1612.88433115621</v>
      </c>
      <c r="AJ11">
        <v>0.06</v>
      </c>
      <c r="AK11">
        <v>0.05</v>
      </c>
      <c r="AL11">
        <v>8.8099999999999998E-2</v>
      </c>
      <c r="AM11">
        <v>3.8100000000000002E-2</v>
      </c>
      <c r="AN11">
        <v>0.89</v>
      </c>
      <c r="AO11">
        <v>0.66</v>
      </c>
      <c r="AP11">
        <v>0.42970000000000003</v>
      </c>
      <c r="AQ11">
        <v>0.57030000000000003</v>
      </c>
      <c r="AR11">
        <v>8.9999999999999993E-3</v>
      </c>
      <c r="AS11">
        <v>0.5</v>
      </c>
      <c r="AT11">
        <v>1.82</v>
      </c>
      <c r="AU11">
        <v>6.3545217126973294E-2</v>
      </c>
      <c r="AV11">
        <v>0.7893</v>
      </c>
      <c r="AW11">
        <v>3</v>
      </c>
      <c r="AX11">
        <v>0.05</v>
      </c>
      <c r="AY11">
        <v>1</v>
      </c>
      <c r="AZ11">
        <v>1</v>
      </c>
      <c r="BA11" s="2">
        <f>modelo_tese_H__2[[#This Row],[Vw]]+modelo_tese_H__2[[#This Row],[Vr]]+modelo_tese_H__2[[#This Row],[K]]-modelo_tese_H__2[[#This Row],[E]]</f>
        <v>1942.9594400669394</v>
      </c>
      <c r="BB11" s="2">
        <f>modelo_tese_H__2[[#This Row],[K]]-modelo_tese_H__2[[#This Row],[Coluna1]]</f>
        <v>274.15037755942058</v>
      </c>
      <c r="BC11">
        <f>modelo_tese_H__2[[#This Row],[Coluna2]]/modelo_tese_H__2[[#This Row],[Coluna1]]</f>
        <v>0.14109938267675598</v>
      </c>
      <c r="BD11" s="8">
        <f>modelo_tese_H__2[[#This Row],[D]]-modelo_tese_H__2[[#This Row],[Dw]]-modelo_tese_H__2[[#This Row],[Dr]]</f>
        <v>-8.8675733422860503E-12</v>
      </c>
    </row>
    <row r="12" spans="1:56" x14ac:dyDescent="0.25">
      <c r="A12">
        <v>11</v>
      </c>
      <c r="B12">
        <v>11</v>
      </c>
      <c r="C12">
        <v>489.57731084716102</v>
      </c>
      <c r="D12">
        <v>271.65783556562099</v>
      </c>
      <c r="E12">
        <v>241.775473653403</v>
      </c>
      <c r="F12">
        <v>20.316846676222401</v>
      </c>
      <c r="G12">
        <v>648.11240717784995</v>
      </c>
      <c r="H12">
        <v>146.346531140786</v>
      </c>
      <c r="I12">
        <v>408.43885147041101</v>
      </c>
      <c r="J12">
        <v>377.07115349188302</v>
      </c>
      <c r="K12">
        <v>1349.7075729862499</v>
      </c>
      <c r="L12">
        <v>-136.78101590479</v>
      </c>
      <c r="M12">
        <v>1726.77872647813</v>
      </c>
      <c r="N12">
        <v>7.9842347436591004</v>
      </c>
      <c r="O12">
        <v>327.32949857467202</v>
      </c>
      <c r="P12">
        <v>216.03746905928301</v>
      </c>
      <c r="Q12">
        <v>368.87843322992302</v>
      </c>
      <c r="R12">
        <v>184.43921661496199</v>
      </c>
      <c r="S12">
        <v>184.43921661496199</v>
      </c>
      <c r="T12">
        <v>142.89028195970999</v>
      </c>
      <c r="U12">
        <v>61.751822582959797</v>
      </c>
      <c r="V12">
        <v>1264.7463187758899</v>
      </c>
      <c r="W12">
        <v>233.97942354739001</v>
      </c>
      <c r="X12">
        <v>0.27255851587192398</v>
      </c>
      <c r="Y12">
        <v>2310.2025164183401</v>
      </c>
      <c r="Z12">
        <v>459.43004189571002</v>
      </c>
      <c r="AA12">
        <v>0.70469646645333395</v>
      </c>
      <c r="AB12">
        <v>1218.1922074870099</v>
      </c>
      <c r="AC12">
        <v>624.47632052969402</v>
      </c>
      <c r="AD12">
        <v>858.45574407708398</v>
      </c>
      <c r="AE12">
        <v>1272.7305535195401</v>
      </c>
      <c r="AF12">
        <v>-75.029193321830306</v>
      </c>
      <c r="AG12">
        <v>5.5594999999999999E-2</v>
      </c>
      <c r="AH12">
        <v>-1718.7944917344701</v>
      </c>
      <c r="AI12">
        <v>1724.1763606715899</v>
      </c>
      <c r="AJ12">
        <v>0.06</v>
      </c>
      <c r="AK12">
        <v>0.05</v>
      </c>
      <c r="AL12">
        <v>8.8099999999999998E-2</v>
      </c>
      <c r="AM12">
        <v>3.8100000000000002E-2</v>
      </c>
      <c r="AN12">
        <v>0.89</v>
      </c>
      <c r="AO12">
        <v>0.66</v>
      </c>
      <c r="AP12">
        <v>0.42970000000000003</v>
      </c>
      <c r="AQ12">
        <v>0.57030000000000003</v>
      </c>
      <c r="AR12">
        <v>8.9999999999999993E-3</v>
      </c>
      <c r="AS12">
        <v>0.5</v>
      </c>
      <c r="AT12">
        <v>1.82</v>
      </c>
      <c r="AU12">
        <v>6.3545217126973294E-2</v>
      </c>
      <c r="AV12">
        <v>0.7893</v>
      </c>
      <c r="AW12">
        <v>3</v>
      </c>
      <c r="AX12">
        <v>0.05</v>
      </c>
      <c r="AY12">
        <v>1</v>
      </c>
      <c r="AZ12">
        <v>1</v>
      </c>
      <c r="BA12" s="2">
        <f>modelo_tese_H__2[[#This Row],[Vw]]+modelo_tese_H__2[[#This Row],[Vr]]+modelo_tese_H__2[[#This Row],[K]]-modelo_tese_H__2[[#This Row],[E]]</f>
        <v>1856.1543434597497</v>
      </c>
      <c r="BB12" s="2">
        <f>modelo_tese_H__2[[#This Row],[K]]-modelo_tese_H__2[[#This Row],[Coluna1]]</f>
        <v>454.04817295859038</v>
      </c>
      <c r="BC12">
        <f>modelo_tese_H__2[[#This Row],[Coluna2]]/modelo_tese_H__2[[#This Row],[Coluna1]]</f>
        <v>0.24461768201467257</v>
      </c>
      <c r="BD12" s="8">
        <f>modelo_tese_H__2[[#This Row],[D]]-modelo_tese_H__2[[#This Row],[Dw]]-modelo_tese_H__2[[#This Row],[Dr]]</f>
        <v>-8.8675733422860503E-12</v>
      </c>
    </row>
    <row r="13" spans="1:56" x14ac:dyDescent="0.25">
      <c r="A13">
        <v>12</v>
      </c>
      <c r="B13">
        <v>12</v>
      </c>
      <c r="C13">
        <v>511.70599174742102</v>
      </c>
      <c r="D13">
        <v>279.85600527583898</v>
      </c>
      <c r="E13">
        <v>249.07184469549699</v>
      </c>
      <c r="F13">
        <v>21.692002226432301</v>
      </c>
      <c r="G13">
        <v>682.91188922414301</v>
      </c>
      <c r="H13">
        <v>154.48266653955801</v>
      </c>
      <c r="I13">
        <v>425.24651346148698</v>
      </c>
      <c r="J13">
        <v>384.39674477027398</v>
      </c>
      <c r="K13">
        <v>1452.76638099503</v>
      </c>
      <c r="L13">
        <v>-145.390508185648</v>
      </c>
      <c r="M13">
        <v>1837.16312576531</v>
      </c>
      <c r="N13">
        <v>-137.40627344198899</v>
      </c>
      <c r="O13">
        <v>344.90499455764802</v>
      </c>
      <c r="P13">
        <v>227.637296408048</v>
      </c>
      <c r="Q13">
        <v>385.55157750984898</v>
      </c>
      <c r="R13">
        <v>192.77578875492401</v>
      </c>
      <c r="S13">
        <v>192.77578875492401</v>
      </c>
      <c r="T13">
        <v>152.12920580272399</v>
      </c>
      <c r="U13">
        <v>65.669727516790203</v>
      </c>
      <c r="V13">
        <v>1330.41604629268</v>
      </c>
      <c r="W13">
        <v>244.37375938773499</v>
      </c>
      <c r="X13">
        <v>0.27235630855698501</v>
      </c>
      <c r="Y13">
        <v>2407.7739552929902</v>
      </c>
      <c r="Z13">
        <v>511.02801252851998</v>
      </c>
      <c r="AA13">
        <v>0.70686823533548604</v>
      </c>
      <c r="AB13">
        <v>1269.3420419880999</v>
      </c>
      <c r="AC13">
        <v>652.88380986953496</v>
      </c>
      <c r="AD13">
        <v>897.25756925727001</v>
      </c>
      <c r="AE13">
        <v>1193.0097728506901</v>
      </c>
      <c r="AF13">
        <v>-79.720780668857898</v>
      </c>
      <c r="AG13">
        <v>5.5594999999999999E-2</v>
      </c>
      <c r="AH13">
        <v>-1974.5693992073</v>
      </c>
      <c r="AI13">
        <v>1841.4440588212001</v>
      </c>
      <c r="AJ13">
        <v>0.06</v>
      </c>
      <c r="AK13">
        <v>0.05</v>
      </c>
      <c r="AL13">
        <v>8.8099999999999998E-2</v>
      </c>
      <c r="AM13">
        <v>3.8100000000000002E-2</v>
      </c>
      <c r="AN13">
        <v>0.89</v>
      </c>
      <c r="AO13">
        <v>0.66</v>
      </c>
      <c r="AP13">
        <v>0.42970000000000003</v>
      </c>
      <c r="AQ13">
        <v>0.57030000000000003</v>
      </c>
      <c r="AR13">
        <v>8.9999999999999993E-3</v>
      </c>
      <c r="AS13">
        <v>0.5</v>
      </c>
      <c r="AT13">
        <v>1.82</v>
      </c>
      <c r="AU13">
        <v>6.3545217126973294E-2</v>
      </c>
      <c r="AV13">
        <v>0.7893</v>
      </c>
      <c r="AW13">
        <v>3</v>
      </c>
      <c r="AX13">
        <v>0.05</v>
      </c>
      <c r="AY13">
        <v>1</v>
      </c>
      <c r="AZ13">
        <v>1</v>
      </c>
      <c r="BA13" s="2">
        <f>modelo_tese_H__2[[#This Row],[Vw]]+modelo_tese_H__2[[#This Row],[Vr]]+modelo_tese_H__2[[#This Row],[K]]-modelo_tese_H__2[[#This Row],[E]]</f>
        <v>1763.6206023783707</v>
      </c>
      <c r="BB13" s="2">
        <f>modelo_tese_H__2[[#This Row],[K]]-modelo_tese_H__2[[#This Row],[Coluna1]]</f>
        <v>644.15335291461952</v>
      </c>
      <c r="BC13">
        <f>modelo_tese_H__2[[#This Row],[Coluna2]]/modelo_tese_H__2[[#This Row],[Coluna1]]</f>
        <v>0.36524485597748851</v>
      </c>
      <c r="BD13" s="8">
        <f>modelo_tese_H__2[[#This Row],[D]]-modelo_tese_H__2[[#This Row],[Dw]]-modelo_tese_H__2[[#This Row],[Dr]]</f>
        <v>0</v>
      </c>
    </row>
    <row r="14" spans="1:56" x14ac:dyDescent="0.25">
      <c r="A14">
        <v>13</v>
      </c>
      <c r="B14">
        <v>13</v>
      </c>
      <c r="C14">
        <v>535.14088058410903</v>
      </c>
      <c r="D14">
        <v>288.62471137675402</v>
      </c>
      <c r="E14">
        <v>256.87599312531103</v>
      </c>
      <c r="F14">
        <v>23.138594022579198</v>
      </c>
      <c r="G14">
        <v>719.64787357689499</v>
      </c>
      <c r="H14">
        <v>163.071130385825</v>
      </c>
      <c r="I14">
        <v>443.08571753371501</v>
      </c>
      <c r="J14">
        <v>392.88982281710599</v>
      </c>
      <c r="K14">
        <v>1560.4871122649499</v>
      </c>
      <c r="L14">
        <v>-154.46100615696099</v>
      </c>
      <c r="M14">
        <v>1953.3769350820501</v>
      </c>
      <c r="N14">
        <v>-291.86727959895001</v>
      </c>
      <c r="O14">
        <v>363.45852200853301</v>
      </c>
      <c r="P14">
        <v>239.882624525632</v>
      </c>
      <c r="Q14">
        <v>403.208901257219</v>
      </c>
      <c r="R14">
        <v>201.60445062860899</v>
      </c>
      <c r="S14">
        <v>201.60445062860899</v>
      </c>
      <c r="T14">
        <v>161.854071379923</v>
      </c>
      <c r="U14">
        <v>69.798908329529397</v>
      </c>
      <c r="V14">
        <v>1400.2149546221999</v>
      </c>
      <c r="W14">
        <v>255.38143978198099</v>
      </c>
      <c r="X14">
        <v>0.27216017387549601</v>
      </c>
      <c r="Y14">
        <v>2510.1528762932098</v>
      </c>
      <c r="Z14">
        <v>564.80500168189201</v>
      </c>
      <c r="AA14">
        <v>0.70928444059168405</v>
      </c>
      <c r="AB14">
        <v>1322.95272268846</v>
      </c>
      <c r="AC14">
        <v>682.96834205934704</v>
      </c>
      <c r="AD14">
        <v>938.34978184132797</v>
      </c>
      <c r="AE14">
        <v>1108.3476750232501</v>
      </c>
      <c r="AF14">
        <v>-84.662097827431595</v>
      </c>
      <c r="AG14">
        <v>5.5594999999999999E-2</v>
      </c>
      <c r="AH14">
        <v>-2245.2442146809999</v>
      </c>
      <c r="AI14">
        <v>1965.0199563041001</v>
      </c>
      <c r="AJ14">
        <v>0.06</v>
      </c>
      <c r="AK14">
        <v>0.05</v>
      </c>
      <c r="AL14">
        <v>8.8099999999999998E-2</v>
      </c>
      <c r="AM14">
        <v>3.8100000000000002E-2</v>
      </c>
      <c r="AN14">
        <v>0.89</v>
      </c>
      <c r="AO14">
        <v>0.66</v>
      </c>
      <c r="AP14">
        <v>0.42970000000000003</v>
      </c>
      <c r="AQ14">
        <v>0.57030000000000003</v>
      </c>
      <c r="AR14">
        <v>8.9999999999999993E-3</v>
      </c>
      <c r="AS14">
        <v>0.5</v>
      </c>
      <c r="AT14">
        <v>1.82</v>
      </c>
      <c r="AU14">
        <v>6.3545217126973294E-2</v>
      </c>
      <c r="AV14">
        <v>0.7893</v>
      </c>
      <c r="AW14">
        <v>3</v>
      </c>
      <c r="AX14">
        <v>0.05</v>
      </c>
      <c r="AY14">
        <v>1</v>
      </c>
      <c r="AZ14">
        <v>1</v>
      </c>
      <c r="BA14" s="2">
        <f>modelo_tese_H__2[[#This Row],[Vw]]+modelo_tese_H__2[[#This Row],[Vr]]+modelo_tese_H__2[[#This Row],[K]]-modelo_tese_H__2[[#This Row],[E]]</f>
        <v>1665.123616234418</v>
      </c>
      <c r="BB14" s="2">
        <f>modelo_tese_H__2[[#This Row],[K]]-modelo_tese_H__2[[#This Row],[Coluna1]]</f>
        <v>845.02926005879181</v>
      </c>
      <c r="BC14">
        <f>modelo_tese_H__2[[#This Row],[Coluna2]]/modelo_tese_H__2[[#This Row],[Coluna1]]</f>
        <v>0.50748740322942343</v>
      </c>
      <c r="BD14" s="8">
        <f>modelo_tese_H__2[[#This Row],[D]]-modelo_tese_H__2[[#This Row],[Dw]]-modelo_tese_H__2[[#This Row],[Dr]]</f>
        <v>0</v>
      </c>
    </row>
    <row r="15" spans="1:56" x14ac:dyDescent="0.25">
      <c r="A15">
        <v>14</v>
      </c>
      <c r="B15">
        <v>14</v>
      </c>
      <c r="C15">
        <v>559.95563455261697</v>
      </c>
      <c r="D15">
        <v>297.995854735639</v>
      </c>
      <c r="E15">
        <v>265.21631071471899</v>
      </c>
      <c r="F15">
        <v>24.660684925633401</v>
      </c>
      <c r="G15">
        <v>758.43000922738599</v>
      </c>
      <c r="H15">
        <v>172.13706987962499</v>
      </c>
      <c r="I15">
        <v>462.01406551997701</v>
      </c>
      <c r="J15">
        <v>402.581405493408</v>
      </c>
      <c r="K15">
        <v>1673.16962316728</v>
      </c>
      <c r="L15">
        <v>-164.01821078433801</v>
      </c>
      <c r="M15">
        <v>2075.7510286606798</v>
      </c>
      <c r="N15">
        <v>-455.88549038328802</v>
      </c>
      <c r="O15">
        <v>383.04545920574998</v>
      </c>
      <c r="P15">
        <v>252.81000307579501</v>
      </c>
      <c r="Q15">
        <v>421.90590245004302</v>
      </c>
      <c r="R15">
        <v>210.95295122502199</v>
      </c>
      <c r="S15">
        <v>210.95295122502199</v>
      </c>
      <c r="T15">
        <v>172.09250798072901</v>
      </c>
      <c r="U15">
        <v>74.150938948088296</v>
      </c>
      <c r="V15">
        <v>1474.3658935702899</v>
      </c>
      <c r="W15">
        <v>267.03746840688802</v>
      </c>
      <c r="X15">
        <v>0.27197059701724002</v>
      </c>
      <c r="Y15">
        <v>2617.6821351541498</v>
      </c>
      <c r="Z15">
        <v>620.88951886375798</v>
      </c>
      <c r="AA15">
        <v>0.71190404943930097</v>
      </c>
      <c r="AB15">
        <v>1379.20487708418</v>
      </c>
      <c r="AC15">
        <v>714.82406859577202</v>
      </c>
      <c r="AD15">
        <v>981.86153700266095</v>
      </c>
      <c r="AE15">
        <v>1018.48040318701</v>
      </c>
      <c r="AF15">
        <v>-89.8672718362495</v>
      </c>
      <c r="AG15">
        <v>5.5594999999999999E-2</v>
      </c>
      <c r="AH15">
        <v>-2531.6365190439701</v>
      </c>
      <c r="AI15">
        <v>2095.25541243405</v>
      </c>
      <c r="AJ15">
        <v>0.06</v>
      </c>
      <c r="AK15">
        <v>0.05</v>
      </c>
      <c r="AL15">
        <v>8.8099999999999998E-2</v>
      </c>
      <c r="AM15">
        <v>3.8100000000000002E-2</v>
      </c>
      <c r="AN15">
        <v>0.89</v>
      </c>
      <c r="AO15">
        <v>0.66</v>
      </c>
      <c r="AP15">
        <v>0.42970000000000003</v>
      </c>
      <c r="AQ15">
        <v>0.57030000000000003</v>
      </c>
      <c r="AR15">
        <v>8.9999999999999993E-3</v>
      </c>
      <c r="AS15">
        <v>0.5</v>
      </c>
      <c r="AT15">
        <v>1.82</v>
      </c>
      <c r="AU15">
        <v>6.3545217126973294E-2</v>
      </c>
      <c r="AV15">
        <v>0.7893</v>
      </c>
      <c r="AW15">
        <v>3</v>
      </c>
      <c r="AX15">
        <v>0.05</v>
      </c>
      <c r="AY15">
        <v>1</v>
      </c>
      <c r="AZ15">
        <v>1</v>
      </c>
      <c r="BA15" s="2">
        <f>modelo_tese_H__2[[#This Row],[Vw]]+modelo_tese_H__2[[#This Row],[Vr]]+modelo_tese_H__2[[#This Row],[K]]-modelo_tese_H__2[[#This Row],[E]]</f>
        <v>1560.4115096804717</v>
      </c>
      <c r="BB15" s="2">
        <f>modelo_tese_H__2[[#This Row],[K]]-modelo_tese_H__2[[#This Row],[Coluna1]]</f>
        <v>1057.2706254736781</v>
      </c>
      <c r="BC15">
        <f>modelo_tese_H__2[[#This Row],[Coluna2]]/modelo_tese_H__2[[#This Row],[Coluna1]]</f>
        <v>0.67755884836441471</v>
      </c>
      <c r="BD15" s="8">
        <f>modelo_tese_H__2[[#This Row],[D]]-modelo_tese_H__2[[#This Row],[Dw]]-modelo_tese_H__2[[#This Row],[Dr]]</f>
        <v>7.9580786405131221E-12</v>
      </c>
    </row>
    <row r="16" spans="1:56" x14ac:dyDescent="0.25">
      <c r="A16">
        <v>15</v>
      </c>
      <c r="B16">
        <v>15</v>
      </c>
      <c r="C16">
        <v>586.22797324356804</v>
      </c>
      <c r="D16">
        <v>308.00309856293097</v>
      </c>
      <c r="E16">
        <v>274.12275772100799</v>
      </c>
      <c r="F16">
        <v>26.2625614374194</v>
      </c>
      <c r="G16">
        <v>799.37398646939698</v>
      </c>
      <c r="H16">
        <v>181.707030279582</v>
      </c>
      <c r="I16">
        <v>482.09234943800999</v>
      </c>
      <c r="J16">
        <v>413.505615381528</v>
      </c>
      <c r="K16">
        <v>1791.12889080419</v>
      </c>
      <c r="L16">
        <v>-174.08925087507899</v>
      </c>
      <c r="M16">
        <v>2204.6345061857101</v>
      </c>
      <c r="N16">
        <v>-629.97474125836698</v>
      </c>
      <c r="O16">
        <v>403.724235590604</v>
      </c>
      <c r="P16">
        <v>266.45799548979898</v>
      </c>
      <c r="Q16">
        <v>441.701139931196</v>
      </c>
      <c r="R16">
        <v>220.850569965598</v>
      </c>
      <c r="S16">
        <v>220.850569965598</v>
      </c>
      <c r="T16">
        <v>182.873665625006</v>
      </c>
      <c r="U16">
        <v>78.738041819448796</v>
      </c>
      <c r="V16">
        <v>1553.1039353897399</v>
      </c>
      <c r="W16">
        <v>279.37876824695502</v>
      </c>
      <c r="X16">
        <v>0.27178797123868098</v>
      </c>
      <c r="Y16">
        <v>2730.7197237533301</v>
      </c>
      <c r="Z16" t="s">
        <v>129</v>
      </c>
      <c r="AA16">
        <v>0.71468990098291796</v>
      </c>
      <c r="AB16">
        <v>1438.2868874473299</v>
      </c>
      <c r="AC16">
        <v>748.55034492780896</v>
      </c>
      <c r="AD16">
        <v>1027.92911317476</v>
      </c>
      <c r="AE16">
        <v>923.12919413137399</v>
      </c>
      <c r="AF16">
        <v>-95.351209055630704</v>
      </c>
      <c r="AG16">
        <v>5.5594999999999999E-2</v>
      </c>
      <c r="AH16">
        <v>-2834.6092474440802</v>
      </c>
      <c r="AI16">
        <v>2232.5216525348601</v>
      </c>
      <c r="AJ16">
        <v>0.06</v>
      </c>
      <c r="AK16">
        <v>0.05</v>
      </c>
      <c r="AL16">
        <v>8.8099999999999998E-2</v>
      </c>
      <c r="AM16">
        <v>3.8100000000000002E-2</v>
      </c>
      <c r="AN16">
        <v>0.89</v>
      </c>
      <c r="AO16">
        <v>0.66</v>
      </c>
      <c r="AP16">
        <v>0.42970000000000003</v>
      </c>
      <c r="AQ16">
        <v>0.57030000000000003</v>
      </c>
      <c r="AR16">
        <v>8.9999999999999993E-3</v>
      </c>
      <c r="AS16">
        <v>0.5</v>
      </c>
      <c r="AT16">
        <v>1.82</v>
      </c>
      <c r="AU16">
        <v>6.3545217126973294E-2</v>
      </c>
      <c r="AV16">
        <v>0.7893</v>
      </c>
      <c r="AW16">
        <v>3</v>
      </c>
      <c r="AX16">
        <v>0.05</v>
      </c>
      <c r="AY16">
        <v>1</v>
      </c>
      <c r="AZ16">
        <v>1</v>
      </c>
      <c r="BA16" s="2" t="e">
        <f>modelo_tese_H__2[[#This Row],[Vw]]+modelo_tese_H__2[[#This Row],[Vr]]+modelo_tese_H__2[[#This Row],[K]]-modelo_tese_H__2[[#This Row],[E]]</f>
        <v>#VALUE!</v>
      </c>
      <c r="BB16" s="2" t="e">
        <f>modelo_tese_H__2[[#This Row],[K]]-modelo_tese_H__2[[#This Row],[Coluna1]]</f>
        <v>#VALUE!</v>
      </c>
      <c r="BC16" t="e">
        <f>modelo_tese_H__2[[#This Row],[Coluna2]]/modelo_tese_H__2[[#This Row],[Coluna1]]</f>
        <v>#VALUE!</v>
      </c>
      <c r="BD16" s="8">
        <f>modelo_tese_H__2[[#This Row],[D]]-modelo_tese_H__2[[#This Row],[Dw]]-modelo_tese_H__2[[#This Row],[Dr]]</f>
        <v>0</v>
      </c>
    </row>
    <row r="17" spans="1:56" x14ac:dyDescent="0.25">
      <c r="A17">
        <v>16</v>
      </c>
      <c r="B17">
        <v>16</v>
      </c>
      <c r="C17">
        <v>614.03992282699903</v>
      </c>
      <c r="D17">
        <v>318.68198420083303</v>
      </c>
      <c r="E17">
        <v>283.62696593874102</v>
      </c>
      <c r="F17">
        <v>27.948746063477099</v>
      </c>
      <c r="G17">
        <v>842.60188720828398</v>
      </c>
      <c r="H17">
        <v>191.80903262797599</v>
      </c>
      <c r="I17">
        <v>503.38474463019401</v>
      </c>
      <c r="J17">
        <v>425.69979749896902</v>
      </c>
      <c r="K17">
        <v>1914.6959126925201</v>
      </c>
      <c r="L17">
        <v>-184.70276042936101</v>
      </c>
      <c r="M17">
        <v>2340.3957101914898</v>
      </c>
      <c r="N17">
        <v>-814.67750168772898</v>
      </c>
      <c r="O17">
        <v>425.55650869105199</v>
      </c>
      <c r="P17">
        <v>280.867295736095</v>
      </c>
      <c r="Q17">
        <v>462.65641739218199</v>
      </c>
      <c r="R17">
        <v>231.328208696091</v>
      </c>
      <c r="S17">
        <v>231.328208696091</v>
      </c>
      <c r="T17">
        <v>194.22829999496099</v>
      </c>
      <c r="U17">
        <v>83.573121798156507</v>
      </c>
      <c r="V17">
        <v>1636.6770571878999</v>
      </c>
      <c r="W17">
        <v>292.44429985289202</v>
      </c>
      <c r="X17">
        <v>0.27161260694296802</v>
      </c>
      <c r="Y17">
        <v>2849.63984584741</v>
      </c>
      <c r="Z17">
        <v>740.533808301916</v>
      </c>
      <c r="AA17">
        <v>0.71760837340914896</v>
      </c>
      <c r="AB17">
        <v>1500.39545261172</v>
      </c>
      <c r="AC17">
        <v>784.25204036628895</v>
      </c>
      <c r="AD17">
        <v>1076.69634021918</v>
      </c>
      <c r="AE17">
        <v>821.99955550017</v>
      </c>
      <c r="AF17">
        <v>-101.129638631205</v>
      </c>
      <c r="AG17">
        <v>5.5594999999999999E-2</v>
      </c>
      <c r="AH17">
        <v>-3155.0732118792198</v>
      </c>
      <c r="AI17">
        <v>2377.2108654898102</v>
      </c>
      <c r="AJ17">
        <v>0.06</v>
      </c>
      <c r="AK17">
        <v>0.05</v>
      </c>
      <c r="AL17">
        <v>8.8099999999999998E-2</v>
      </c>
      <c r="AM17">
        <v>3.8100000000000002E-2</v>
      </c>
      <c r="AN17">
        <v>0.89</v>
      </c>
      <c r="AO17">
        <v>0.66</v>
      </c>
      <c r="AP17">
        <v>0.42970000000000003</v>
      </c>
      <c r="AQ17">
        <v>0.57030000000000003</v>
      </c>
      <c r="AR17">
        <v>8.9999999999999993E-3</v>
      </c>
      <c r="AS17">
        <v>0.5</v>
      </c>
      <c r="AT17">
        <v>1.82</v>
      </c>
      <c r="AU17">
        <v>6.3545217126973294E-2</v>
      </c>
      <c r="AV17">
        <v>0.7893</v>
      </c>
      <c r="AW17">
        <v>3</v>
      </c>
      <c r="AX17">
        <v>0.05</v>
      </c>
      <c r="AY17">
        <v>1</v>
      </c>
      <c r="AZ17">
        <v>1</v>
      </c>
      <c r="BA17" s="2">
        <f>modelo_tese_H__2[[#This Row],[Vw]]+modelo_tese_H__2[[#This Row],[Vr]]+modelo_tese_H__2[[#This Row],[K]]-modelo_tese_H__2[[#This Row],[E]]</f>
        <v>1331.2436911560844</v>
      </c>
      <c r="BB17" s="2">
        <f>modelo_tese_H__2[[#This Row],[K]]-modelo_tese_H__2[[#This Row],[Coluna1]]</f>
        <v>1518.3961546913256</v>
      </c>
      <c r="BC17">
        <f>modelo_tese_H__2[[#This Row],[Coluna2]]/modelo_tese_H__2[[#This Row],[Coluna1]]</f>
        <v>1.1405846764033964</v>
      </c>
      <c r="BD17" s="8">
        <f>modelo_tese_H__2[[#This Row],[D]]-modelo_tese_H__2[[#This Row],[Dw]]-modelo_tese_H__2[[#This Row],[Dr]]</f>
        <v>0</v>
      </c>
    </row>
    <row r="18" spans="1:56" x14ac:dyDescent="0.25">
      <c r="A18">
        <v>17</v>
      </c>
      <c r="B18">
        <v>17</v>
      </c>
      <c r="C18">
        <v>643.47807099160605</v>
      </c>
      <c r="D18">
        <v>330.07005055553202</v>
      </c>
      <c r="E18">
        <v>293.76234499442398</v>
      </c>
      <c r="F18">
        <v>29.7240103802901</v>
      </c>
      <c r="G18">
        <v>888.24255260022596</v>
      </c>
      <c r="H18">
        <v>202.472655796928</v>
      </c>
      <c r="I18">
        <v>525.95901117164203</v>
      </c>
      <c r="J18">
        <v>439.20464559454899</v>
      </c>
      <c r="K18">
        <v>2044.2186542158599</v>
      </c>
      <c r="L18">
        <v>-195.88896061611001</v>
      </c>
      <c r="M18">
        <v>2483.4232998104098</v>
      </c>
      <c r="N18">
        <v>-1010.56646230384</v>
      </c>
      <c r="O18">
        <v>448.60734979809399</v>
      </c>
      <c r="P18">
        <v>296.08085086674203</v>
      </c>
      <c r="Q18">
        <v>484.83697546044698</v>
      </c>
      <c r="R18">
        <v>242.418487730224</v>
      </c>
      <c r="S18">
        <v>242.418487730224</v>
      </c>
      <c r="T18">
        <v>206.18886206786999</v>
      </c>
      <c r="U18">
        <v>88.669802247906105</v>
      </c>
      <c r="V18">
        <v>1725.3468594358001</v>
      </c>
      <c r="W18">
        <v>306.27518441366999</v>
      </c>
      <c r="X18">
        <v>0.27144473999237501</v>
      </c>
      <c r="Y18">
        <v>2974.8340475230302</v>
      </c>
      <c r="Z18">
        <v>804.39050498536199</v>
      </c>
      <c r="AA18">
        <v>0.72062909547507004</v>
      </c>
      <c r="AB18">
        <v>1565.7361790370401</v>
      </c>
      <c r="AC18">
        <v>822.03986203838394</v>
      </c>
      <c r="AD18">
        <v>1128.31504645205</v>
      </c>
      <c r="AE18">
        <v>714.78039713196597</v>
      </c>
      <c r="AF18">
        <v>-107.21915836820401</v>
      </c>
      <c r="AG18">
        <v>5.5594999999999999E-2</v>
      </c>
      <c r="AH18">
        <v>-3493.98976211425</v>
      </c>
      <c r="AI18">
        <v>2529.7373644211698</v>
      </c>
      <c r="AJ18">
        <v>0.06</v>
      </c>
      <c r="AK18">
        <v>0.05</v>
      </c>
      <c r="AL18">
        <v>8.8099999999999998E-2</v>
      </c>
      <c r="AM18">
        <v>3.8100000000000002E-2</v>
      </c>
      <c r="AN18">
        <v>0.89</v>
      </c>
      <c r="AO18">
        <v>0.66</v>
      </c>
      <c r="AP18">
        <v>0.42970000000000003</v>
      </c>
      <c r="AQ18">
        <v>0.57030000000000003</v>
      </c>
      <c r="AR18">
        <v>8.9999999999999993E-3</v>
      </c>
      <c r="AS18">
        <v>0.5</v>
      </c>
      <c r="AT18">
        <v>1.82</v>
      </c>
      <c r="AU18">
        <v>6.3545217126973294E-2</v>
      </c>
      <c r="AV18">
        <v>0.7893</v>
      </c>
      <c r="AW18">
        <v>3</v>
      </c>
      <c r="AX18">
        <v>0.05</v>
      </c>
      <c r="AY18">
        <v>1</v>
      </c>
      <c r="AZ18">
        <v>1</v>
      </c>
      <c r="BA18" s="2">
        <f>modelo_tese_H__2[[#This Row],[Vw]]+modelo_tese_H__2[[#This Row],[Vr]]+modelo_tese_H__2[[#This Row],[K]]-modelo_tese_H__2[[#This Row],[E]]</f>
        <v>1206.1911448445881</v>
      </c>
      <c r="BB18" s="2">
        <f>modelo_tese_H__2[[#This Row],[K]]-modelo_tese_H__2[[#This Row],[Coluna1]]</f>
        <v>1768.6429026784422</v>
      </c>
      <c r="BC18">
        <f>modelo_tese_H__2[[#This Row],[Coluna2]]/modelo_tese_H__2[[#This Row],[Coluna1]]</f>
        <v>1.4663040018473386</v>
      </c>
      <c r="BD18" s="8">
        <f>modelo_tese_H__2[[#This Row],[D]]-modelo_tese_H__2[[#This Row],[Dw]]-modelo_tese_H__2[[#This Row],[Dr]]</f>
        <v>5.9117155615240335E-12</v>
      </c>
    </row>
    <row r="19" spans="1:56" x14ac:dyDescent="0.25">
      <c r="A19">
        <v>18</v>
      </c>
      <c r="B19">
        <v>18</v>
      </c>
      <c r="C19">
        <v>674.63383367409699</v>
      </c>
      <c r="D19">
        <v>342.206957809909</v>
      </c>
      <c r="E19">
        <v>304.56419245081901</v>
      </c>
      <c r="F19">
        <v>31.593388843245499</v>
      </c>
      <c r="G19">
        <v>936.43196931573004</v>
      </c>
      <c r="H19">
        <v>213.72912309595799</v>
      </c>
      <c r="I19">
        <v>549.88670439002306</v>
      </c>
      <c r="J19">
        <v>454.06433744064202</v>
      </c>
      <c r="K19">
        <v>2180.0630465862</v>
      </c>
      <c r="L19">
        <v>-207.679746580114</v>
      </c>
      <c r="M19">
        <v>2634.12738402684</v>
      </c>
      <c r="N19">
        <v>-1218.24620888395</v>
      </c>
      <c r="O19">
        <v>472.94543904834899</v>
      </c>
      <c r="P19">
        <v>312.14398977191001</v>
      </c>
      <c r="Q19">
        <v>508.31169267010199</v>
      </c>
      <c r="R19">
        <v>254.155846335051</v>
      </c>
      <c r="S19">
        <v>254.155846335051</v>
      </c>
      <c r="T19">
        <v>218.789592713297</v>
      </c>
      <c r="U19">
        <v>94.0424634292241</v>
      </c>
      <c r="V19">
        <v>1819.38932286503</v>
      </c>
      <c r="W19">
        <v>320.91483218226603</v>
      </c>
      <c r="X19">
        <v>0.27128453934309399</v>
      </c>
      <c r="Y19">
        <v>3106.71240423873</v>
      </c>
      <c r="Z19">
        <v>871.14949083257704</v>
      </c>
      <c r="AA19">
        <v>0.72372469305946097</v>
      </c>
      <c r="AB19">
        <v>1634.5242019357299</v>
      </c>
      <c r="AC19">
        <v>862.03069416193296</v>
      </c>
      <c r="AD19">
        <v>1182.9455263442001</v>
      </c>
      <c r="AE19">
        <v>601.143113981076</v>
      </c>
      <c r="AF19">
        <v>-113.63728315089</v>
      </c>
      <c r="AG19">
        <v>5.5594999999999999E-2</v>
      </c>
      <c r="AH19">
        <v>-3852.3735929107902</v>
      </c>
      <c r="AI19">
        <v>2690.5388136976098</v>
      </c>
      <c r="AJ19">
        <v>0.06</v>
      </c>
      <c r="AK19">
        <v>0.05</v>
      </c>
      <c r="AL19">
        <v>8.8099999999999998E-2</v>
      </c>
      <c r="AM19">
        <v>3.8100000000000002E-2</v>
      </c>
      <c r="AN19">
        <v>0.89</v>
      </c>
      <c r="AO19">
        <v>0.66</v>
      </c>
      <c r="AP19">
        <v>0.42970000000000003</v>
      </c>
      <c r="AQ19">
        <v>0.57030000000000003</v>
      </c>
      <c r="AR19">
        <v>8.9999999999999993E-3</v>
      </c>
      <c r="AS19">
        <v>0.5</v>
      </c>
      <c r="AT19">
        <v>1.82</v>
      </c>
      <c r="AU19">
        <v>6.3545217126973294E-2</v>
      </c>
      <c r="AV19">
        <v>0.7893</v>
      </c>
      <c r="AW19">
        <v>3</v>
      </c>
      <c r="AX19">
        <v>0.05</v>
      </c>
      <c r="AY19">
        <v>1</v>
      </c>
      <c r="AZ19">
        <v>1</v>
      </c>
      <c r="BA19" s="2">
        <f>modelo_tese_H__2[[#This Row],[Vw]]+modelo_tese_H__2[[#This Row],[Vr]]+modelo_tese_H__2[[#This Row],[K]]-modelo_tese_H__2[[#This Row],[E]]</f>
        <v>1073.7281341929724</v>
      </c>
      <c r="BB19" s="2">
        <f>modelo_tese_H__2[[#This Row],[K]]-modelo_tese_H__2[[#This Row],[Coluna1]]</f>
        <v>2032.9842700457575</v>
      </c>
      <c r="BC19">
        <f>modelo_tese_H__2[[#This Row],[Coluna2]]/modelo_tese_H__2[[#This Row],[Coluna1]]</f>
        <v>1.8933882845249035</v>
      </c>
      <c r="BD19" s="8">
        <f>modelo_tese_H__2[[#This Row],[D]]-modelo_tese_H__2[[#This Row],[Dw]]-modelo_tese_H__2[[#This Row],[Dr]]</f>
        <v>-4.0927261579781771E-12</v>
      </c>
    </row>
    <row r="20" spans="1:56" x14ac:dyDescent="0.25">
      <c r="A20">
        <v>19</v>
      </c>
      <c r="B20">
        <v>19</v>
      </c>
      <c r="C20">
        <v>707.603734614004</v>
      </c>
      <c r="D20">
        <v>355.13461603219099</v>
      </c>
      <c r="E20">
        <v>316.06980826864998</v>
      </c>
      <c r="F20">
        <v>33.562193374070901</v>
      </c>
      <c r="G20">
        <v>987.313675750068</v>
      </c>
      <c r="H20">
        <v>225.61139369447801</v>
      </c>
      <c r="I20">
        <v>575.24339533719899</v>
      </c>
      <c r="J20">
        <v>470.32667955822399</v>
      </c>
      <c r="K20">
        <v>2322.6140382057401</v>
      </c>
      <c r="L20">
        <v>-220.108779305008</v>
      </c>
      <c r="M20">
        <v>2792.94071776397</v>
      </c>
      <c r="N20">
        <v>-1438.3549881889601</v>
      </c>
      <c r="O20">
        <v>498.643270580842</v>
      </c>
      <c r="P20">
        <v>329.10455858335598</v>
      </c>
      <c r="Q20">
        <v>533.15329609615503</v>
      </c>
      <c r="R20">
        <v>266.57664804807803</v>
      </c>
      <c r="S20">
        <v>266.57664804807803</v>
      </c>
      <c r="T20">
        <v>232.066622532765</v>
      </c>
      <c r="U20">
        <v>99.706283255960201</v>
      </c>
      <c r="V20">
        <v>1919.0956061209899</v>
      </c>
      <c r="W20">
        <v>336.409076789604</v>
      </c>
      <c r="X20">
        <v>0.27113211407478599</v>
      </c>
      <c r="Y20">
        <v>3245.7047667499301</v>
      </c>
      <c r="Z20">
        <v>940.98191957410302</v>
      </c>
      <c r="AA20">
        <v>0.72687056349711598</v>
      </c>
      <c r="AB20">
        <v>1706.9848374938099</v>
      </c>
      <c r="AC20">
        <v>904.34795392055503</v>
      </c>
      <c r="AD20">
        <v>1240.7570307101601</v>
      </c>
      <c r="AE20">
        <v>480.74061793202799</v>
      </c>
      <c r="AF20">
        <v>-120.402496049048</v>
      </c>
      <c r="AG20">
        <v>5.5594999999999999E-2</v>
      </c>
      <c r="AH20">
        <v>-4231.2957059529299</v>
      </c>
      <c r="AI20">
        <v>2860.0775256950901</v>
      </c>
      <c r="AJ20">
        <v>0.06</v>
      </c>
      <c r="AK20">
        <v>0.05</v>
      </c>
      <c r="AL20">
        <v>8.8099999999999998E-2</v>
      </c>
      <c r="AM20">
        <v>3.8100000000000002E-2</v>
      </c>
      <c r="AN20">
        <v>0.89</v>
      </c>
      <c r="AO20">
        <v>0.66</v>
      </c>
      <c r="AP20">
        <v>0.42970000000000003</v>
      </c>
      <c r="AQ20">
        <v>0.57030000000000003</v>
      </c>
      <c r="AR20">
        <v>8.9999999999999993E-3</v>
      </c>
      <c r="AS20">
        <v>0.5</v>
      </c>
      <c r="AT20">
        <v>1.82</v>
      </c>
      <c r="AU20">
        <v>6.3545217126973294E-2</v>
      </c>
      <c r="AV20">
        <v>0.7893</v>
      </c>
      <c r="AW20">
        <v>3</v>
      </c>
      <c r="AX20">
        <v>0.05</v>
      </c>
      <c r="AY20">
        <v>1</v>
      </c>
      <c r="AZ20">
        <v>1</v>
      </c>
      <c r="BA20" s="2">
        <f>modelo_tese_H__2[[#This Row],[Vw]]+modelo_tese_H__2[[#This Row],[Vr]]+modelo_tese_H__2[[#This Row],[K]]-modelo_tese_H__2[[#This Row],[E]]</f>
        <v>933.50466691798727</v>
      </c>
      <c r="BB20" s="2">
        <f>modelo_tese_H__2[[#This Row],[K]]-modelo_tese_H__2[[#This Row],[Coluna1]]</f>
        <v>2312.2000998319427</v>
      </c>
      <c r="BC20">
        <f>modelo_tese_H__2[[#This Row],[Coluna2]]/modelo_tese_H__2[[#This Row],[Coluna1]]</f>
        <v>2.4769025606114941</v>
      </c>
      <c r="BD20" s="8">
        <f>modelo_tese_H__2[[#This Row],[D]]-modelo_tese_H__2[[#This Row],[Dw]]-modelo_tese_H__2[[#This Row],[Dr]]</f>
        <v>-1.8189894035458565E-12</v>
      </c>
    </row>
    <row r="21" spans="1:56" x14ac:dyDescent="0.25">
      <c r="A21">
        <v>20</v>
      </c>
      <c r="B21">
        <v>20</v>
      </c>
      <c r="C21">
        <v>742.48969877728405</v>
      </c>
      <c r="D21">
        <v>368.89731928097802</v>
      </c>
      <c r="E21">
        <v>328.31861416007001</v>
      </c>
      <c r="F21">
        <v>35.636028768961097</v>
      </c>
      <c r="G21">
        <v>1041.03918953929</v>
      </c>
      <c r="H21">
        <v>238.15425912692299</v>
      </c>
      <c r="I21">
        <v>602.10890205595399</v>
      </c>
      <c r="J21">
        <v>488.043261836017</v>
      </c>
      <c r="K21">
        <v>2472.2767024770301</v>
      </c>
      <c r="L21">
        <v>-233.21158277497599</v>
      </c>
      <c r="M21">
        <v>2960.3199643130401</v>
      </c>
      <c r="N21">
        <v>-1671.56657096394</v>
      </c>
      <c r="O21">
        <v>525.77736845418701</v>
      </c>
      <c r="P21">
        <v>347.013063179764</v>
      </c>
      <c r="Q21">
        <v>559.43858243836405</v>
      </c>
      <c r="R21">
        <v>279.71929121918203</v>
      </c>
      <c r="S21">
        <v>279.71929121918203</v>
      </c>
      <c r="T21">
        <v>246.05807723500499</v>
      </c>
      <c r="U21">
        <v>105.677280513675</v>
      </c>
      <c r="V21">
        <v>2024.7728866346599</v>
      </c>
      <c r="W21">
        <v>352.80631597992999</v>
      </c>
      <c r="X21">
        <v>0.27098751987359898</v>
      </c>
      <c r="Y21">
        <v>3392.2620685966799</v>
      </c>
      <c r="Z21">
        <v>1014.06894433485</v>
      </c>
      <c r="AA21">
        <v>0.730044671988197</v>
      </c>
      <c r="AB21">
        <v>1783.35426744501</v>
      </c>
      <c r="AC21">
        <v>949.12196523571799</v>
      </c>
      <c r="AD21">
        <v>1301.92828121565</v>
      </c>
      <c r="AE21">
        <v>353.20631567072701</v>
      </c>
      <c r="AF21">
        <v>-127.53430226130099</v>
      </c>
      <c r="AG21">
        <v>5.5594999999999999E-2</v>
      </c>
      <c r="AH21">
        <v>-4631.8865352769799</v>
      </c>
      <c r="AI21">
        <v>3038.8418309695198</v>
      </c>
      <c r="AJ21">
        <v>0.06</v>
      </c>
      <c r="AK21">
        <v>0.05</v>
      </c>
      <c r="AL21">
        <v>8.8099999999999998E-2</v>
      </c>
      <c r="AM21">
        <v>3.8100000000000002E-2</v>
      </c>
      <c r="AN21">
        <v>0.89</v>
      </c>
      <c r="AO21">
        <v>0.66</v>
      </c>
      <c r="AP21">
        <v>0.42970000000000003</v>
      </c>
      <c r="AQ21">
        <v>0.57030000000000003</v>
      </c>
      <c r="AR21">
        <v>8.9999999999999993E-3</v>
      </c>
      <c r="AS21">
        <v>0.5</v>
      </c>
      <c r="AT21">
        <v>1.82</v>
      </c>
      <c r="AU21">
        <v>6.3545217126973294E-2</v>
      </c>
      <c r="AV21">
        <v>0.7893</v>
      </c>
      <c r="AW21">
        <v>3</v>
      </c>
      <c r="AX21">
        <v>0.05</v>
      </c>
      <c r="AY21">
        <v>1</v>
      </c>
      <c r="AZ21">
        <v>1</v>
      </c>
      <c r="BA21" s="2">
        <f>modelo_tese_H__2[[#This Row],[Vw]]+modelo_tese_H__2[[#This Row],[Vr]]+modelo_tese_H__2[[#This Row],[K]]-modelo_tese_H__2[[#This Row],[E]]</f>
        <v>785.14841995436984</v>
      </c>
      <c r="BB21" s="2">
        <f>modelo_tese_H__2[[#This Row],[K]]-modelo_tese_H__2[[#This Row],[Coluna1]]</f>
        <v>2607.1136486423102</v>
      </c>
      <c r="BC21">
        <f>modelo_tese_H__2[[#This Row],[Coluna2]]/modelo_tese_H__2[[#This Row],[Coluna1]]</f>
        <v>3.320536069847567</v>
      </c>
      <c r="BD21" s="8">
        <f>modelo_tese_H__2[[#This Row],[D]]-modelo_tese_H__2[[#This Row],[Dw]]-modelo_tese_H__2[[#This Row],[Dr]]</f>
        <v>7.0485839387401938E-12</v>
      </c>
    </row>
    <row r="22" spans="1:56" x14ac:dyDescent="0.25">
      <c r="A22">
        <v>21</v>
      </c>
      <c r="B22">
        <v>21</v>
      </c>
      <c r="C22">
        <v>779.39936070701594</v>
      </c>
      <c r="D22">
        <v>383.54188579777701</v>
      </c>
      <c r="E22">
        <v>341.35227836002099</v>
      </c>
      <c r="F22">
        <v>37.820808971170003</v>
      </c>
      <c r="G22">
        <v>1097.76845778342</v>
      </c>
      <c r="H22">
        <v>251.39444516308399</v>
      </c>
      <c r="I22">
        <v>630.56753249427504</v>
      </c>
      <c r="J22">
        <v>507.26962253123497</v>
      </c>
      <c r="K22">
        <v>2629.4774052757398</v>
      </c>
      <c r="L22">
        <v>-247.025646696498</v>
      </c>
      <c r="M22">
        <v>3136.74702780697</v>
      </c>
      <c r="N22">
        <v>-1918.5922176604399</v>
      </c>
      <c r="O22">
        <v>554.42851403203099</v>
      </c>
      <c r="P22">
        <v>365.922819261141</v>
      </c>
      <c r="Q22">
        <v>587.24865035210405</v>
      </c>
      <c r="R22">
        <v>293.62432517605203</v>
      </c>
      <c r="S22">
        <v>293.62432517605203</v>
      </c>
      <c r="T22">
        <v>260.80418885597902</v>
      </c>
      <c r="U22">
        <v>111.97236064323801</v>
      </c>
      <c r="V22">
        <v>2136.7452472779</v>
      </c>
      <c r="W22">
        <v>370.15765930370401</v>
      </c>
      <c r="X22">
        <v>0.27085076501654398</v>
      </c>
      <c r="Y22">
        <v>3546.8576981998099</v>
      </c>
      <c r="Z22">
        <v>1090.6022784625</v>
      </c>
      <c r="AA22">
        <v>0.733227365642936</v>
      </c>
      <c r="AB22">
        <v>1863.8802574706999</v>
      </c>
      <c r="AC22">
        <v>996.49035175541599</v>
      </c>
      <c r="AD22">
        <v>1366.6480110591201</v>
      </c>
      <c r="AE22">
        <v>218.15302961746701</v>
      </c>
      <c r="AF22">
        <v>-135.05328605326099</v>
      </c>
      <c r="AG22">
        <v>5.5594999999999999E-2</v>
      </c>
      <c r="AH22">
        <v>-5055.3392454674104</v>
      </c>
      <c r="AI22">
        <v>3227.3475257404102</v>
      </c>
      <c r="AJ22">
        <v>0.06</v>
      </c>
      <c r="AK22">
        <v>0.05</v>
      </c>
      <c r="AL22">
        <v>8.8099999999999998E-2</v>
      </c>
      <c r="AM22">
        <v>3.8100000000000002E-2</v>
      </c>
      <c r="AN22">
        <v>0.89</v>
      </c>
      <c r="AO22">
        <v>0.66</v>
      </c>
      <c r="AP22">
        <v>0.42970000000000003</v>
      </c>
      <c r="AQ22">
        <v>0.57030000000000003</v>
      </c>
      <c r="AR22">
        <v>8.9999999999999993E-3</v>
      </c>
      <c r="AS22">
        <v>0.5</v>
      </c>
      <c r="AT22">
        <v>1.82</v>
      </c>
      <c r="AU22">
        <v>6.3545217126973294E-2</v>
      </c>
      <c r="AV22">
        <v>0.7893</v>
      </c>
      <c r="AW22">
        <v>3</v>
      </c>
      <c r="AX22">
        <v>0.05</v>
      </c>
      <c r="AY22">
        <v>1</v>
      </c>
      <c r="AZ22">
        <v>1</v>
      </c>
      <c r="BA22" s="2">
        <f>modelo_tese_H__2[[#This Row],[Vw]]+modelo_tese_H__2[[#This Row],[Vr]]+modelo_tese_H__2[[#This Row],[K]]-modelo_tese_H__2[[#This Row],[E]]</f>
        <v>628.26370001030978</v>
      </c>
      <c r="BB22" s="2">
        <f>modelo_tese_H__2[[#This Row],[K]]-modelo_tese_H__2[[#This Row],[Coluna1]]</f>
        <v>2918.5939981894999</v>
      </c>
      <c r="BC22">
        <f>modelo_tese_H__2[[#This Row],[Coluna2]]/modelo_tese_H__2[[#This Row],[Coluna1]]</f>
        <v>4.6454920093928802</v>
      </c>
      <c r="BD22" s="8">
        <f>modelo_tese_H__2[[#This Row],[D]]-modelo_tese_H__2[[#This Row],[Dw]]-modelo_tese_H__2[[#This Row],[Dr]]</f>
        <v>6.8212102632969618E-12</v>
      </c>
    </row>
    <row r="23" spans="1:56" x14ac:dyDescent="0.25">
      <c r="A23">
        <v>22</v>
      </c>
      <c r="B23">
        <v>22</v>
      </c>
      <c r="C23">
        <v>818.44638888073996</v>
      </c>
      <c r="D23">
        <v>399.11780487367201</v>
      </c>
      <c r="E23">
        <v>355.21484633756802</v>
      </c>
      <c r="F23">
        <v>40.122774254513999</v>
      </c>
      <c r="G23">
        <v>1157.67033142785</v>
      </c>
      <c r="H23">
        <v>265.37071934192602</v>
      </c>
      <c r="I23">
        <v>660.70833993400799</v>
      </c>
      <c r="J23">
        <v>528.06542416730895</v>
      </c>
      <c r="K23">
        <v>2794.6650354766598</v>
      </c>
      <c r="L23">
        <v>-261.59053506033598</v>
      </c>
      <c r="M23">
        <v>3322.7304596439599</v>
      </c>
      <c r="N23">
        <v>-2180.1827527207702</v>
      </c>
      <c r="O23">
        <v>584.68198556962102</v>
      </c>
      <c r="P23">
        <v>385.89011047595</v>
      </c>
      <c r="Q23">
        <v>616.66914483965297</v>
      </c>
      <c r="R23">
        <v>308.334572419827</v>
      </c>
      <c r="S23">
        <v>308.334572419827</v>
      </c>
      <c r="T23">
        <v>276.34741314979402</v>
      </c>
      <c r="U23">
        <v>118.60936420306101</v>
      </c>
      <c r="V23">
        <v>2255.3546114809601</v>
      </c>
      <c r="W23">
        <v>388.51708331043602</v>
      </c>
      <c r="X23">
        <v>0.27072181589676098</v>
      </c>
      <c r="Y23">
        <v>3709.9889389596701</v>
      </c>
      <c r="Z23">
        <v>1170.78478935311</v>
      </c>
      <c r="AA23">
        <v>0.73640120174451196</v>
      </c>
      <c r="AB23">
        <v>1948.8229110988</v>
      </c>
      <c r="AC23">
        <v>1046.5984504099599</v>
      </c>
      <c r="AD23">
        <v>1435.11553372039</v>
      </c>
      <c r="AE23">
        <v>75.171858760192706</v>
      </c>
      <c r="AF23">
        <v>-142.98117085727401</v>
      </c>
      <c r="AG23">
        <v>5.5594999999999999E-2</v>
      </c>
      <c r="AH23">
        <v>-5502.9132123647396</v>
      </c>
      <c r="AI23">
        <v>3426.1394008340799</v>
      </c>
      <c r="AJ23">
        <v>0.06</v>
      </c>
      <c r="AK23">
        <v>0.05</v>
      </c>
      <c r="AL23">
        <v>8.8099999999999998E-2</v>
      </c>
      <c r="AM23">
        <v>3.8100000000000002E-2</v>
      </c>
      <c r="AN23">
        <v>0.89</v>
      </c>
      <c r="AO23">
        <v>0.66</v>
      </c>
      <c r="AP23">
        <v>0.42970000000000003</v>
      </c>
      <c r="AQ23">
        <v>0.57030000000000003</v>
      </c>
      <c r="AR23">
        <v>8.9999999999999993E-3</v>
      </c>
      <c r="AS23">
        <v>0.5</v>
      </c>
      <c r="AT23">
        <v>1.82</v>
      </c>
      <c r="AU23">
        <v>6.3545217126973294E-2</v>
      </c>
      <c r="AV23">
        <v>0.7893</v>
      </c>
      <c r="AW23">
        <v>3</v>
      </c>
      <c r="AX23">
        <v>0.05</v>
      </c>
      <c r="AY23">
        <v>1</v>
      </c>
      <c r="AZ23">
        <v>1</v>
      </c>
      <c r="BA23" s="2">
        <f>modelo_tese_H__2[[#This Row],[Vw]]+modelo_tese_H__2[[#This Row],[Vr]]+modelo_tese_H__2[[#This Row],[K]]-modelo_tese_H__2[[#This Row],[E]]</f>
        <v>462.43033807590041</v>
      </c>
      <c r="BB23" s="2">
        <f>modelo_tese_H__2[[#This Row],[K]]-modelo_tese_H__2[[#This Row],[Coluna1]]</f>
        <v>3247.5586008837699</v>
      </c>
      <c r="BC23">
        <f>modelo_tese_H__2[[#This Row],[Coluna2]]/modelo_tese_H__2[[#This Row],[Coluna1]]</f>
        <v>7.0228061039341583</v>
      </c>
      <c r="BD23" s="8">
        <f>modelo_tese_H__2[[#This Row],[D]]-modelo_tese_H__2[[#This Row],[Dw]]-modelo_tese_H__2[[#This Row],[Dr]]</f>
        <v>0</v>
      </c>
    </row>
    <row r="24" spans="1:56" x14ac:dyDescent="0.25">
      <c r="A24">
        <v>23</v>
      </c>
      <c r="B24">
        <v>23</v>
      </c>
      <c r="C24">
        <v>859.75082718119495</v>
      </c>
      <c r="D24">
        <v>415.67739097683</v>
      </c>
      <c r="E24">
        <v>369.95287796937799</v>
      </c>
      <c r="F24">
        <v>42.548509367021197</v>
      </c>
      <c r="G24">
        <v>1220.9230653098</v>
      </c>
      <c r="H24">
        <v>280.12400448374001</v>
      </c>
      <c r="I24">
        <v>692.62539182013995</v>
      </c>
      <c r="J24">
        <v>550.494640873555</v>
      </c>
      <c r="K24">
        <v>2968.3123021087299</v>
      </c>
      <c r="L24">
        <v>-276.94800084331001</v>
      </c>
      <c r="M24">
        <v>3518.8069429822899</v>
      </c>
      <c r="N24">
        <v>-2457.1307535640799</v>
      </c>
      <c r="O24">
        <v>616.62781076252702</v>
      </c>
      <c r="P24">
        <v>406.97435510326801</v>
      </c>
      <c r="Q24">
        <v>647.790514535787</v>
      </c>
      <c r="R24">
        <v>323.89525726789299</v>
      </c>
      <c r="S24">
        <v>323.89525726789299</v>
      </c>
      <c r="T24">
        <v>292.73255349463301</v>
      </c>
      <c r="U24">
        <v>125.607118133578</v>
      </c>
      <c r="V24">
        <v>2380.9617296145402</v>
      </c>
      <c r="W24">
        <v>407.94159479357398</v>
      </c>
      <c r="X24">
        <v>0.27060060212276299</v>
      </c>
      <c r="Y24">
        <v>3882.1784810883801</v>
      </c>
      <c r="Z24">
        <v>1254.83112687879</v>
      </c>
      <c r="AA24">
        <v>0.73955078763504001</v>
      </c>
      <c r="AB24">
        <v>2038.4554609668501</v>
      </c>
      <c r="AC24">
        <v>1099.5997469234101</v>
      </c>
      <c r="AD24">
        <v>1507.54134171698</v>
      </c>
      <c r="AE24">
        <v>-76.169023949539195</v>
      </c>
      <c r="AF24">
        <v>-151.340882709732</v>
      </c>
      <c r="AG24">
        <v>5.5594999999999999E-2</v>
      </c>
      <c r="AH24">
        <v>-5975.9376965463698</v>
      </c>
      <c r="AI24">
        <v>3635.79285649334</v>
      </c>
      <c r="AJ24">
        <v>0.06</v>
      </c>
      <c r="AK24">
        <v>0.05</v>
      </c>
      <c r="AL24">
        <v>8.8099999999999998E-2</v>
      </c>
      <c r="AM24">
        <v>3.8100000000000002E-2</v>
      </c>
      <c r="AN24">
        <v>0.89</v>
      </c>
      <c r="AO24">
        <v>0.66</v>
      </c>
      <c r="AP24">
        <v>0.42970000000000003</v>
      </c>
      <c r="AQ24">
        <v>0.57030000000000003</v>
      </c>
      <c r="AR24">
        <v>8.9999999999999993E-3</v>
      </c>
      <c r="AS24">
        <v>0.5</v>
      </c>
      <c r="AT24">
        <v>1.82</v>
      </c>
      <c r="AU24">
        <v>6.3545217126973294E-2</v>
      </c>
      <c r="AV24">
        <v>0.7893</v>
      </c>
      <c r="AW24">
        <v>3</v>
      </c>
      <c r="AX24">
        <v>0.05</v>
      </c>
      <c r="AY24">
        <v>1</v>
      </c>
      <c r="AZ24">
        <v>1</v>
      </c>
      <c r="BA24" s="2">
        <f>modelo_tese_H__2[[#This Row],[Vw]]+modelo_tese_H__2[[#This Row],[Vr]]+modelo_tese_H__2[[#This Row],[K]]-modelo_tese_H__2[[#This Row],[E]]</f>
        <v>287.20251415656026</v>
      </c>
      <c r="BB24" s="2">
        <f>modelo_tese_H__2[[#This Row],[K]]-modelo_tese_H__2[[#This Row],[Coluna1]]</f>
        <v>3594.97596693182</v>
      </c>
      <c r="BC24">
        <f>modelo_tese_H__2[[#This Row],[Coluna2]]/modelo_tese_H__2[[#This Row],[Coluna1]]</f>
        <v>12.517216214103618</v>
      </c>
      <c r="BD24" s="8">
        <f>modelo_tese_H__2[[#This Row],[D]]-modelo_tese_H__2[[#This Row],[Dw]]-modelo_tese_H__2[[#This Row],[Dr]]</f>
        <v>0</v>
      </c>
    </row>
    <row r="25" spans="1:56" x14ac:dyDescent="0.25">
      <c r="A25">
        <v>24</v>
      </c>
      <c r="B25">
        <v>24</v>
      </c>
      <c r="C25">
        <v>903.43945461991802</v>
      </c>
      <c r="D25">
        <v>433.27594573151299</v>
      </c>
      <c r="E25">
        <v>385.61559170104601</v>
      </c>
      <c r="F25">
        <v>45.104962686883702</v>
      </c>
      <c r="G25">
        <v>1287.71484543872</v>
      </c>
      <c r="H25">
        <v>295.69749851301299</v>
      </c>
      <c r="I25">
        <v>726.41805290094396</v>
      </c>
      <c r="J25">
        <v>574.62575774315599</v>
      </c>
      <c r="K25">
        <v>3150.9171019114101</v>
      </c>
      <c r="L25">
        <v>-293.14210716943097</v>
      </c>
      <c r="M25">
        <v>3725.5428596545598</v>
      </c>
      <c r="N25">
        <v>-2750.2728607335098</v>
      </c>
      <c r="O25">
        <v>650.36103304985795</v>
      </c>
      <c r="P25">
        <v>429.238281812906</v>
      </c>
      <c r="Q25">
        <v>680.70828274623705</v>
      </c>
      <c r="R25">
        <v>340.35414137311801</v>
      </c>
      <c r="S25">
        <v>340.35414137311801</v>
      </c>
      <c r="T25">
        <v>310.00689167674</v>
      </c>
      <c r="U25">
        <v>132.985489957765</v>
      </c>
      <c r="V25">
        <v>2513.9472195723101</v>
      </c>
      <c r="W25">
        <v>428.491402652305</v>
      </c>
      <c r="X25">
        <v>0.27048702121982998</v>
      </c>
      <c r="Y25">
        <v>4063.9760092342599</v>
      </c>
      <c r="Z25">
        <v>1342.9683881579799</v>
      </c>
      <c r="AA25">
        <v>0.742662630286412</v>
      </c>
      <c r="AB25">
        <v>2133.0650994991101</v>
      </c>
      <c r="AC25">
        <v>1155.6563347138499</v>
      </c>
      <c r="AD25">
        <v>1584.1477373661601</v>
      </c>
      <c r="AE25">
        <v>-236.325641161205</v>
      </c>
      <c r="AF25">
        <v>-160.156617211666</v>
      </c>
      <c r="AG25">
        <v>5.5594999999999999E-2</v>
      </c>
      <c r="AH25">
        <v>-6475.8157203880701</v>
      </c>
      <c r="AI25">
        <v>3856.91560773029</v>
      </c>
      <c r="AJ25">
        <v>0.06</v>
      </c>
      <c r="AK25">
        <v>0.05</v>
      </c>
      <c r="AL25">
        <v>8.8099999999999998E-2</v>
      </c>
      <c r="AM25">
        <v>3.8100000000000002E-2</v>
      </c>
      <c r="AN25">
        <v>0.89</v>
      </c>
      <c r="AO25">
        <v>0.66</v>
      </c>
      <c r="AP25">
        <v>0.42970000000000003</v>
      </c>
      <c r="AQ25">
        <v>0.57030000000000003</v>
      </c>
      <c r="AR25">
        <v>8.9999999999999993E-3</v>
      </c>
      <c r="AS25">
        <v>0.5</v>
      </c>
      <c r="AT25">
        <v>1.82</v>
      </c>
      <c r="AU25">
        <v>6.3545217126973294E-2</v>
      </c>
      <c r="AV25">
        <v>0.7893</v>
      </c>
      <c r="AW25">
        <v>3</v>
      </c>
      <c r="AX25">
        <v>0.05</v>
      </c>
      <c r="AY25">
        <v>1</v>
      </c>
      <c r="AZ25">
        <v>1</v>
      </c>
      <c r="BA25" s="2">
        <f>modelo_tese_H__2[[#This Row],[Vw]]+modelo_tese_H__2[[#This Row],[Vr]]+modelo_tese_H__2[[#This Row],[K]]-modelo_tese_H__2[[#This Row],[E]]</f>
        <v>102.10750841849995</v>
      </c>
      <c r="BB25" s="2">
        <f>modelo_tese_H__2[[#This Row],[K]]-modelo_tese_H__2[[#This Row],[Coluna1]]</f>
        <v>3961.8685008157599</v>
      </c>
      <c r="BC25">
        <f>modelo_tese_H__2[[#This Row],[Coluna2]]/modelo_tese_H__2[[#This Row],[Coluna1]]</f>
        <v>38.800951684939406</v>
      </c>
      <c r="BD25" s="8">
        <f>modelo_tese_H__2[[#This Row],[D]]-modelo_tese_H__2[[#This Row],[Dw]]-modelo_tese_H__2[[#This Row],[Dr]]</f>
        <v>-5.4569682106375694E-12</v>
      </c>
    </row>
    <row r="26" spans="1:56" x14ac:dyDescent="0.25">
      <c r="A26">
        <v>25</v>
      </c>
      <c r="B26">
        <v>25</v>
      </c>
      <c r="C26">
        <v>949.64616449133302</v>
      </c>
      <c r="D26">
        <v>451.97192834711302</v>
      </c>
      <c r="E26">
        <v>402.25501622893103</v>
      </c>
      <c r="F26">
        <v>47.7994664459262</v>
      </c>
      <c r="G26">
        <v>1358.2443451474501</v>
      </c>
      <c r="H26">
        <v>312.13680094284501</v>
      </c>
      <c r="I26">
        <v>762.19128361770095</v>
      </c>
      <c r="J26">
        <v>600.53198281906805</v>
      </c>
      <c r="K26">
        <v>3343.0039612714299</v>
      </c>
      <c r="L26">
        <v>-310.21935527058798</v>
      </c>
      <c r="M26">
        <v>3943.5359440904899</v>
      </c>
      <c r="N26">
        <v>-3060.4922160041001</v>
      </c>
      <c r="O26">
        <v>685.98199249871402</v>
      </c>
      <c r="P26">
        <v>452.74811504915198</v>
      </c>
      <c r="Q26">
        <v>715.52333312629503</v>
      </c>
      <c r="R26">
        <v>357.761666563147</v>
      </c>
      <c r="S26">
        <v>357.761666563147</v>
      </c>
      <c r="T26">
        <v>328.22032593556702</v>
      </c>
      <c r="U26">
        <v>140.765445061935</v>
      </c>
      <c r="V26">
        <v>2654.7126646342399</v>
      </c>
      <c r="W26">
        <v>450.23009895077502</v>
      </c>
      <c r="X26">
        <v>0.27038094295801302</v>
      </c>
      <c r="Y26">
        <v>4255.9598702794301</v>
      </c>
      <c r="Z26">
        <v>1435.4368205456101</v>
      </c>
      <c r="AA26">
        <v>0.74572499413822002</v>
      </c>
      <c r="AB26">
        <v>2232.9538512276099</v>
      </c>
      <c r="AC26">
        <v>1214.9393986668499</v>
      </c>
      <c r="AD26">
        <v>1665.16949761763</v>
      </c>
      <c r="AE26">
        <v>-405.77955136985901</v>
      </c>
      <c r="AF26">
        <v>-169.45391020865301</v>
      </c>
      <c r="AG26">
        <v>5.5594999999999999E-2</v>
      </c>
      <c r="AH26">
        <v>-7004.02816009459</v>
      </c>
      <c r="AI26">
        <v>4090.1494851798502</v>
      </c>
      <c r="AJ26">
        <v>0.06</v>
      </c>
      <c r="AK26">
        <v>0.05</v>
      </c>
      <c r="AL26">
        <v>8.8099999999999998E-2</v>
      </c>
      <c r="AM26">
        <v>3.8100000000000002E-2</v>
      </c>
      <c r="AN26">
        <v>0.89</v>
      </c>
      <c r="AO26">
        <v>0.66</v>
      </c>
      <c r="AP26">
        <v>0.42970000000000003</v>
      </c>
      <c r="AQ26">
        <v>0.57030000000000003</v>
      </c>
      <c r="AR26">
        <v>8.9999999999999993E-3</v>
      </c>
      <c r="AS26">
        <v>0.5</v>
      </c>
      <c r="AT26">
        <v>1.82</v>
      </c>
      <c r="AU26">
        <v>6.3545217126973294E-2</v>
      </c>
      <c r="AV26">
        <v>0.7893</v>
      </c>
      <c r="AW26">
        <v>3</v>
      </c>
      <c r="AX26">
        <v>0.05</v>
      </c>
      <c r="AY26">
        <v>1</v>
      </c>
      <c r="AZ26">
        <v>1</v>
      </c>
      <c r="BA26" s="2">
        <f>modelo_tese_H__2[[#This Row],[Vw]]+modelo_tese_H__2[[#This Row],[Vr]]+modelo_tese_H__2[[#This Row],[K]]-modelo_tese_H__2[[#This Row],[E]]</f>
        <v>-93.355625180919787</v>
      </c>
      <c r="BB26" s="2">
        <f>modelo_tese_H__2[[#This Row],[K]]-modelo_tese_H__2[[#This Row],[Coluna1]]</f>
        <v>4349.3154954603497</v>
      </c>
      <c r="BC26">
        <f>modelo_tese_H__2[[#This Row],[Coluna2]]/modelo_tese_H__2[[#This Row],[Coluna1]]</f>
        <v>-46.58868158219213</v>
      </c>
      <c r="BD26" s="8">
        <f>modelo_tese_H__2[[#This Row],[D]]-modelo_tese_H__2[[#This Row],[Dw]]-modelo_tese_H__2[[#This Row],[Dr]]</f>
        <v>0</v>
      </c>
    </row>
    <row r="27" spans="1:56" x14ac:dyDescent="0.25">
      <c r="A27">
        <v>26</v>
      </c>
      <c r="B27">
        <v>26</v>
      </c>
      <c r="C27">
        <v>998.51236417828898</v>
      </c>
      <c r="D27">
        <v>471.82713510701399</v>
      </c>
      <c r="E27">
        <v>419.92615024524298</v>
      </c>
      <c r="F27">
        <v>50.639758079017703</v>
      </c>
      <c r="G27">
        <v>1432.7213118256</v>
      </c>
      <c r="H27">
        <v>329.49004639126201</v>
      </c>
      <c r="I27">
        <v>800.05595471552294</v>
      </c>
      <c r="J27">
        <v>628.29147235267999</v>
      </c>
      <c r="K27">
        <v>3545.12555673825</v>
      </c>
      <c r="L27">
        <v>-328.22881960850799</v>
      </c>
      <c r="M27">
        <v>4173.4170290909296</v>
      </c>
      <c r="N27">
        <v>-3388.7210356126102</v>
      </c>
      <c r="O27">
        <v>723.59662213414003</v>
      </c>
      <c r="P27">
        <v>477.57377060853202</v>
      </c>
      <c r="Q27">
        <v>752.34221091953498</v>
      </c>
      <c r="R27">
        <v>376.171105459768</v>
      </c>
      <c r="S27">
        <v>376.171105459768</v>
      </c>
      <c r="T27">
        <v>347.42551667437198</v>
      </c>
      <c r="U27">
        <v>148.969107211606</v>
      </c>
      <c r="V27">
        <v>2803.6817718458501</v>
      </c>
      <c r="W27">
        <v>473.22484977376899</v>
      </c>
      <c r="X27">
        <v>0.270282213328499</v>
      </c>
      <c r="Y27">
        <v>4458.7388260126099</v>
      </c>
      <c r="Z27">
        <v>1532.49056485961</v>
      </c>
      <c r="AA27">
        <v>0.74872776619221804</v>
      </c>
      <c r="AB27">
        <v>2338.4394891645202</v>
      </c>
      <c r="AC27">
        <v>1277.62972532406</v>
      </c>
      <c r="AD27">
        <v>1750.8545750978201</v>
      </c>
      <c r="AE27">
        <v>-585.039263766761</v>
      </c>
      <c r="AF27">
        <v>-179.25971239690199</v>
      </c>
      <c r="AG27">
        <v>5.5594999999999999E-2</v>
      </c>
      <c r="AH27">
        <v>-7562.1380647035303</v>
      </c>
      <c r="AI27">
        <v>4336.1723367054601</v>
      </c>
      <c r="AJ27">
        <v>0.06</v>
      </c>
      <c r="AK27">
        <v>0.05</v>
      </c>
      <c r="AL27">
        <v>8.8099999999999998E-2</v>
      </c>
      <c r="AM27">
        <v>3.8100000000000002E-2</v>
      </c>
      <c r="AN27">
        <v>0.89</v>
      </c>
      <c r="AO27">
        <v>0.66</v>
      </c>
      <c r="AP27">
        <v>0.42970000000000003</v>
      </c>
      <c r="AQ27">
        <v>0.57030000000000003</v>
      </c>
      <c r="AR27">
        <v>8.9999999999999993E-3</v>
      </c>
      <c r="AS27">
        <v>0.5</v>
      </c>
      <c r="AT27">
        <v>1.82</v>
      </c>
      <c r="AU27">
        <v>6.3545217126973294E-2</v>
      </c>
      <c r="AV27">
        <v>0.7893</v>
      </c>
      <c r="AW27">
        <v>3</v>
      </c>
      <c r="AX27">
        <v>0.05</v>
      </c>
      <c r="AY27">
        <v>1</v>
      </c>
      <c r="AZ27">
        <v>1</v>
      </c>
      <c r="BA27" s="2">
        <f>modelo_tese_H__2[[#This Row],[Vw]]+modelo_tese_H__2[[#This Row],[Vr]]+modelo_tese_H__2[[#This Row],[K]]-modelo_tese_H__2[[#This Row],[E]]</f>
        <v>-299.71746684507025</v>
      </c>
      <c r="BB27" s="2">
        <f>modelo_tese_H__2[[#This Row],[K]]-modelo_tese_H__2[[#This Row],[Coluna1]]</f>
        <v>4758.4562928576797</v>
      </c>
      <c r="BC27">
        <f>modelo_tese_H__2[[#This Row],[Coluna2]]/modelo_tese_H__2[[#This Row],[Coluna1]]</f>
        <v>-15.876473076283599</v>
      </c>
      <c r="BD27" s="8">
        <f>modelo_tese_H__2[[#This Row],[D]]-modelo_tese_H__2[[#This Row],[Dw]]-modelo_tese_H__2[[#This Row],[Dr]]</f>
        <v>0</v>
      </c>
    </row>
    <row r="28" spans="1:56" x14ac:dyDescent="0.25">
      <c r="A28">
        <v>27</v>
      </c>
      <c r="B28">
        <v>27</v>
      </c>
      <c r="C28">
        <v>1050.18739687842</v>
      </c>
      <c r="D28">
        <v>492.906888541623</v>
      </c>
      <c r="E28">
        <v>438.68713080204498</v>
      </c>
      <c r="F28">
        <v>53.634002761222298</v>
      </c>
      <c r="G28">
        <v>1511.3671860264899</v>
      </c>
      <c r="H28">
        <v>347.80804552038398</v>
      </c>
      <c r="I28">
        <v>840.12917908365102</v>
      </c>
      <c r="J28">
        <v>657.98757001726506</v>
      </c>
      <c r="K28">
        <v>3757.8643185469</v>
      </c>
      <c r="L28">
        <v>-347.22229054202802</v>
      </c>
      <c r="M28">
        <v>4415.8518885641697</v>
      </c>
      <c r="N28">
        <v>-3735.9433261546401</v>
      </c>
      <c r="O28">
        <v>763.31676061943995</v>
      </c>
      <c r="P28">
        <v>503.78906200883102</v>
      </c>
      <c r="Q28">
        <v>791.27744071305904</v>
      </c>
      <c r="R28">
        <v>395.63872035652997</v>
      </c>
      <c r="S28">
        <v>395.63872035652997</v>
      </c>
      <c r="T28">
        <v>367.678040262911</v>
      </c>
      <c r="U28">
        <v>157.61982246814</v>
      </c>
      <c r="V28">
        <v>2961.3015943139899</v>
      </c>
      <c r="W28">
        <v>497.54659649899901</v>
      </c>
      <c r="X28">
        <v>0.27019065818805299</v>
      </c>
      <c r="Y28">
        <v>4672.9538957001696</v>
      </c>
      <c r="Z28">
        <v>1634.3984410020801</v>
      </c>
      <c r="AA28">
        <v>0.75166232766624397</v>
      </c>
      <c r="AB28">
        <v>2449.8564978091299</v>
      </c>
      <c r="AC28">
        <v>1343.91824109248</v>
      </c>
      <c r="AD28">
        <v>1841.4648375914801</v>
      </c>
      <c r="AE28">
        <v>-774.64173184064805</v>
      </c>
      <c r="AF28">
        <v>-189.60246807388799</v>
      </c>
      <c r="AG28">
        <v>5.5594999999999999E-2</v>
      </c>
      <c r="AH28">
        <v>-8151.7952147187998</v>
      </c>
      <c r="AI28">
        <v>4595.7000353160702</v>
      </c>
      <c r="AJ28">
        <v>0.06</v>
      </c>
      <c r="AK28">
        <v>0.05</v>
      </c>
      <c r="AL28">
        <v>8.8099999999999998E-2</v>
      </c>
      <c r="AM28">
        <v>3.8100000000000002E-2</v>
      </c>
      <c r="AN28">
        <v>0.89</v>
      </c>
      <c r="AO28">
        <v>0.66</v>
      </c>
      <c r="AP28">
        <v>0.42970000000000003</v>
      </c>
      <c r="AQ28">
        <v>0.57030000000000003</v>
      </c>
      <c r="AR28">
        <v>8.9999999999999993E-3</v>
      </c>
      <c r="AS28">
        <v>0.5</v>
      </c>
      <c r="AT28">
        <v>1.82</v>
      </c>
      <c r="AU28">
        <v>6.3545217126973294E-2</v>
      </c>
      <c r="AV28">
        <v>0.7893</v>
      </c>
      <c r="AW28">
        <v>3</v>
      </c>
      <c r="AX28">
        <v>0.05</v>
      </c>
      <c r="AY28">
        <v>1</v>
      </c>
      <c r="AZ28">
        <v>1</v>
      </c>
      <c r="BA28" s="2">
        <f>modelo_tese_H__2[[#This Row],[Vw]]+modelo_tese_H__2[[#This Row],[Vr]]+modelo_tese_H__2[[#This Row],[K]]-modelo_tese_H__2[[#This Row],[E]]</f>
        <v>-517.53972470464009</v>
      </c>
      <c r="BB28" s="2">
        <f>modelo_tese_H__2[[#This Row],[K]]-modelo_tese_H__2[[#This Row],[Coluna1]]</f>
        <v>5190.4936204048099</v>
      </c>
      <c r="BC28">
        <f>modelo_tese_H__2[[#This Row],[Coluna2]]/modelo_tese_H__2[[#This Row],[Coluna1]]</f>
        <v>-10.029169496828528</v>
      </c>
      <c r="BD28" s="8">
        <f>modelo_tese_H__2[[#This Row],[D]]-modelo_tese_H__2[[#This Row],[Dw]]-modelo_tese_H__2[[#This Row],[Dr]]</f>
        <v>0</v>
      </c>
    </row>
    <row r="29" spans="1:56" x14ac:dyDescent="0.25">
      <c r="A29">
        <v>28</v>
      </c>
      <c r="B29">
        <v>28</v>
      </c>
      <c r="C29">
        <v>1104.82898657443</v>
      </c>
      <c r="D29">
        <v>515.28023692791305</v>
      </c>
      <c r="E29">
        <v>458.599410865842</v>
      </c>
      <c r="F29">
        <v>56.790817198031498</v>
      </c>
      <c r="G29">
        <v>1594.41575482647</v>
      </c>
      <c r="H29">
        <v>367.14443381108998</v>
      </c>
      <c r="I29">
        <v>882.53466187496394</v>
      </c>
      <c r="J29">
        <v>689.70906079763904</v>
      </c>
      <c r="K29">
        <v>3981.83412182136</v>
      </c>
      <c r="L29">
        <v>-367.25442494705101</v>
      </c>
      <c r="M29">
        <v>4671.5431826189897</v>
      </c>
      <c r="N29">
        <v>-4103.1977511016903</v>
      </c>
      <c r="O29">
        <v>805.26048223559098</v>
      </c>
      <c r="P29">
        <v>531.47191827549</v>
      </c>
      <c r="Q29">
        <v>832.44786170617704</v>
      </c>
      <c r="R29">
        <v>416.22393085308801</v>
      </c>
      <c r="S29">
        <v>416.22393085308801</v>
      </c>
      <c r="T29">
        <v>389.03655138250298</v>
      </c>
      <c r="U29">
        <v>166.74222668303699</v>
      </c>
      <c r="V29">
        <v>3128.0438209970298</v>
      </c>
      <c r="W29">
        <v>523.27026813015198</v>
      </c>
      <c r="X29">
        <v>0.27010608658982899</v>
      </c>
      <c r="Y29">
        <v>4899.2802939037201</v>
      </c>
      <c r="Z29">
        <v>1741.4447782791401</v>
      </c>
      <c r="AA29">
        <v>0.75452143174684805</v>
      </c>
      <c r="AB29">
        <v>2567.5570855495498</v>
      </c>
      <c r="AC29">
        <v>1414.00658015045</v>
      </c>
      <c r="AD29">
        <v>1937.27684828061</v>
      </c>
      <c r="AE29">
        <v>-975.15393010466198</v>
      </c>
      <c r="AF29">
        <v>-200.51219826401399</v>
      </c>
      <c r="AG29">
        <v>5.5594999999999999E-2</v>
      </c>
      <c r="AH29">
        <v>-8774.7409337206791</v>
      </c>
      <c r="AI29">
        <v>4869.4885992761701</v>
      </c>
      <c r="AJ29">
        <v>0.06</v>
      </c>
      <c r="AK29">
        <v>0.05</v>
      </c>
      <c r="AL29">
        <v>8.8099999999999998E-2</v>
      </c>
      <c r="AM29">
        <v>3.8100000000000002E-2</v>
      </c>
      <c r="AN29">
        <v>0.89</v>
      </c>
      <c r="AO29">
        <v>0.66</v>
      </c>
      <c r="AP29">
        <v>0.42970000000000003</v>
      </c>
      <c r="AQ29">
        <v>0.57030000000000003</v>
      </c>
      <c r="AR29">
        <v>8.9999999999999993E-3</v>
      </c>
      <c r="AS29">
        <v>0.5</v>
      </c>
      <c r="AT29">
        <v>1.82</v>
      </c>
      <c r="AU29">
        <v>6.3545217126973294E-2</v>
      </c>
      <c r="AV29">
        <v>0.7893</v>
      </c>
      <c r="AW29">
        <v>3</v>
      </c>
      <c r="AX29">
        <v>0.05</v>
      </c>
      <c r="AY29">
        <v>1</v>
      </c>
      <c r="AZ29">
        <v>1</v>
      </c>
      <c r="BA29" s="2">
        <f>modelo_tese_H__2[[#This Row],[Vw]]+modelo_tese_H__2[[#This Row],[Vr]]+modelo_tese_H__2[[#This Row],[K]]-modelo_tese_H__2[[#This Row],[E]]</f>
        <v>-747.41681881992895</v>
      </c>
      <c r="BB29" s="2">
        <f>modelo_tese_H__2[[#This Row],[K]]-modelo_tese_H__2[[#This Row],[Coluna1]]</f>
        <v>5646.6971127236493</v>
      </c>
      <c r="BC29">
        <f>modelo_tese_H__2[[#This Row],[Coluna2]]/modelo_tese_H__2[[#This Row],[Coluna1]]</f>
        <v>-7.5549505584300709</v>
      </c>
      <c r="BD29" s="8">
        <f>modelo_tese_H__2[[#This Row],[D]]-modelo_tese_H__2[[#This Row],[Dw]]-modelo_tese_H__2[[#This Row],[Dr]]</f>
        <v>0</v>
      </c>
    </row>
    <row r="30" spans="1:56" x14ac:dyDescent="0.25">
      <c r="A30">
        <v>29</v>
      </c>
      <c r="B30">
        <v>29</v>
      </c>
      <c r="C30">
        <v>1162.6037076299399</v>
      </c>
      <c r="D30">
        <v>539.02016477861605</v>
      </c>
      <c r="E30">
        <v>479.727946652968</v>
      </c>
      <c r="F30">
        <v>60.119294737746998</v>
      </c>
      <c r="G30">
        <v>1682.1138414079101</v>
      </c>
      <c r="H30">
        <v>387.55582860881702</v>
      </c>
      <c r="I30">
        <v>927.40306999953202</v>
      </c>
      <c r="J30">
        <v>723.55044031899502</v>
      </c>
      <c r="K30">
        <v>4217.6820703887797</v>
      </c>
      <c r="L30">
        <v>-388.382905220917</v>
      </c>
      <c r="M30">
        <v>4941.2325107077704</v>
      </c>
      <c r="N30">
        <v>-4491.5806563225997</v>
      </c>
      <c r="O30">
        <v>849.55244515550896</v>
      </c>
      <c r="P30">
        <v>560.704613802636</v>
      </c>
      <c r="Q30">
        <v>875.97898153355004</v>
      </c>
      <c r="R30">
        <v>437.98949076677502</v>
      </c>
      <c r="S30">
        <v>437.98949076677502</v>
      </c>
      <c r="T30">
        <v>411.56295438873298</v>
      </c>
      <c r="U30">
        <v>176.362316758329</v>
      </c>
      <c r="V30">
        <v>3304.4061377553498</v>
      </c>
      <c r="W30">
        <v>550.47500536131895</v>
      </c>
      <c r="X30">
        <v>0.27002829381780002</v>
      </c>
      <c r="Y30">
        <v>5138.4294692230296</v>
      </c>
      <c r="Z30">
        <v>1853.93029287369</v>
      </c>
      <c r="AA30">
        <v>0.75729908715250505</v>
      </c>
      <c r="AB30">
        <v>2691.9122493976502</v>
      </c>
      <c r="AC30">
        <v>1488.10768380217</v>
      </c>
      <c r="AD30">
        <v>2038.5826891634899</v>
      </c>
      <c r="AE30">
        <v>-1187.1745185672501</v>
      </c>
      <c r="AF30">
        <v>-212.02058846258799</v>
      </c>
      <c r="AG30">
        <v>5.5594999999999999E-2</v>
      </c>
      <c r="AH30">
        <v>-9432.8131670303792</v>
      </c>
      <c r="AI30">
        <v>5158.3364306290396</v>
      </c>
      <c r="AJ30">
        <v>0.06</v>
      </c>
      <c r="AK30">
        <v>0.05</v>
      </c>
      <c r="AL30">
        <v>8.8099999999999998E-2</v>
      </c>
      <c r="AM30">
        <v>3.8100000000000002E-2</v>
      </c>
      <c r="AN30">
        <v>0.89</v>
      </c>
      <c r="AO30">
        <v>0.66</v>
      </c>
      <c r="AP30">
        <v>0.42970000000000003</v>
      </c>
      <c r="AQ30">
        <v>0.57030000000000003</v>
      </c>
      <c r="AR30">
        <v>8.9999999999999993E-3</v>
      </c>
      <c r="AS30">
        <v>0.5</v>
      </c>
      <c r="AT30">
        <v>1.82</v>
      </c>
      <c r="AU30">
        <v>6.3545217126973294E-2</v>
      </c>
      <c r="AV30">
        <v>0.7893</v>
      </c>
      <c r="AW30">
        <v>3</v>
      </c>
      <c r="AX30">
        <v>0.05</v>
      </c>
      <c r="AY30">
        <v>1</v>
      </c>
      <c r="AZ30">
        <v>1</v>
      </c>
      <c r="BA30" s="2">
        <f>modelo_tese_H__2[[#This Row],[Vw]]+modelo_tese_H__2[[#This Row],[Vr]]+modelo_tese_H__2[[#This Row],[K]]-modelo_tese_H__2[[#This Row],[E]]</f>
        <v>-989.97756005199994</v>
      </c>
      <c r="BB30" s="2">
        <f>modelo_tese_H__2[[#This Row],[K]]-modelo_tese_H__2[[#This Row],[Coluna1]]</f>
        <v>6128.4070292750293</v>
      </c>
      <c r="BC30">
        <f>modelo_tese_H__2[[#This Row],[Coluna2]]/modelo_tese_H__2[[#This Row],[Coluna1]]</f>
        <v>-6.190450447132485</v>
      </c>
      <c r="BD30" s="8">
        <f>modelo_tese_H__2[[#This Row],[D]]-modelo_tese_H__2[[#This Row],[Dw]]-modelo_tese_H__2[[#This Row],[Dr]]</f>
        <v>0</v>
      </c>
    </row>
    <row r="31" spans="1:56" x14ac:dyDescent="0.25">
      <c r="A31">
        <v>30</v>
      </c>
      <c r="B31">
        <v>30</v>
      </c>
      <c r="C31">
        <v>1223.68748045659</v>
      </c>
      <c r="D31">
        <v>564.20381500835003</v>
      </c>
      <c r="E31">
        <v>502.14139535743197</v>
      </c>
      <c r="F31">
        <v>63.629031879007698</v>
      </c>
      <c r="G31">
        <v>1774.72203293759</v>
      </c>
      <c r="H31">
        <v>409.101994900325</v>
      </c>
      <c r="I31">
        <v>974.87242213676404</v>
      </c>
      <c r="J31">
        <v>759.61220042184902</v>
      </c>
      <c r="K31">
        <v>4466.0903784072898</v>
      </c>
      <c r="L31">
        <v>-410.66860712841401</v>
      </c>
      <c r="M31">
        <v>5225.7025788291403</v>
      </c>
      <c r="N31">
        <v>-4902.2492634510199</v>
      </c>
      <c r="O31">
        <v>896.32425905938703</v>
      </c>
      <c r="P31">
        <v>591.57401097919501</v>
      </c>
      <c r="Q31">
        <v>922.00334973206395</v>
      </c>
      <c r="R31">
        <v>461.00167486603198</v>
      </c>
      <c r="S31">
        <v>461.00167486603198</v>
      </c>
      <c r="T31">
        <v>435.322584193355</v>
      </c>
      <c r="U31">
        <v>186.50752587353099</v>
      </c>
      <c r="V31">
        <v>3490.9136636288899</v>
      </c>
      <c r="W31">
        <v>579.24439707269198</v>
      </c>
      <c r="X31">
        <v>0.26995706414132598</v>
      </c>
      <c r="Y31">
        <v>5391.1512499823002</v>
      </c>
      <c r="Z31">
        <v>1972.1730150803501</v>
      </c>
      <c r="AA31">
        <v>0.759990447340681</v>
      </c>
      <c r="AB31">
        <v>2823.3128951774902</v>
      </c>
      <c r="AC31">
        <v>1566.44643311596</v>
      </c>
      <c r="AD31">
        <v>2145.6908301886501</v>
      </c>
      <c r="AE31">
        <v>-1411.33559982213</v>
      </c>
      <c r="AF31">
        <v>-224.16108125488299</v>
      </c>
      <c r="AG31">
        <v>5.5594999999999999E-2</v>
      </c>
      <c r="AH31">
        <v>-10127.951842280199</v>
      </c>
      <c r="AI31">
        <v>5463.08667870923</v>
      </c>
      <c r="AJ31">
        <v>0.06</v>
      </c>
      <c r="AK31">
        <v>0.05</v>
      </c>
      <c r="AL31">
        <v>8.8099999999999998E-2</v>
      </c>
      <c r="AM31">
        <v>3.8100000000000002E-2</v>
      </c>
      <c r="AN31">
        <v>0.89</v>
      </c>
      <c r="AO31">
        <v>0.66</v>
      </c>
      <c r="AP31">
        <v>0.42970000000000003</v>
      </c>
      <c r="AQ31">
        <v>0.57030000000000003</v>
      </c>
      <c r="AR31">
        <v>8.9999999999999993E-3</v>
      </c>
      <c r="AS31">
        <v>0.5</v>
      </c>
      <c r="AT31">
        <v>1.82</v>
      </c>
      <c r="AU31">
        <v>6.3545217126973294E-2</v>
      </c>
      <c r="AV31">
        <v>0.7893</v>
      </c>
      <c r="AW31">
        <v>3</v>
      </c>
      <c r="AX31">
        <v>0.05</v>
      </c>
      <c r="AY31">
        <v>1</v>
      </c>
      <c r="AZ31">
        <v>1</v>
      </c>
      <c r="BA31" s="2">
        <f>modelo_tese_H__2[[#This Row],[Vw]]+modelo_tese_H__2[[#This Row],[Vr]]+modelo_tese_H__2[[#This Row],[K]]-modelo_tese_H__2[[#This Row],[E]]</f>
        <v>-1245.8869286690192</v>
      </c>
      <c r="BB31" s="2">
        <f>modelo_tese_H__2[[#This Row],[K]]-modelo_tese_H__2[[#This Row],[Coluna1]]</f>
        <v>6637.038178651319</v>
      </c>
      <c r="BC31">
        <f>modelo_tese_H__2[[#This Row],[Coluna2]]/modelo_tese_H__2[[#This Row],[Coluna1]]</f>
        <v>-5.3271593319802024</v>
      </c>
      <c r="BD31" s="8">
        <f>modelo_tese_H__2[[#This Row],[D]]-modelo_tese_H__2[[#This Row],[Dw]]-modelo_tese_H__2[[#This Row],[Dr]]</f>
        <v>0</v>
      </c>
    </row>
    <row r="32" spans="1:56" x14ac:dyDescent="0.25">
      <c r="A32">
        <v>31</v>
      </c>
      <c r="B32">
        <v>31</v>
      </c>
      <c r="C32">
        <v>1288.26609476717</v>
      </c>
      <c r="D32">
        <v>590.91272349096403</v>
      </c>
      <c r="E32">
        <v>525.91232390695802</v>
      </c>
      <c r="F32">
        <v>67.330156250581894</v>
      </c>
      <c r="G32">
        <v>1872.5154489186</v>
      </c>
      <c r="H32">
        <v>431.84602030680799</v>
      </c>
      <c r="I32">
        <v>1025.0885004643501</v>
      </c>
      <c r="J32">
        <v>798.00113183635904</v>
      </c>
      <c r="K32">
        <v>4727.7783552967803</v>
      </c>
      <c r="L32">
        <v>-434.17577697338402</v>
      </c>
      <c r="M32">
        <v>5525.7794871331398</v>
      </c>
      <c r="N32">
        <v>-5336.4250404244003</v>
      </c>
      <c r="O32">
        <v>945.71487319121002</v>
      </c>
      <c r="P32">
        <v>624.17181630619905</v>
      </c>
      <c r="Q32">
        <v>970.66095199272502</v>
      </c>
      <c r="R32">
        <v>485.33047599636302</v>
      </c>
      <c r="S32">
        <v>485.33047599636302</v>
      </c>
      <c r="T32">
        <v>460.384397194847</v>
      </c>
      <c r="U32">
        <v>197.206802892029</v>
      </c>
      <c r="V32">
        <v>3688.1204665209102</v>
      </c>
      <c r="W32">
        <v>609.66672998934496</v>
      </c>
      <c r="X32">
        <v>0.26989217330582799</v>
      </c>
      <c r="Y32">
        <v>5658.2361032271701</v>
      </c>
      <c r="Z32">
        <v>2096.50926907333</v>
      </c>
      <c r="AA32">
        <v>0.76259170527194897</v>
      </c>
      <c r="AB32">
        <v>2962.1710164737901</v>
      </c>
      <c r="AC32">
        <v>1649.2603167705499</v>
      </c>
      <c r="AD32">
        <v>2258.9270467598899</v>
      </c>
      <c r="AE32">
        <v>-1648.3045739034901</v>
      </c>
      <c r="AF32">
        <v>-236.96897408135499</v>
      </c>
      <c r="AG32">
        <v>5.5594999999999999E-2</v>
      </c>
      <c r="AH32">
        <v>-10862.2045275575</v>
      </c>
      <c r="AI32">
        <v>5784.6297355942397</v>
      </c>
      <c r="AJ32">
        <v>0.06</v>
      </c>
      <c r="AK32">
        <v>0.05</v>
      </c>
      <c r="AL32">
        <v>8.8099999999999998E-2</v>
      </c>
      <c r="AM32">
        <v>3.8100000000000002E-2</v>
      </c>
      <c r="AN32">
        <v>0.89</v>
      </c>
      <c r="AO32">
        <v>0.66</v>
      </c>
      <c r="AP32">
        <v>0.42970000000000003</v>
      </c>
      <c r="AQ32">
        <v>0.57030000000000003</v>
      </c>
      <c r="AR32">
        <v>8.9999999999999993E-3</v>
      </c>
      <c r="AS32">
        <v>0.5</v>
      </c>
      <c r="AT32">
        <v>1.82</v>
      </c>
      <c r="AU32">
        <v>6.3545217126973294E-2</v>
      </c>
      <c r="AV32">
        <v>0.7893</v>
      </c>
      <c r="AW32">
        <v>3</v>
      </c>
      <c r="AX32">
        <v>0.05</v>
      </c>
      <c r="AY32">
        <v>1</v>
      </c>
      <c r="AZ32">
        <v>1</v>
      </c>
      <c r="BA32" s="2">
        <f>modelo_tese_H__2[[#This Row],[Vw]]+modelo_tese_H__2[[#This Row],[Vr]]+modelo_tese_H__2[[#This Row],[K]]-modelo_tese_H__2[[#This Row],[E]]</f>
        <v>-1515.8479578094202</v>
      </c>
      <c r="BB32" s="2">
        <f>modelo_tese_H__2[[#This Row],[K]]-modelo_tese_H__2[[#This Row],[Coluna1]]</f>
        <v>7174.0840610365904</v>
      </c>
      <c r="BC32">
        <f>modelo_tese_H__2[[#This Row],[Coluna2]]/modelo_tese_H__2[[#This Row],[Coluna1]]</f>
        <v>-4.7327200753062275</v>
      </c>
      <c r="BD32" s="8">
        <f>modelo_tese_H__2[[#This Row],[D]]-modelo_tese_H__2[[#This Row],[Dw]]-modelo_tese_H__2[[#This Row],[Dr]]</f>
        <v>0</v>
      </c>
    </row>
    <row r="33" spans="1:56" x14ac:dyDescent="0.25">
      <c r="A33">
        <v>32</v>
      </c>
      <c r="B33">
        <v>32</v>
      </c>
      <c r="C33">
        <v>1356.5357620039599</v>
      </c>
      <c r="D33">
        <v>619.23306675240599</v>
      </c>
      <c r="E33">
        <v>551.11742940964098</v>
      </c>
      <c r="F33">
        <v>71.233356144899801</v>
      </c>
      <c r="G33">
        <v>1975.7845523076401</v>
      </c>
      <c r="H33">
        <v>455.85449980576499</v>
      </c>
      <c r="I33">
        <v>1078.20528536031</v>
      </c>
      <c r="J33">
        <v>838.830644858293</v>
      </c>
      <c r="K33">
        <v>5003.5044997657396</v>
      </c>
      <c r="L33">
        <v>-458.9722186079</v>
      </c>
      <c r="M33">
        <v>5842.3351446240304</v>
      </c>
      <c r="N33">
        <v>-5795.3972590323001</v>
      </c>
      <c r="O33">
        <v>997.87098601395803</v>
      </c>
      <c r="P33">
        <v>658.59485076921203</v>
      </c>
      <c r="Q33">
        <v>1022.09962639506</v>
      </c>
      <c r="R33">
        <v>511.04981319752801</v>
      </c>
      <c r="S33">
        <v>511.04981319752801</v>
      </c>
      <c r="T33">
        <v>486.82117281643002</v>
      </c>
      <c r="U33">
        <v>208.49069617277701</v>
      </c>
      <c r="V33">
        <v>3896.6111626936899</v>
      </c>
      <c r="W33">
        <v>641.835252269497</v>
      </c>
      <c r="X33">
        <v>0.26983339077516</v>
      </c>
      <c r="Y33">
        <v>5940.5175137614197</v>
      </c>
      <c r="Z33">
        <v>2227.2947081452999</v>
      </c>
      <c r="AA33">
        <v>0.76509999369186799</v>
      </c>
      <c r="AB33">
        <v>3108.9209358390999</v>
      </c>
      <c r="AC33">
        <v>1736.8001361295201</v>
      </c>
      <c r="AD33">
        <v>2378.63538839902</v>
      </c>
      <c r="AE33">
        <v>-1898.7860963386099</v>
      </c>
      <c r="AF33">
        <v>-250.481522435123</v>
      </c>
      <c r="AG33">
        <v>5.5594999999999999E-2</v>
      </c>
      <c r="AH33">
        <v>-11637.7324036563</v>
      </c>
      <c r="AI33">
        <v>6123.9058708389903</v>
      </c>
      <c r="AJ33">
        <v>0.06</v>
      </c>
      <c r="AK33">
        <v>0.05</v>
      </c>
      <c r="AL33">
        <v>8.8099999999999998E-2</v>
      </c>
      <c r="AM33">
        <v>3.8100000000000002E-2</v>
      </c>
      <c r="AN33">
        <v>0.89</v>
      </c>
      <c r="AO33">
        <v>0.66</v>
      </c>
      <c r="AP33">
        <v>0.42970000000000003</v>
      </c>
      <c r="AQ33">
        <v>0.57030000000000003</v>
      </c>
      <c r="AR33">
        <v>8.9999999999999993E-3</v>
      </c>
      <c r="AS33">
        <v>0.5</v>
      </c>
      <c r="AT33">
        <v>1.82</v>
      </c>
      <c r="AU33">
        <v>6.3545217126973294E-2</v>
      </c>
      <c r="AV33">
        <v>0.7893</v>
      </c>
      <c r="AW33">
        <v>3</v>
      </c>
      <c r="AX33">
        <v>0.05</v>
      </c>
      <c r="AY33">
        <v>1</v>
      </c>
      <c r="AZ33">
        <v>1</v>
      </c>
      <c r="BA33" s="2">
        <f>modelo_tese_H__2[[#This Row],[Vw]]+modelo_tese_H__2[[#This Row],[Vr]]+modelo_tese_H__2[[#This Row],[K]]-modelo_tese_H__2[[#This Row],[E]]</f>
        <v>-1800.6037272011904</v>
      </c>
      <c r="BB33" s="2">
        <f>modelo_tese_H__2[[#This Row],[K]]-modelo_tese_H__2[[#This Row],[Coluna1]]</f>
        <v>7741.1212409626096</v>
      </c>
      <c r="BC33">
        <f>modelo_tese_H__2[[#This Row],[Coluna2]]/modelo_tese_H__2[[#This Row],[Coluna1]]</f>
        <v>-4.2991809491559803</v>
      </c>
      <c r="BD33" s="8">
        <f>modelo_tese_H__2[[#This Row],[D]]-modelo_tese_H__2[[#This Row],[Dw]]-modelo_tese_H__2[[#This Row],[Dr]]</f>
        <v>0</v>
      </c>
    </row>
    <row r="34" spans="1:56" x14ac:dyDescent="0.25">
      <c r="A34">
        <v>33</v>
      </c>
      <c r="B34">
        <v>33</v>
      </c>
      <c r="C34">
        <v>1428.7036986117901</v>
      </c>
      <c r="D34">
        <v>649.25592357669495</v>
      </c>
      <c r="E34">
        <v>577.83777198325902</v>
      </c>
      <c r="F34">
        <v>75.349911691382204</v>
      </c>
      <c r="G34">
        <v>2084.8360058109001</v>
      </c>
      <c r="H34">
        <v>481.19773072246699</v>
      </c>
      <c r="I34">
        <v>1134.38541439711</v>
      </c>
      <c r="J34">
        <v>882.22110898057394</v>
      </c>
      <c r="K34">
        <v>5294.0687090471301</v>
      </c>
      <c r="L34">
        <v>-485.12949082041303</v>
      </c>
      <c r="M34">
        <v>6176.2898180277098</v>
      </c>
      <c r="N34">
        <v>-6280.5267498527201</v>
      </c>
      <c r="O34">
        <v>1052.9474776822699</v>
      </c>
      <c r="P34">
        <v>694.94533527030103</v>
      </c>
      <c r="Q34">
        <v>1076.4755028817899</v>
      </c>
      <c r="R34">
        <v>538.237751440897</v>
      </c>
      <c r="S34">
        <v>538.237751440897</v>
      </c>
      <c r="T34">
        <v>514.70972624137698</v>
      </c>
      <c r="U34">
        <v>220.39144202669399</v>
      </c>
      <c r="V34">
        <v>4117.0026047203901</v>
      </c>
      <c r="W34">
        <v>675.84845182617596</v>
      </c>
      <c r="X34">
        <v>0.26978048174088098</v>
      </c>
      <c r="Y34">
        <v>6238.8744903290399</v>
      </c>
      <c r="Z34">
        <v>2364.9054085305802</v>
      </c>
      <c r="AA34">
        <v>0.76751329091384002</v>
      </c>
      <c r="AB34">
        <v>3264.0206119568202</v>
      </c>
      <c r="AC34">
        <v>1829.3307496674099</v>
      </c>
      <c r="AD34">
        <v>2505.17920149358</v>
      </c>
      <c r="AE34">
        <v>-2163.52414513233</v>
      </c>
      <c r="AF34">
        <v>-264.73804879371897</v>
      </c>
      <c r="AG34">
        <v>5.5594999999999999E-2</v>
      </c>
      <c r="AH34">
        <v>-12456.8165678804</v>
      </c>
      <c r="AI34">
        <v>6481.9080132509598</v>
      </c>
      <c r="AJ34">
        <v>0.06</v>
      </c>
      <c r="AK34">
        <v>0.05</v>
      </c>
      <c r="AL34">
        <v>8.8099999999999998E-2</v>
      </c>
      <c r="AM34">
        <v>3.8100000000000002E-2</v>
      </c>
      <c r="AN34">
        <v>0.89</v>
      </c>
      <c r="AO34">
        <v>0.66</v>
      </c>
      <c r="AP34">
        <v>0.42970000000000003</v>
      </c>
      <c r="AQ34">
        <v>0.57030000000000003</v>
      </c>
      <c r="AR34">
        <v>8.9999999999999993E-3</v>
      </c>
      <c r="AS34">
        <v>0.5</v>
      </c>
      <c r="AT34">
        <v>1.82</v>
      </c>
      <c r="AU34">
        <v>6.3545217126973294E-2</v>
      </c>
      <c r="AV34">
        <v>0.7893</v>
      </c>
      <c r="AW34">
        <v>3</v>
      </c>
      <c r="AX34">
        <v>0.05</v>
      </c>
      <c r="AY34">
        <v>1</v>
      </c>
      <c r="AZ34">
        <v>1</v>
      </c>
      <c r="BA34" s="2">
        <f>modelo_tese_H__2[[#This Row],[Vw]]+modelo_tese_H__2[[#This Row],[Vr]]+modelo_tese_H__2[[#This Row],[K]]-modelo_tese_H__2[[#This Row],[E]]</f>
        <v>-2100.9394728309803</v>
      </c>
      <c r="BB34" s="2">
        <f>modelo_tese_H__2[[#This Row],[K]]-modelo_tese_H__2[[#This Row],[Coluna1]]</f>
        <v>8339.8139631600206</v>
      </c>
      <c r="BC34">
        <f>modelo_tese_H__2[[#This Row],[Coluna2]]/modelo_tese_H__2[[#This Row],[Coluna1]]</f>
        <v>-3.9695641264344768</v>
      </c>
      <c r="BD34" s="8">
        <f>modelo_tese_H__2[[#This Row],[D]]-modelo_tese_H__2[[#This Row],[Dw]]-modelo_tese_H__2[[#This Row],[Dr]]</f>
        <v>0</v>
      </c>
    </row>
    <row r="35" spans="1:56" x14ac:dyDescent="0.25">
      <c r="A35">
        <v>34</v>
      </c>
      <c r="B35">
        <v>34</v>
      </c>
      <c r="C35">
        <v>1504.9887419106301</v>
      </c>
      <c r="D35">
        <v>681.07755133847695</v>
      </c>
      <c r="E35">
        <v>606.159020691244</v>
      </c>
      <c r="F35">
        <v>79.691727760453205</v>
      </c>
      <c r="G35">
        <v>2199.9935759003101</v>
      </c>
      <c r="H35">
        <v>507.94991856198197</v>
      </c>
      <c r="I35">
        <v>1193.8006670136799</v>
      </c>
      <c r="J35">
        <v>928.30021248886806</v>
      </c>
      <c r="K35">
        <v>5600.31460979442</v>
      </c>
      <c r="L35">
        <v>-512.72311567520296</v>
      </c>
      <c r="M35">
        <v>6528.6148222832899</v>
      </c>
      <c r="N35">
        <v>-6793.2498655279196</v>
      </c>
      <c r="O35">
        <v>1111.1078666163201</v>
      </c>
      <c r="P35">
        <v>733.33119196677001</v>
      </c>
      <c r="Q35">
        <v>1133.9534672961499</v>
      </c>
      <c r="R35">
        <v>566.97673364807702</v>
      </c>
      <c r="S35">
        <v>566.97673364807702</v>
      </c>
      <c r="T35">
        <v>544.13113296824099</v>
      </c>
      <c r="U35">
        <v>232.94305807129399</v>
      </c>
      <c r="V35">
        <v>4349.9456627916798</v>
      </c>
      <c r="W35">
        <v>711.81035022633102</v>
      </c>
      <c r="X35">
        <v>0.26973320891338698</v>
      </c>
      <c r="Y35">
        <v>6554.2342064394697</v>
      </c>
      <c r="Z35">
        <v>2509.73902510883</v>
      </c>
      <c r="AA35">
        <v>0.76983033208976104</v>
      </c>
      <c r="AB35">
        <v>3427.9530166643099</v>
      </c>
      <c r="AC35">
        <v>1927.13185898045</v>
      </c>
      <c r="AD35">
        <v>2638.9422092067798</v>
      </c>
      <c r="AE35">
        <v>-2443.3042027362399</v>
      </c>
      <c r="AF35">
        <v>-279.78005760391</v>
      </c>
      <c r="AG35">
        <v>5.5594999999999999E-2</v>
      </c>
      <c r="AH35">
        <v>-13321.864687811199</v>
      </c>
      <c r="AI35">
        <v>6859.6846879005097</v>
      </c>
      <c r="AJ35">
        <v>0.06</v>
      </c>
      <c r="AK35">
        <v>0.05</v>
      </c>
      <c r="AL35">
        <v>8.8099999999999998E-2</v>
      </c>
      <c r="AM35">
        <v>3.8100000000000002E-2</v>
      </c>
      <c r="AN35">
        <v>0.89</v>
      </c>
      <c r="AO35">
        <v>0.66</v>
      </c>
      <c r="AP35">
        <v>0.42970000000000003</v>
      </c>
      <c r="AQ35">
        <v>0.57030000000000003</v>
      </c>
      <c r="AR35">
        <v>8.9999999999999993E-3</v>
      </c>
      <c r="AS35">
        <v>0.5</v>
      </c>
      <c r="AT35">
        <v>1.82</v>
      </c>
      <c r="AU35">
        <v>6.3545217126973294E-2</v>
      </c>
      <c r="AV35">
        <v>0.7893</v>
      </c>
      <c r="AW35">
        <v>3</v>
      </c>
      <c r="AX35">
        <v>0.05</v>
      </c>
      <c r="AY35">
        <v>1</v>
      </c>
      <c r="AZ35">
        <v>1</v>
      </c>
      <c r="BA35" s="2">
        <f>modelo_tese_H__2[[#This Row],[Vw]]+modelo_tese_H__2[[#This Row],[Vr]]+modelo_tese_H__2[[#This Row],[K]]-modelo_tese_H__2[[#This Row],[E]]</f>
        <v>-2417.68481858005</v>
      </c>
      <c r="BB35" s="2">
        <f>modelo_tese_H__2[[#This Row],[K]]-modelo_tese_H__2[[#This Row],[Coluna1]]</f>
        <v>8971.9190250195206</v>
      </c>
      <c r="BC35">
        <f>modelo_tese_H__2[[#This Row],[Coluna2]]/modelo_tese_H__2[[#This Row],[Coluna1]]</f>
        <v>-3.7109547762676902</v>
      </c>
      <c r="BD35" s="8">
        <f>modelo_tese_H__2[[#This Row],[D]]-modelo_tese_H__2[[#This Row],[Dw]]-modelo_tese_H__2[[#This Row],[Dr]]</f>
        <v>0</v>
      </c>
    </row>
    <row r="36" spans="1:56" x14ac:dyDescent="0.25">
      <c r="A36">
        <v>35</v>
      </c>
      <c r="B36">
        <v>35</v>
      </c>
      <c r="C36">
        <v>1585.6220004143199</v>
      </c>
      <c r="D36">
        <v>714.79967791506397</v>
      </c>
      <c r="E36">
        <v>636.17171334440695</v>
      </c>
      <c r="F36">
        <v>84.271368694216804</v>
      </c>
      <c r="G36">
        <v>2321.5990872287398</v>
      </c>
      <c r="H36">
        <v>536.18939428443605</v>
      </c>
      <c r="I36">
        <v>1256.63247632306</v>
      </c>
      <c r="J36">
        <v>977.20334308725899</v>
      </c>
      <c r="K36">
        <v>5923.1320174456896</v>
      </c>
      <c r="L36">
        <v>-541.83279840799605</v>
      </c>
      <c r="M36">
        <v>6900.3353605329403</v>
      </c>
      <c r="N36">
        <v>-7335.0826639359102</v>
      </c>
      <c r="O36">
        <v>1172.52479152967</v>
      </c>
      <c r="P36">
        <v>773.86636240958103</v>
      </c>
      <c r="Q36">
        <v>1194.7076513730201</v>
      </c>
      <c r="R36">
        <v>597.35382568651096</v>
      </c>
      <c r="S36">
        <v>597.35382568651096</v>
      </c>
      <c r="T36">
        <v>575.170965843158</v>
      </c>
      <c r="U36">
        <v>246.18144175189599</v>
      </c>
      <c r="V36">
        <v>4596.1271045435797</v>
      </c>
      <c r="W36">
        <v>749.83081305470205</v>
      </c>
      <c r="X36">
        <v>0.26969133410948898</v>
      </c>
      <c r="Y36">
        <v>6887.5747837449399</v>
      </c>
      <c r="Z36">
        <v>2662.2160124770198</v>
      </c>
      <c r="AA36">
        <v>0.772050525945711</v>
      </c>
      <c r="AB36">
        <v>3601.2275859557499</v>
      </c>
      <c r="AC36">
        <v>2030.49883873264</v>
      </c>
      <c r="AD36">
        <v>2780.32965178734</v>
      </c>
      <c r="AE36">
        <v>-2738.9555593923401</v>
      </c>
      <c r="AF36">
        <v>-295.65135665610001</v>
      </c>
      <c r="AG36">
        <v>5.5594999999999999E-2</v>
      </c>
      <c r="AH36">
        <v>-14235.4180244689</v>
      </c>
      <c r="AI36">
        <v>7258.3431170206004</v>
      </c>
      <c r="AJ36">
        <v>0.06</v>
      </c>
      <c r="AK36">
        <v>0.05</v>
      </c>
      <c r="AL36">
        <v>8.8099999999999998E-2</v>
      </c>
      <c r="AM36">
        <v>3.8100000000000002E-2</v>
      </c>
      <c r="AN36">
        <v>0.89</v>
      </c>
      <c r="AO36">
        <v>0.66</v>
      </c>
      <c r="AP36">
        <v>0.42970000000000003</v>
      </c>
      <c r="AQ36">
        <v>0.57030000000000003</v>
      </c>
      <c r="AR36">
        <v>8.9999999999999993E-3</v>
      </c>
      <c r="AS36">
        <v>0.5</v>
      </c>
      <c r="AT36">
        <v>1.82</v>
      </c>
      <c r="AU36">
        <v>6.3545217126973294E-2</v>
      </c>
      <c r="AV36">
        <v>0.7893</v>
      </c>
      <c r="AW36">
        <v>3</v>
      </c>
      <c r="AX36">
        <v>0.05</v>
      </c>
      <c r="AY36">
        <v>1</v>
      </c>
      <c r="AZ36">
        <v>1</v>
      </c>
      <c r="BA36" s="2">
        <f>modelo_tese_H__2[[#This Row],[Vw]]+modelo_tese_H__2[[#This Row],[Vr]]+modelo_tese_H__2[[#This Row],[K]]-modelo_tese_H__2[[#This Row],[E]]</f>
        <v>-2751.7161361803792</v>
      </c>
      <c r="BB36" s="2">
        <f>modelo_tese_H__2[[#This Row],[K]]-modelo_tese_H__2[[#This Row],[Coluna1]]</f>
        <v>9639.290919925319</v>
      </c>
      <c r="BC36">
        <f>modelo_tese_H__2[[#This Row],[Coluna2]]/modelo_tese_H__2[[#This Row],[Coluna1]]</f>
        <v>-3.503010646041961</v>
      </c>
      <c r="BD36" s="8">
        <f>modelo_tese_H__2[[#This Row],[D]]-modelo_tese_H__2[[#This Row],[Dw]]-modelo_tese_H__2[[#This Row],[Dr]]</f>
        <v>-1.0004441719502211E-11</v>
      </c>
    </row>
    <row r="37" spans="1:56" x14ac:dyDescent="0.25">
      <c r="A37">
        <v>36</v>
      </c>
      <c r="B37">
        <v>36</v>
      </c>
      <c r="C37">
        <v>1670.84754053966</v>
      </c>
      <c r="D37">
        <v>750.52981007316998</v>
      </c>
      <c r="E37">
        <v>667.97153096512102</v>
      </c>
      <c r="F37">
        <v>89.102094965144403</v>
      </c>
      <c r="G37">
        <v>2450.0134302680099</v>
      </c>
      <c r="H37">
        <v>565.99884365967898</v>
      </c>
      <c r="I37">
        <v>1323.0724695899501</v>
      </c>
      <c r="J37">
        <v>1029.0739906807801</v>
      </c>
      <c r="K37">
        <v>6263.45953124068</v>
      </c>
      <c r="L37">
        <v>-572.54265951677496</v>
      </c>
      <c r="M37">
        <v>7292.5335219214603</v>
      </c>
      <c r="N37">
        <v>-7907.6253234526903</v>
      </c>
      <c r="O37">
        <v>1237.3805203373799</v>
      </c>
      <c r="P37">
        <v>816.67114342266996</v>
      </c>
      <c r="Q37">
        <v>1258.9219501488501</v>
      </c>
      <c r="R37">
        <v>629.46097507442698</v>
      </c>
      <c r="S37">
        <v>629.46097507442698</v>
      </c>
      <c r="T37">
        <v>607.91954526295206</v>
      </c>
      <c r="U37">
        <v>260.14447431323902</v>
      </c>
      <c r="V37">
        <v>4856.2715788568103</v>
      </c>
      <c r="W37">
        <v>790.02587767589705</v>
      </c>
      <c r="X37">
        <v>0.26965461965072002</v>
      </c>
      <c r="Y37">
        <v>7239.9282263095001</v>
      </c>
      <c r="Z37">
        <v>2822.7809150784901</v>
      </c>
      <c r="AA37">
        <v>0.77417387694102902</v>
      </c>
      <c r="AB37">
        <v>3784.3817493104102</v>
      </c>
      <c r="AC37">
        <v>2139.7436130126198</v>
      </c>
      <c r="AD37">
        <v>2929.7694906885099</v>
      </c>
      <c r="AE37">
        <v>-3051.35374459588</v>
      </c>
      <c r="AF37">
        <v>-312.398185203536</v>
      </c>
      <c r="AG37">
        <v>5.5594999999999999E-2</v>
      </c>
      <c r="AH37">
        <v>-15200.158845374201</v>
      </c>
      <c r="AI37">
        <v>7679.0524939353099</v>
      </c>
      <c r="AJ37">
        <v>0.06</v>
      </c>
      <c r="AK37">
        <v>0.05</v>
      </c>
      <c r="AL37">
        <v>8.8099999999999998E-2</v>
      </c>
      <c r="AM37">
        <v>3.8100000000000002E-2</v>
      </c>
      <c r="AN37">
        <v>0.89</v>
      </c>
      <c r="AO37">
        <v>0.66</v>
      </c>
      <c r="AP37">
        <v>0.42970000000000003</v>
      </c>
      <c r="AQ37">
        <v>0.57030000000000003</v>
      </c>
      <c r="AR37">
        <v>8.9999999999999993E-3</v>
      </c>
      <c r="AS37">
        <v>0.5</v>
      </c>
      <c r="AT37">
        <v>1.82</v>
      </c>
      <c r="AU37">
        <v>6.3545217126973294E-2</v>
      </c>
      <c r="AV37">
        <v>0.7893</v>
      </c>
      <c r="AW37">
        <v>3</v>
      </c>
      <c r="AX37">
        <v>0.05</v>
      </c>
      <c r="AY37">
        <v>1</v>
      </c>
      <c r="AZ37">
        <v>1</v>
      </c>
      <c r="BA37" s="2">
        <f>modelo_tese_H__2[[#This Row],[Vw]]+modelo_tese_H__2[[#This Row],[Vr]]+modelo_tese_H__2[[#This Row],[K]]-modelo_tese_H__2[[#This Row],[E]]</f>
        <v>-3103.9590402078807</v>
      </c>
      <c r="BB37" s="2">
        <f>modelo_tese_H__2[[#This Row],[K]]-modelo_tese_H__2[[#This Row],[Coluna1]]</f>
        <v>10343.88726651738</v>
      </c>
      <c r="BC37">
        <f>modelo_tese_H__2[[#This Row],[Coluna2]]/modelo_tese_H__2[[#This Row],[Coluna1]]</f>
        <v>-3.3324818828229841</v>
      </c>
      <c r="BD37" s="8">
        <f>modelo_tese_H__2[[#This Row],[D]]-modelo_tese_H__2[[#This Row],[Dw]]-modelo_tese_H__2[[#This Row],[Dr]]</f>
        <v>0</v>
      </c>
    </row>
    <row r="38" spans="1:56" x14ac:dyDescent="0.25">
      <c r="A38">
        <v>37</v>
      </c>
      <c r="B38">
        <v>37</v>
      </c>
      <c r="C38">
        <v>1760.9231117536499</v>
      </c>
      <c r="D38">
        <v>788.38155927109904</v>
      </c>
      <c r="E38">
        <v>701.65958775127899</v>
      </c>
      <c r="F38">
        <v>94.197901869786506</v>
      </c>
      <c r="G38">
        <v>2585.6176251470101</v>
      </c>
      <c r="H38">
        <v>597.46554937293899</v>
      </c>
      <c r="I38">
        <v>1393.3230389939999</v>
      </c>
      <c r="J38">
        <v>1084.0641735056299</v>
      </c>
      <c r="K38">
        <v>6622.2872724733497</v>
      </c>
      <c r="L38">
        <v>-604.94147972290398</v>
      </c>
      <c r="M38">
        <v>7706.3514459789803</v>
      </c>
      <c r="N38">
        <v>-8512.5668031755904</v>
      </c>
      <c r="O38">
        <v>1305.86748744798</v>
      </c>
      <c r="P38">
        <v>861.87254171566997</v>
      </c>
      <c r="Q38">
        <v>1326.79056833341</v>
      </c>
      <c r="R38">
        <v>663.39528416670305</v>
      </c>
      <c r="S38">
        <v>663.39528416670305</v>
      </c>
      <c r="T38">
        <v>642.47220328128105</v>
      </c>
      <c r="U38">
        <v>274.87213052163798</v>
      </c>
      <c r="V38">
        <v>5131.1437093784498</v>
      </c>
      <c r="W38">
        <v>832.51809937738005</v>
      </c>
      <c r="X38">
        <v>0.26962282958629302</v>
      </c>
      <c r="Y38">
        <v>7612.3835145623398</v>
      </c>
      <c r="Z38">
        <v>2991.9037302891702</v>
      </c>
      <c r="AA38">
        <v>0.77620091278487802</v>
      </c>
      <c r="AB38">
        <v>3977.9825419283002</v>
      </c>
      <c r="AC38">
        <v>2255.1955807096701</v>
      </c>
      <c r="AD38">
        <v>3087.7136800870499</v>
      </c>
      <c r="AE38">
        <v>-3381.4230937971402</v>
      </c>
      <c r="AF38">
        <v>-330.06934920126702</v>
      </c>
      <c r="AG38">
        <v>5.5594999999999999E-2</v>
      </c>
      <c r="AH38">
        <v>-16218.9182491546</v>
      </c>
      <c r="AI38">
        <v>8123.04743966762</v>
      </c>
      <c r="AJ38">
        <v>0.06</v>
      </c>
      <c r="AK38">
        <v>0.05</v>
      </c>
      <c r="AL38">
        <v>8.8099999999999998E-2</v>
      </c>
      <c r="AM38">
        <v>3.8100000000000002E-2</v>
      </c>
      <c r="AN38">
        <v>0.89</v>
      </c>
      <c r="AO38">
        <v>0.66</v>
      </c>
      <c r="AP38">
        <v>0.42970000000000003</v>
      </c>
      <c r="AQ38">
        <v>0.57030000000000003</v>
      </c>
      <c r="AR38">
        <v>8.9999999999999993E-3</v>
      </c>
      <c r="AS38">
        <v>0.5</v>
      </c>
      <c r="AT38">
        <v>1.82</v>
      </c>
      <c r="AU38">
        <v>6.3545217126973294E-2</v>
      </c>
      <c r="AV38">
        <v>0.7893</v>
      </c>
      <c r="AW38">
        <v>3</v>
      </c>
      <c r="AX38">
        <v>0.05</v>
      </c>
      <c r="AY38">
        <v>1</v>
      </c>
      <c r="AZ38">
        <v>1</v>
      </c>
      <c r="BA38" s="2">
        <f>modelo_tese_H__2[[#This Row],[Vw]]+modelo_tese_H__2[[#This Row],[Vr]]+modelo_tese_H__2[[#This Row],[K]]-modelo_tese_H__2[[#This Row],[E]]</f>
        <v>-3475.3910252138103</v>
      </c>
      <c r="BB38" s="2">
        <f>modelo_tese_H__2[[#This Row],[K]]-modelo_tese_H__2[[#This Row],[Coluna1]]</f>
        <v>11087.77453977615</v>
      </c>
      <c r="BC38">
        <f>modelo_tese_H__2[[#This Row],[Coluna2]]/modelo_tese_H__2[[#This Row],[Coluna1]]</f>
        <v>-3.1903674893946694</v>
      </c>
      <c r="BD38" s="8">
        <f>modelo_tese_H__2[[#This Row],[D]]-modelo_tese_H__2[[#This Row],[Dw]]-modelo_tese_H__2[[#This Row],[Dr]]</f>
        <v>0</v>
      </c>
    </row>
    <row r="39" spans="1:56" x14ac:dyDescent="0.25">
      <c r="A39">
        <v>38</v>
      </c>
      <c r="B39">
        <v>38</v>
      </c>
      <c r="C39">
        <v>1856.1209123174799</v>
      </c>
      <c r="D39">
        <v>828.474985866064</v>
      </c>
      <c r="E39">
        <v>737.34273742079699</v>
      </c>
      <c r="F39">
        <v>99.573560370486703</v>
      </c>
      <c r="G39">
        <v>2728.8139448305301</v>
      </c>
      <c r="H39">
        <v>630.68164659032698</v>
      </c>
      <c r="I39">
        <v>1467.59794438161</v>
      </c>
      <c r="J39">
        <v>1142.3348888655501</v>
      </c>
      <c r="K39">
        <v>7000.6597739824501</v>
      </c>
      <c r="L39">
        <v>-639.122958515547</v>
      </c>
      <c r="M39">
        <v>8142.9946628480002</v>
      </c>
      <c r="N39">
        <v>-9151.6897616911392</v>
      </c>
      <c r="O39">
        <v>1378.1888610255201</v>
      </c>
      <c r="P39">
        <v>909.60464827684405</v>
      </c>
      <c r="Q39">
        <v>1398.5185972695399</v>
      </c>
      <c r="R39">
        <v>699.25929863477199</v>
      </c>
      <c r="S39">
        <v>699.25929863477199</v>
      </c>
      <c r="T39">
        <v>678.92956239074795</v>
      </c>
      <c r="U39">
        <v>290.40659445487802</v>
      </c>
      <c r="V39">
        <v>5421.55030383333</v>
      </c>
      <c r="W39">
        <v>877.43691692857101</v>
      </c>
      <c r="X39">
        <v>0.26959573075418802</v>
      </c>
      <c r="Y39">
        <v>8006.0898682042598</v>
      </c>
      <c r="Z39">
        <v>3170.0813485829699</v>
      </c>
      <c r="AA39">
        <v>0.77813261721732097</v>
      </c>
      <c r="AB39">
        <v>4182.6283047045799</v>
      </c>
      <c r="AC39">
        <v>2377.2025926584502</v>
      </c>
      <c r="AD39">
        <v>3254.6395095870298</v>
      </c>
      <c r="AE39">
        <v>-3730.1394578578102</v>
      </c>
      <c r="AF39">
        <v>-348.71636406066898</v>
      </c>
      <c r="AG39">
        <v>5.5594999999999999E-2</v>
      </c>
      <c r="AH39">
        <v>-17294.6844245391</v>
      </c>
      <c r="AI39">
        <v>8591.6316524162994</v>
      </c>
      <c r="AJ39">
        <v>0.06</v>
      </c>
      <c r="AK39">
        <v>0.05</v>
      </c>
      <c r="AL39">
        <v>8.8099999999999998E-2</v>
      </c>
      <c r="AM39">
        <v>3.8100000000000002E-2</v>
      </c>
      <c r="AN39">
        <v>0.89</v>
      </c>
      <c r="AO39">
        <v>0.66</v>
      </c>
      <c r="AP39">
        <v>0.42970000000000003</v>
      </c>
      <c r="AQ39">
        <v>0.57030000000000003</v>
      </c>
      <c r="AR39">
        <v>8.9999999999999993E-3</v>
      </c>
      <c r="AS39">
        <v>0.5</v>
      </c>
      <c r="AT39">
        <v>1.82</v>
      </c>
      <c r="AU39">
        <v>6.3545217126973294E-2</v>
      </c>
      <c r="AV39">
        <v>0.7893</v>
      </c>
      <c r="AW39">
        <v>3</v>
      </c>
      <c r="AX39">
        <v>0.05</v>
      </c>
      <c r="AY39">
        <v>1</v>
      </c>
      <c r="AZ39">
        <v>1</v>
      </c>
      <c r="BA39" s="2">
        <f>modelo_tese_H__2[[#This Row],[Vw]]+modelo_tese_H__2[[#This Row],[Vr]]+modelo_tese_H__2[[#This Row],[K]]-modelo_tese_H__2[[#This Row],[E]]</f>
        <v>-3867.044252501511</v>
      </c>
      <c r="BB39" s="2">
        <f>modelo_tese_H__2[[#This Row],[K]]-modelo_tese_H__2[[#This Row],[Coluna1]]</f>
        <v>11873.13412070577</v>
      </c>
      <c r="BC39">
        <f>modelo_tese_H__2[[#This Row],[Coluna2]]/modelo_tese_H__2[[#This Row],[Coluna1]]</f>
        <v>-3.0703383114959921</v>
      </c>
      <c r="BD39" s="8">
        <f>modelo_tese_H__2[[#This Row],[D]]-modelo_tese_H__2[[#This Row],[Dw]]-modelo_tese_H__2[[#This Row],[Dr]]</f>
        <v>0</v>
      </c>
    </row>
    <row r="40" spans="1:56" x14ac:dyDescent="0.25">
      <c r="A40">
        <v>39</v>
      </c>
      <c r="B40">
        <v>39</v>
      </c>
      <c r="C40">
        <v>1956.72839790274</v>
      </c>
      <c r="D40">
        <v>870.93696276848505</v>
      </c>
      <c r="E40">
        <v>775.13389686395203</v>
      </c>
      <c r="F40">
        <v>105.244660204383</v>
      </c>
      <c r="G40">
        <v>2880.02710095162</v>
      </c>
      <c r="H40">
        <v>665.74439273251699</v>
      </c>
      <c r="I40">
        <v>1546.1229498008499</v>
      </c>
      <c r="J40">
        <v>1204.05658980416</v>
      </c>
      <c r="K40">
        <v>7399.6790293262302</v>
      </c>
      <c r="L40">
        <v>-675.18598703236705</v>
      </c>
      <c r="M40">
        <v>8603.7356191303898</v>
      </c>
      <c r="N40">
        <v>-9826.8757487235107</v>
      </c>
      <c r="O40">
        <v>1454.5591418947599</v>
      </c>
      <c r="P40">
        <v>960.00903365054</v>
      </c>
      <c r="Q40">
        <v>1474.3226241957</v>
      </c>
      <c r="R40">
        <v>737.16131209784999</v>
      </c>
      <c r="S40">
        <v>737.16131209784999</v>
      </c>
      <c r="T40">
        <v>717.39782979690801</v>
      </c>
      <c r="U40">
        <v>306.79238169502003</v>
      </c>
      <c r="V40">
        <v>5728.3426855283496</v>
      </c>
      <c r="W40">
        <v>924.91903864704705</v>
      </c>
      <c r="X40">
        <v>0.26957309369341897</v>
      </c>
      <c r="Y40">
        <v>8422.2601878381993</v>
      </c>
      <c r="Z40">
        <v>3357.8390751321699</v>
      </c>
      <c r="AA40">
        <v>0.779970367934402</v>
      </c>
      <c r="AB40">
        <v>4398.9504770353096</v>
      </c>
      <c r="AC40">
        <v>2506.1319834513902</v>
      </c>
      <c r="AD40">
        <v>3431.0510220984402</v>
      </c>
      <c r="AE40">
        <v>-4098.5330631951601</v>
      </c>
      <c r="AF40">
        <v>-368.393605337346</v>
      </c>
      <c r="AG40">
        <v>5.5594999999999999E-2</v>
      </c>
      <c r="AH40">
        <v>-18430.6113678539</v>
      </c>
      <c r="AI40">
        <v>9086.18176066052</v>
      </c>
      <c r="AJ40">
        <v>0.06</v>
      </c>
      <c r="AK40">
        <v>0.05</v>
      </c>
      <c r="AL40">
        <v>8.8099999999999998E-2</v>
      </c>
      <c r="AM40">
        <v>3.8100000000000002E-2</v>
      </c>
      <c r="AN40">
        <v>0.89</v>
      </c>
      <c r="AO40">
        <v>0.66</v>
      </c>
      <c r="AP40">
        <v>0.42970000000000003</v>
      </c>
      <c r="AQ40">
        <v>0.57030000000000003</v>
      </c>
      <c r="AR40">
        <v>8.9999999999999993E-3</v>
      </c>
      <c r="AS40">
        <v>0.5</v>
      </c>
      <c r="AT40">
        <v>1.82</v>
      </c>
      <c r="AU40">
        <v>6.3545217126973294E-2</v>
      </c>
      <c r="AV40">
        <v>0.7893</v>
      </c>
      <c r="AW40">
        <v>3</v>
      </c>
      <c r="AX40">
        <v>0.05</v>
      </c>
      <c r="AY40">
        <v>1</v>
      </c>
      <c r="AZ40">
        <v>1</v>
      </c>
      <c r="BA40" s="2">
        <f>modelo_tese_H__2[[#This Row],[Vw]]+modelo_tese_H__2[[#This Row],[Vr]]+modelo_tese_H__2[[#This Row],[K]]-modelo_tese_H__2[[#This Row],[E]]</f>
        <v>-4280.0084944873506</v>
      </c>
      <c r="BB40" s="2">
        <f>modelo_tese_H__2[[#This Row],[K]]-modelo_tese_H__2[[#This Row],[Coluna1]]</f>
        <v>12702.26868232555</v>
      </c>
      <c r="BC40">
        <f>modelo_tese_H__2[[#This Row],[Coluna2]]/modelo_tese_H__2[[#This Row],[Coluna1]]</f>
        <v>-2.9678138953897095</v>
      </c>
      <c r="BD40" s="8">
        <f>modelo_tese_H__2[[#This Row],[D]]-modelo_tese_H__2[[#This Row],[Dw]]-modelo_tese_H__2[[#This Row],[Dr]]</f>
        <v>0</v>
      </c>
    </row>
    <row r="41" spans="1:56" x14ac:dyDescent="0.25">
      <c r="A41">
        <v>40</v>
      </c>
      <c r="B41">
        <v>40</v>
      </c>
      <c r="C41">
        <v>2063.04913547979</v>
      </c>
      <c r="D41">
        <v>915.90155964097596</v>
      </c>
      <c r="E41">
        <v>815.152388080469</v>
      </c>
      <c r="F41">
        <v>111.227655385623</v>
      </c>
      <c r="G41">
        <v>3039.7054957929299</v>
      </c>
      <c r="H41">
        <v>702.75645224648099</v>
      </c>
      <c r="I41">
        <v>1629.13649571257</v>
      </c>
      <c r="J41">
        <v>1269.4096891182401</v>
      </c>
      <c r="K41">
        <v>7820.5077105553801</v>
      </c>
      <c r="L41">
        <v>-713.23493607159696</v>
      </c>
      <c r="M41">
        <v>9089.9173996736208</v>
      </c>
      <c r="N41">
        <v>-10540.1106847951</v>
      </c>
      <c r="O41">
        <v>1535.2047958550199</v>
      </c>
      <c r="P41">
        <v>1013.23516526431</v>
      </c>
      <c r="Q41">
        <v>1554.4313756192601</v>
      </c>
      <c r="R41">
        <v>777.21568780963105</v>
      </c>
      <c r="S41">
        <v>777.21568780963105</v>
      </c>
      <c r="T41">
        <v>757.98910804538696</v>
      </c>
      <c r="U41">
        <v>324.07646827817302</v>
      </c>
      <c r="V41">
        <v>6052.4191538065197</v>
      </c>
      <c r="W41">
        <v>975.10885012216397</v>
      </c>
      <c r="X41">
        <v>0.26955469342000898</v>
      </c>
      <c r="Y41">
        <v>8862.1746856243299</v>
      </c>
      <c r="Z41">
        <v>3555.7322374446999</v>
      </c>
      <c r="AA41">
        <v>0.78171587951027</v>
      </c>
      <c r="AB41">
        <v>4627.6154878231901</v>
      </c>
      <c r="AC41">
        <v>2642.3716609768799</v>
      </c>
      <c r="AD41">
        <v>3617.4805110990501</v>
      </c>
      <c r="AE41">
        <v>-4487.6915309885799</v>
      </c>
      <c r="AF41">
        <v>-389.15846779342399</v>
      </c>
      <c r="AG41">
        <v>5.5594999999999999E-2</v>
      </c>
      <c r="AH41">
        <v>-19630.0280844687</v>
      </c>
      <c r="AI41">
        <v>9608.15139125122</v>
      </c>
      <c r="AJ41">
        <v>0.06</v>
      </c>
      <c r="AK41">
        <v>0.05</v>
      </c>
      <c r="AL41">
        <v>8.8099999999999998E-2</v>
      </c>
      <c r="AM41">
        <v>3.8100000000000002E-2</v>
      </c>
      <c r="AN41">
        <v>0.89</v>
      </c>
      <c r="AO41">
        <v>0.66</v>
      </c>
      <c r="AP41">
        <v>0.42970000000000003</v>
      </c>
      <c r="AQ41">
        <v>0.57030000000000003</v>
      </c>
      <c r="AR41">
        <v>8.9999999999999993E-3</v>
      </c>
      <c r="AS41">
        <v>0.5</v>
      </c>
      <c r="AT41">
        <v>1.82</v>
      </c>
      <c r="AU41">
        <v>6.3545217126973294E-2</v>
      </c>
      <c r="AV41">
        <v>0.7893</v>
      </c>
      <c r="AW41">
        <v>3</v>
      </c>
      <c r="AX41">
        <v>0.05</v>
      </c>
      <c r="AY41">
        <v>1</v>
      </c>
      <c r="AZ41">
        <v>1</v>
      </c>
      <c r="BA41" s="2">
        <f>modelo_tese_H__2[[#This Row],[Vw]]+modelo_tese_H__2[[#This Row],[Vr]]+modelo_tese_H__2[[#This Row],[K]]-modelo_tese_H__2[[#This Row],[E]]</f>
        <v>-4715.4342450378499</v>
      </c>
      <c r="BB41" s="2">
        <f>modelo_tese_H__2[[#This Row],[K]]-modelo_tese_H__2[[#This Row],[Coluna1]]</f>
        <v>13577.60893066218</v>
      </c>
      <c r="BC41">
        <f>modelo_tese_H__2[[#This Row],[Coluna2]]/modelo_tese_H__2[[#This Row],[Coluna1]]</f>
        <v>-2.8793973630212704</v>
      </c>
      <c r="BD41" s="8">
        <f>modelo_tese_H__2[[#This Row],[D]]-modelo_tese_H__2[[#This Row],[Dw]]-modelo_tese_H__2[[#This Row],[Dr]]</f>
        <v>0</v>
      </c>
    </row>
    <row r="42" spans="1:56" x14ac:dyDescent="0.25">
      <c r="A42">
        <v>41</v>
      </c>
      <c r="B42">
        <v>41</v>
      </c>
      <c r="C42">
        <v>2175.4037050099701</v>
      </c>
      <c r="D42">
        <v>963.510448798933</v>
      </c>
      <c r="E42">
        <v>857.52429943105096</v>
      </c>
      <c r="F42">
        <v>117.539912233725</v>
      </c>
      <c r="G42">
        <v>3208.3225441055602</v>
      </c>
      <c r="H42">
        <v>741.82619720912396</v>
      </c>
      <c r="I42">
        <v>1716.8904088739</v>
      </c>
      <c r="J42">
        <v>1338.58509219656</v>
      </c>
      <c r="K42">
        <v>8264.3725639923505</v>
      </c>
      <c r="L42">
        <v>-753.37996007496702</v>
      </c>
      <c r="M42">
        <v>9602.9576561889098</v>
      </c>
      <c r="N42">
        <v>-11293.4906448701</v>
      </c>
      <c r="O42">
        <v>1620.36492126543</v>
      </c>
      <c r="P42">
        <v>1069.4408480351899</v>
      </c>
      <c r="Q42">
        <v>1639.0863967083701</v>
      </c>
      <c r="R42">
        <v>819.54319835418698</v>
      </c>
      <c r="S42">
        <v>819.54319835418698</v>
      </c>
      <c r="T42">
        <v>800.82172291124596</v>
      </c>
      <c r="U42">
        <v>342.30842677517302</v>
      </c>
      <c r="V42">
        <v>6394.7275805816998</v>
      </c>
      <c r="W42">
        <v>1028.15884480926</v>
      </c>
      <c r="X42">
        <v>0.26954031007869</v>
      </c>
      <c r="Y42">
        <v>9327.1847158184191</v>
      </c>
      <c r="Z42">
        <v>3764.3478838997698</v>
      </c>
      <c r="AA42">
        <v>0.78337115114520095</v>
      </c>
      <c r="AB42">
        <v>4869.3267503430397</v>
      </c>
      <c r="AC42">
        <v>2786.3312569090899</v>
      </c>
      <c r="AD42">
        <v>3814.4901017183502</v>
      </c>
      <c r="AE42">
        <v>-4898.7630642883696</v>
      </c>
      <c r="AF42">
        <v>-411.07153329979297</v>
      </c>
      <c r="AG42">
        <v>5.5594999999999999E-2</v>
      </c>
      <c r="AH42">
        <v>-20896.448301059001</v>
      </c>
      <c r="AI42">
        <v>10159.075464481501</v>
      </c>
      <c r="AJ42">
        <v>0.06</v>
      </c>
      <c r="AK42">
        <v>0.05</v>
      </c>
      <c r="AL42">
        <v>8.8099999999999998E-2</v>
      </c>
      <c r="AM42">
        <v>3.8100000000000002E-2</v>
      </c>
      <c r="AN42">
        <v>0.89</v>
      </c>
      <c r="AO42">
        <v>0.66</v>
      </c>
      <c r="AP42">
        <v>0.42970000000000003</v>
      </c>
      <c r="AQ42">
        <v>0.57030000000000003</v>
      </c>
      <c r="AR42">
        <v>8.9999999999999993E-3</v>
      </c>
      <c r="AS42">
        <v>0.5</v>
      </c>
      <c r="AT42">
        <v>1.82</v>
      </c>
      <c r="AU42">
        <v>6.3545217126973294E-2</v>
      </c>
      <c r="AV42">
        <v>0.7893</v>
      </c>
      <c r="AW42">
        <v>3</v>
      </c>
      <c r="AX42">
        <v>0.05</v>
      </c>
      <c r="AY42">
        <v>1</v>
      </c>
      <c r="AZ42">
        <v>1</v>
      </c>
      <c r="BA42" s="2">
        <f>modelo_tese_H__2[[#This Row],[Vw]]+modelo_tese_H__2[[#This Row],[Vr]]+modelo_tese_H__2[[#This Row],[K]]-modelo_tese_H__2[[#This Row],[E]]</f>
        <v>-5174.5360046588512</v>
      </c>
      <c r="BB42" s="2">
        <f>modelo_tese_H__2[[#This Row],[K]]-modelo_tese_H__2[[#This Row],[Coluna1]]</f>
        <v>14501.720720477271</v>
      </c>
      <c r="BC42">
        <f>modelo_tese_H__2[[#This Row],[Coluna2]]/modelo_tese_H__2[[#This Row],[Coluna1]]</f>
        <v>-2.8025161497418831</v>
      </c>
      <c r="BD42" s="8">
        <f>modelo_tese_H__2[[#This Row],[D]]-modelo_tese_H__2[[#This Row],[Dw]]-modelo_tese_H__2[[#This Row],[Dr]]</f>
        <v>3.092281986027956E-11</v>
      </c>
    </row>
    <row r="43" spans="1:56" x14ac:dyDescent="0.25">
      <c r="A43">
        <v>42</v>
      </c>
      <c r="B43">
        <v>42</v>
      </c>
      <c r="C43">
        <v>2294.1306516127702</v>
      </c>
      <c r="D43">
        <v>1013.91333403279</v>
      </c>
      <c r="E43">
        <v>902.38286728918501</v>
      </c>
      <c r="F43">
        <v>124.199760068434</v>
      </c>
      <c r="G43">
        <v>3386.3780686578598</v>
      </c>
      <c r="H43">
        <v>783.06802464296504</v>
      </c>
      <c r="I43">
        <v>1809.6506520005801</v>
      </c>
      <c r="J43">
        <v>1411.78476025231</v>
      </c>
      <c r="K43">
        <v>8732.5679939471993</v>
      </c>
      <c r="L43">
        <v>-795.73731796779202</v>
      </c>
      <c r="M43">
        <v>10144.352754199501</v>
      </c>
      <c r="N43">
        <v>-12089.2279628379</v>
      </c>
      <c r="O43">
        <v>1710.2919538676099</v>
      </c>
      <c r="P43">
        <v>1128.79268955262</v>
      </c>
      <c r="Q43">
        <v>1728.5427687147201</v>
      </c>
      <c r="R43">
        <v>864.27138435736197</v>
      </c>
      <c r="S43">
        <v>864.27138435736197</v>
      </c>
      <c r="T43">
        <v>846.02056951024304</v>
      </c>
      <c r="U43">
        <v>361.54056989805702</v>
      </c>
      <c r="V43">
        <v>6756.2681504797501</v>
      </c>
      <c r="W43">
        <v>1084.23007877429</v>
      </c>
      <c r="X43">
        <v>0.26952972948174803</v>
      </c>
      <c r="Y43">
        <v>9818.7168166426509</v>
      </c>
      <c r="Z43">
        <v>3984.3065783166999</v>
      </c>
      <c r="AA43">
        <v>0.78493841904723405</v>
      </c>
      <c r="AB43">
        <v>5124.8267669331999</v>
      </c>
      <c r="AC43">
        <v>2938.4433415531998</v>
      </c>
      <c r="AD43">
        <v>4022.6734203275</v>
      </c>
      <c r="AE43">
        <v>-5332.95981235811</v>
      </c>
      <c r="AF43">
        <v>-434.19674806973501</v>
      </c>
      <c r="AG43">
        <v>5.5594999999999999E-2</v>
      </c>
      <c r="AH43">
        <v>-22233.580717037399</v>
      </c>
      <c r="AI43">
        <v>10740.5747287965</v>
      </c>
      <c r="AJ43">
        <v>0.06</v>
      </c>
      <c r="AK43">
        <v>0.05</v>
      </c>
      <c r="AL43">
        <v>8.8099999999999998E-2</v>
      </c>
      <c r="AM43">
        <v>3.8100000000000002E-2</v>
      </c>
      <c r="AN43">
        <v>0.89</v>
      </c>
      <c r="AO43">
        <v>0.66</v>
      </c>
      <c r="AP43">
        <v>0.42970000000000003</v>
      </c>
      <c r="AQ43">
        <v>0.57030000000000003</v>
      </c>
      <c r="AR43">
        <v>8.9999999999999993E-3</v>
      </c>
      <c r="AS43">
        <v>0.5</v>
      </c>
      <c r="AT43">
        <v>1.82</v>
      </c>
      <c r="AU43">
        <v>6.3545217126973294E-2</v>
      </c>
      <c r="AV43">
        <v>0.7893</v>
      </c>
      <c r="AW43">
        <v>3</v>
      </c>
      <c r="AX43">
        <v>0.05</v>
      </c>
      <c r="AY43">
        <v>1</v>
      </c>
      <c r="AZ43">
        <v>1</v>
      </c>
      <c r="BA43" s="2">
        <f>modelo_tese_H__2[[#This Row],[Vw]]+modelo_tese_H__2[[#This Row],[Vr]]+modelo_tese_H__2[[#This Row],[K]]-modelo_tese_H__2[[#This Row],[E]]</f>
        <v>-5658.5957499149481</v>
      </c>
      <c r="BB43" s="2">
        <f>modelo_tese_H__2[[#This Row],[K]]-modelo_tese_H__2[[#This Row],[Coluna1]]</f>
        <v>15477.312566557599</v>
      </c>
      <c r="BC43">
        <f>modelo_tese_H__2[[#This Row],[Coluna2]]/modelo_tese_H__2[[#This Row],[Coluna1]]</f>
        <v>-2.7351861222442393</v>
      </c>
      <c r="BD43" s="8">
        <f>modelo_tese_H__2[[#This Row],[D]]-modelo_tese_H__2[[#This Row],[Dw]]-modelo_tese_H__2[[#This Row],[Dr]]</f>
        <v>4.0017766878008842E-11</v>
      </c>
    </row>
    <row r="44" spans="1:56" x14ac:dyDescent="0.25">
      <c r="A44">
        <v>43</v>
      </c>
      <c r="B44">
        <v>43</v>
      </c>
      <c r="C44">
        <v>2419.5874910266998</v>
      </c>
      <c r="D44">
        <v>1067.2684036390599</v>
      </c>
      <c r="E44">
        <v>949.868879238766</v>
      </c>
      <c r="F44">
        <v>131.226544719201</v>
      </c>
      <c r="G44">
        <v>3574.3997736227798</v>
      </c>
      <c r="H44">
        <v>826.60269147299095</v>
      </c>
      <c r="I44">
        <v>1907.6981154309599</v>
      </c>
      <c r="J44">
        <v>1489.2223056058899</v>
      </c>
      <c r="K44">
        <v>9226.4598448508095</v>
      </c>
      <c r="L44">
        <v>-840.42971179189499</v>
      </c>
      <c r="M44">
        <v>10715.6821504567</v>
      </c>
      <c r="N44">
        <v>-12929.6576746298</v>
      </c>
      <c r="O44">
        <v>1805.2524109205999</v>
      </c>
      <c r="P44">
        <v>1191.46659120759</v>
      </c>
      <c r="Q44">
        <v>1823.06986655124</v>
      </c>
      <c r="R44">
        <v>911.53493327562001</v>
      </c>
      <c r="S44">
        <v>911.53493327562001</v>
      </c>
      <c r="T44">
        <v>893.71747764497695</v>
      </c>
      <c r="U44">
        <v>381.82810204923697</v>
      </c>
      <c r="V44">
        <v>7138.0962525289897</v>
      </c>
      <c r="W44">
        <v>1143.4926509393899</v>
      </c>
      <c r="X44">
        <v>0.26952274354584799</v>
      </c>
      <c r="Y44">
        <v>10338.2769755602</v>
      </c>
      <c r="Z44">
        <v>4216.2642959804698</v>
      </c>
      <c r="AA44">
        <v>0.78642011323757999</v>
      </c>
      <c r="AB44">
        <v>5394.8993498036498</v>
      </c>
      <c r="AC44">
        <v>3099.1647066385499</v>
      </c>
      <c r="AD44">
        <v>4242.6573575779403</v>
      </c>
      <c r="AE44">
        <v>-5791.56142210077</v>
      </c>
      <c r="AF44">
        <v>-458.60160974265801</v>
      </c>
      <c r="AG44">
        <v>5.5594999999999999E-2</v>
      </c>
      <c r="AH44">
        <v>-23645.339825086499</v>
      </c>
      <c r="AI44">
        <v>11354.360548509499</v>
      </c>
      <c r="AJ44">
        <v>0.06</v>
      </c>
      <c r="AK44">
        <v>0.05</v>
      </c>
      <c r="AL44">
        <v>8.8099999999999998E-2</v>
      </c>
      <c r="AM44">
        <v>3.8100000000000002E-2</v>
      </c>
      <c r="AN44">
        <v>0.89</v>
      </c>
      <c r="AO44">
        <v>0.66</v>
      </c>
      <c r="AP44">
        <v>0.42970000000000003</v>
      </c>
      <c r="AQ44">
        <v>0.57030000000000003</v>
      </c>
      <c r="AR44">
        <v>8.9999999999999993E-3</v>
      </c>
      <c r="AS44">
        <v>0.5</v>
      </c>
      <c r="AT44">
        <v>1.82</v>
      </c>
      <c r="AU44">
        <v>6.3545217126973294E-2</v>
      </c>
      <c r="AV44">
        <v>0.7893</v>
      </c>
      <c r="AW44">
        <v>3</v>
      </c>
      <c r="AX44">
        <v>0.05</v>
      </c>
      <c r="AY44">
        <v>1</v>
      </c>
      <c r="AZ44">
        <v>1</v>
      </c>
      <c r="BA44" s="2">
        <f>modelo_tese_H__2[[#This Row],[Vw]]+modelo_tese_H__2[[#This Row],[Vr]]+modelo_tese_H__2[[#This Row],[K]]-modelo_tese_H__2[[#This Row],[E]]</f>
        <v>-6168.9665969972693</v>
      </c>
      <c r="BB44" s="2">
        <f>modelo_tese_H__2[[#This Row],[K]]-modelo_tese_H__2[[#This Row],[Coluna1]]</f>
        <v>16507.243572557469</v>
      </c>
      <c r="BC44">
        <f>modelo_tese_H__2[[#This Row],[Coluna2]]/modelo_tese_H__2[[#This Row],[Coluna1]]</f>
        <v>-2.6758523186999152</v>
      </c>
      <c r="BD44" s="8">
        <f>modelo_tese_H__2[[#This Row],[D]]-modelo_tese_H__2[[#This Row],[Dw]]-modelo_tese_H__2[[#This Row],[Dr]]</f>
        <v>4.0017766878008842E-11</v>
      </c>
    </row>
    <row r="45" spans="1:56" x14ac:dyDescent="0.25">
      <c r="A45">
        <v>44</v>
      </c>
      <c r="B45">
        <v>44</v>
      </c>
      <c r="C45">
        <v>2552.1517713468302</v>
      </c>
      <c r="D45">
        <v>1123.7428090260501</v>
      </c>
      <c r="E45">
        <v>1000.13110003319</v>
      </c>
      <c r="F45">
        <v>138.640685005628</v>
      </c>
      <c r="G45">
        <v>3772.9448001457499</v>
      </c>
      <c r="H45">
        <v>872.55766810543196</v>
      </c>
      <c r="I45">
        <v>2011.32945314425</v>
      </c>
      <c r="J45">
        <v>1571.1236207679401</v>
      </c>
      <c r="K45">
        <v>9747.4893928674192</v>
      </c>
      <c r="L45">
        <v>-887.58664411819404</v>
      </c>
      <c r="M45">
        <v>11318.6130136354</v>
      </c>
      <c r="N45">
        <v>-13817.244318748</v>
      </c>
      <c r="O45">
        <v>1905.52767684129</v>
      </c>
      <c r="P45">
        <v>1257.64826671525</v>
      </c>
      <c r="Q45">
        <v>1922.9521587721099</v>
      </c>
      <c r="R45">
        <v>961.47607938605495</v>
      </c>
      <c r="S45">
        <v>961.47607938605495</v>
      </c>
      <c r="T45">
        <v>944.05159745523497</v>
      </c>
      <c r="U45">
        <v>403.22927925264798</v>
      </c>
      <c r="V45">
        <v>7541.3255317816402</v>
      </c>
      <c r="W45">
        <v>1206.1262102594501</v>
      </c>
      <c r="X45">
        <v>0.26951915063707599</v>
      </c>
      <c r="Y45">
        <v>10887.455130688901</v>
      </c>
      <c r="Z45">
        <v>4460.9144268538603</v>
      </c>
      <c r="AA45">
        <v>0.78781881855850899</v>
      </c>
      <c r="AB45">
        <v>5680.3719645935198</v>
      </c>
      <c r="AC45">
        <v>3268.9777198595002</v>
      </c>
      <c r="AD45">
        <v>4475.1039301189403</v>
      </c>
      <c r="AE45">
        <v>-6275.9187869663101</v>
      </c>
      <c r="AF45">
        <v>-484.357364865546</v>
      </c>
      <c r="AG45">
        <v>5.5594999999999999E-2</v>
      </c>
      <c r="AH45">
        <v>-25135.857332383301</v>
      </c>
      <c r="AI45">
        <v>12002.2399586355</v>
      </c>
      <c r="AJ45">
        <v>0.06</v>
      </c>
      <c r="AK45">
        <v>0.05</v>
      </c>
      <c r="AL45">
        <v>8.8099999999999998E-2</v>
      </c>
      <c r="AM45">
        <v>3.8100000000000002E-2</v>
      </c>
      <c r="AN45">
        <v>0.89</v>
      </c>
      <c r="AO45">
        <v>0.66</v>
      </c>
      <c r="AP45">
        <v>0.42970000000000003</v>
      </c>
      <c r="AQ45">
        <v>0.57030000000000003</v>
      </c>
      <c r="AR45">
        <v>8.9999999999999993E-3</v>
      </c>
      <c r="AS45">
        <v>0.5</v>
      </c>
      <c r="AT45">
        <v>1.82</v>
      </c>
      <c r="AU45">
        <v>6.3545217126973294E-2</v>
      </c>
      <c r="AV45">
        <v>0.7893</v>
      </c>
      <c r="AW45">
        <v>3</v>
      </c>
      <c r="AX45">
        <v>0.05</v>
      </c>
      <c r="AY45">
        <v>1</v>
      </c>
      <c r="AZ45">
        <v>1</v>
      </c>
      <c r="BA45" s="2">
        <f>modelo_tese_H__2[[#This Row],[Vw]]+modelo_tese_H__2[[#This Row],[Vr]]+modelo_tese_H__2[[#This Row],[K]]-modelo_tese_H__2[[#This Row],[E]]</f>
        <v>-6707.0766699127598</v>
      </c>
      <c r="BB45" s="2">
        <f>modelo_tese_H__2[[#This Row],[K]]-modelo_tese_H__2[[#This Row],[Coluna1]]</f>
        <v>17594.531800601661</v>
      </c>
      <c r="BC45">
        <f>modelo_tese_H__2[[#This Row],[Coluna2]]/modelo_tese_H__2[[#This Row],[Coluna1]]</f>
        <v>-2.6232787645814275</v>
      </c>
      <c r="BD45" s="8">
        <f>modelo_tese_H__2[[#This Row],[D]]-modelo_tese_H__2[[#This Row],[Dw]]-modelo_tese_H__2[[#This Row],[Dr]]</f>
        <v>5.0022208597511053E-11</v>
      </c>
    </row>
    <row r="46" spans="1:56" x14ac:dyDescent="0.25">
      <c r="A46">
        <v>45</v>
      </c>
      <c r="B46">
        <v>45</v>
      </c>
      <c r="C46">
        <v>2692.22219412505</v>
      </c>
      <c r="D46">
        <v>1183.5131702736101</v>
      </c>
      <c r="E46">
        <v>1053.3267215435101</v>
      </c>
      <c r="F46">
        <v>146.463732354332</v>
      </c>
      <c r="G46">
        <v>3982.6013686301599</v>
      </c>
      <c r="H46">
        <v>921.06751166375295</v>
      </c>
      <c r="I46">
        <v>2120.8579655615999</v>
      </c>
      <c r="J46">
        <v>1657.72754317101</v>
      </c>
      <c r="K46">
        <v>10297.177558662899</v>
      </c>
      <c r="L46">
        <v>-937.34479528798897</v>
      </c>
      <c r="M46">
        <v>11954.9051018339</v>
      </c>
      <c r="N46">
        <v>-14754.5891140359</v>
      </c>
      <c r="O46">
        <v>2011.4148326415</v>
      </c>
      <c r="P46">
        <v>1327.53378954339</v>
      </c>
      <c r="Q46">
        <v>2028.4900522804401</v>
      </c>
      <c r="R46">
        <v>1014.24502614022</v>
      </c>
      <c r="S46">
        <v>1014.24502614022</v>
      </c>
      <c r="T46">
        <v>997.16980650127505</v>
      </c>
      <c r="U46">
        <v>425.805577937821</v>
      </c>
      <c r="V46">
        <v>7967.1311097194603</v>
      </c>
      <c r="W46">
        <v>1272.32049130051</v>
      </c>
      <c r="X46">
        <v>0.26951875583375301</v>
      </c>
      <c r="Y46">
        <v>11467.929921749601</v>
      </c>
      <c r="Z46">
        <v>4718.9898920141504</v>
      </c>
      <c r="AA46">
        <v>0.78913723963281801</v>
      </c>
      <c r="AB46">
        <v>5982.1182036752198</v>
      </c>
      <c r="AC46">
        <v>3448.3917551049799</v>
      </c>
      <c r="AD46">
        <v>4720.7122464054901</v>
      </c>
      <c r="AE46">
        <v>-6787.4580043164797</v>
      </c>
      <c r="AF46">
        <v>-511.53921735016797</v>
      </c>
      <c r="AG46">
        <v>5.5594999999999999E-2</v>
      </c>
      <c r="AH46">
        <v>-26709.494215869901</v>
      </c>
      <c r="AI46">
        <v>12686.1210017336</v>
      </c>
      <c r="AJ46">
        <v>0.06</v>
      </c>
      <c r="AK46">
        <v>0.05</v>
      </c>
      <c r="AL46">
        <v>8.8099999999999998E-2</v>
      </c>
      <c r="AM46">
        <v>3.8100000000000002E-2</v>
      </c>
      <c r="AN46">
        <v>0.89</v>
      </c>
      <c r="AO46">
        <v>0.66</v>
      </c>
      <c r="AP46">
        <v>0.42970000000000003</v>
      </c>
      <c r="AQ46">
        <v>0.57030000000000003</v>
      </c>
      <c r="AR46">
        <v>8.9999999999999993E-3</v>
      </c>
      <c r="AS46">
        <v>0.5</v>
      </c>
      <c r="AT46">
        <v>1.82</v>
      </c>
      <c r="AU46">
        <v>6.3545217126973294E-2</v>
      </c>
      <c r="AV46">
        <v>0.7893</v>
      </c>
      <c r="AW46">
        <v>3</v>
      </c>
      <c r="AX46">
        <v>0.05</v>
      </c>
      <c r="AY46">
        <v>1</v>
      </c>
      <c r="AZ46">
        <v>1</v>
      </c>
      <c r="BA46" s="2">
        <f>modelo_tese_H__2[[#This Row],[Vw]]+modelo_tese_H__2[[#This Row],[Vr]]+modelo_tese_H__2[[#This Row],[K]]-modelo_tese_H__2[[#This Row],[E]]</f>
        <v>-7274.4331844008511</v>
      </c>
      <c r="BB46" s="2">
        <f>modelo_tese_H__2[[#This Row],[K]]-modelo_tese_H__2[[#This Row],[Coluna1]]</f>
        <v>18742.363106150453</v>
      </c>
      <c r="BC46">
        <f>modelo_tese_H__2[[#This Row],[Coluna2]]/modelo_tese_H__2[[#This Row],[Coluna1]]</f>
        <v>-2.5764705827996606</v>
      </c>
      <c r="BD46" s="8">
        <f>modelo_tese_H__2[[#This Row],[D]]-modelo_tese_H__2[[#This Row],[Dw]]-modelo_tese_H__2[[#This Row],[Dr]]</f>
        <v>-4.0017766878008842E-11</v>
      </c>
    </row>
    <row r="47" spans="1:56" x14ac:dyDescent="0.25">
      <c r="A47">
        <v>46</v>
      </c>
      <c r="B47">
        <v>46</v>
      </c>
      <c r="C47">
        <v>2840.2197982986199</v>
      </c>
      <c r="D47">
        <v>1246.7661103109699</v>
      </c>
      <c r="E47">
        <v>1109.6218381767601</v>
      </c>
      <c r="F47">
        <v>154.71843372539701</v>
      </c>
      <c r="G47">
        <v>4203.9905126847098</v>
      </c>
      <c r="H47">
        <v>972.27425997470004</v>
      </c>
      <c r="I47">
        <v>2236.6145318768599</v>
      </c>
      <c r="J47">
        <v>1749.2865575015901</v>
      </c>
      <c r="K47">
        <v>10877.129353652599</v>
      </c>
      <c r="L47">
        <v>-989.84842156589104</v>
      </c>
      <c r="M47">
        <v>12626.415911154199</v>
      </c>
      <c r="N47">
        <v>-15744.437535601801</v>
      </c>
      <c r="O47">
        <v>2123.2275316589398</v>
      </c>
      <c r="P47">
        <v>1401.3301708949</v>
      </c>
      <c r="Q47">
        <v>2140.0007843747499</v>
      </c>
      <c r="R47">
        <v>1070.0003921873699</v>
      </c>
      <c r="S47">
        <v>1070.0003921873699</v>
      </c>
      <c r="T47">
        <v>1053.2271394715699</v>
      </c>
      <c r="U47">
        <v>449.62187304980603</v>
      </c>
      <c r="V47">
        <v>8416.7529827692706</v>
      </c>
      <c r="W47">
        <v>1342.2758799016101</v>
      </c>
      <c r="X47">
        <v>0.26952137111607499</v>
      </c>
      <c r="Y47">
        <v>12081.473704776699</v>
      </c>
      <c r="Z47">
        <v>4991.2653797283801</v>
      </c>
      <c r="AA47">
        <v>0.79037816958360696</v>
      </c>
      <c r="AB47">
        <v>6301.0603965657101</v>
      </c>
      <c r="AC47">
        <v>3637.9447027717601</v>
      </c>
      <c r="AD47">
        <v>4980.2205826733698</v>
      </c>
      <c r="AE47">
        <v>-7327.6845528325703</v>
      </c>
      <c r="AF47">
        <v>-540.22654851608502</v>
      </c>
      <c r="AG47">
        <v>5.5594999999999999E-2</v>
      </c>
      <c r="AH47">
        <v>-28370.853446755998</v>
      </c>
      <c r="AI47">
        <v>13408.0183624976</v>
      </c>
      <c r="AJ47">
        <v>0.06</v>
      </c>
      <c r="AK47">
        <v>0.05</v>
      </c>
      <c r="AL47">
        <v>8.8099999999999998E-2</v>
      </c>
      <c r="AM47">
        <v>3.8100000000000002E-2</v>
      </c>
      <c r="AN47">
        <v>0.89</v>
      </c>
      <c r="AO47">
        <v>0.66</v>
      </c>
      <c r="AP47">
        <v>0.42970000000000003</v>
      </c>
      <c r="AQ47">
        <v>0.57030000000000003</v>
      </c>
      <c r="AR47">
        <v>8.9999999999999993E-3</v>
      </c>
      <c r="AS47">
        <v>0.5</v>
      </c>
      <c r="AT47">
        <v>1.82</v>
      </c>
      <c r="AU47">
        <v>6.3545217126973294E-2</v>
      </c>
      <c r="AV47">
        <v>0.7893</v>
      </c>
      <c r="AW47">
        <v>3</v>
      </c>
      <c r="AX47">
        <v>0.05</v>
      </c>
      <c r="AY47">
        <v>1</v>
      </c>
      <c r="AZ47">
        <v>1</v>
      </c>
      <c r="BA47" s="2">
        <f>modelo_tese_H__2[[#This Row],[Vw]]+modelo_tese_H__2[[#This Row],[Vr]]+modelo_tese_H__2[[#This Row],[K]]-modelo_tese_H__2[[#This Row],[E]]</f>
        <v>-7872.6267592100794</v>
      </c>
      <c r="BB47" s="2">
        <f>modelo_tese_H__2[[#This Row],[K]]-modelo_tese_H__2[[#This Row],[Coluna1]]</f>
        <v>19954.100463986779</v>
      </c>
      <c r="BC47">
        <f>modelo_tese_H__2[[#This Row],[Coluna2]]/modelo_tese_H__2[[#This Row],[Coluna1]]</f>
        <v>-2.5346178695240122</v>
      </c>
      <c r="BD47" s="8">
        <f>modelo_tese_H__2[[#This Row],[D]]-modelo_tese_H__2[[#This Row],[Dw]]-modelo_tese_H__2[[#This Row],[Dr]]</f>
        <v>-4.0017766878008842E-11</v>
      </c>
    </row>
    <row r="48" spans="1:56" x14ac:dyDescent="0.25">
      <c r="A48">
        <v>47</v>
      </c>
      <c r="B48">
        <v>47</v>
      </c>
      <c r="C48">
        <v>2996.58921022597</v>
      </c>
      <c r="D48">
        <v>1313.6988190895599</v>
      </c>
      <c r="E48">
        <v>1169.19194898971</v>
      </c>
      <c r="F48">
        <v>163.42879803394601</v>
      </c>
      <c r="G48">
        <v>4437.7679096686297</v>
      </c>
      <c r="H48">
        <v>1026.3278474579899</v>
      </c>
      <c r="I48">
        <v>2358.9485944816502</v>
      </c>
      <c r="J48">
        <v>1846.0675376947299</v>
      </c>
      <c r="K48">
        <v>11489.038572736399</v>
      </c>
      <c r="L48">
        <v>-1045.24977539209</v>
      </c>
      <c r="M48">
        <v>13335.106110431099</v>
      </c>
      <c r="N48">
        <v>-16789.687310993901</v>
      </c>
      <c r="O48">
        <v>2241.2969240750699</v>
      </c>
      <c r="P48">
        <v>1479.25596988954</v>
      </c>
      <c r="Q48">
        <v>2257.8193646047698</v>
      </c>
      <c r="R48">
        <v>1128.9096823023799</v>
      </c>
      <c r="S48">
        <v>1128.9096823023799</v>
      </c>
      <c r="T48">
        <v>1112.38724177268</v>
      </c>
      <c r="U48">
        <v>474.74662602836099</v>
      </c>
      <c r="V48">
        <v>8891.4996087976306</v>
      </c>
      <c r="W48">
        <v>1416.2040104595501</v>
      </c>
      <c r="X48">
        <v>0.26952681549083402</v>
      </c>
      <c r="Y48">
        <v>12729.9578454524</v>
      </c>
      <c r="Z48">
        <v>5278.5597078855399</v>
      </c>
      <c r="AA48">
        <v>0.79154446219677399</v>
      </c>
      <c r="AB48">
        <v>6638.1723652619303</v>
      </c>
      <c r="AC48">
        <v>3838.2045643711899</v>
      </c>
      <c r="AD48">
        <v>5254.4085748307398</v>
      </c>
      <c r="AE48">
        <v>-7898.18770219629</v>
      </c>
      <c r="AF48">
        <v>-570.50314936372502</v>
      </c>
      <c r="AG48">
        <v>5.5594999999999999E-2</v>
      </c>
      <c r="AH48">
        <v>-30124.793421425002</v>
      </c>
      <c r="AI48">
        <v>14170.0593166832</v>
      </c>
      <c r="AJ48">
        <v>0.06</v>
      </c>
      <c r="AK48">
        <v>0.05</v>
      </c>
      <c r="AL48">
        <v>8.8099999999999998E-2</v>
      </c>
      <c r="AM48">
        <v>3.8100000000000002E-2</v>
      </c>
      <c r="AN48">
        <v>0.89</v>
      </c>
      <c r="AO48">
        <v>0.66</v>
      </c>
      <c r="AP48">
        <v>0.42970000000000003</v>
      </c>
      <c r="AQ48">
        <v>0.57030000000000003</v>
      </c>
      <c r="AR48">
        <v>8.9999999999999993E-3</v>
      </c>
      <c r="AS48">
        <v>0.5</v>
      </c>
      <c r="AT48">
        <v>1.82</v>
      </c>
      <c r="AU48">
        <v>6.3545217126973294E-2</v>
      </c>
      <c r="AV48">
        <v>0.7893</v>
      </c>
      <c r="AW48">
        <v>3</v>
      </c>
      <c r="AX48">
        <v>0.05</v>
      </c>
      <c r="AY48">
        <v>1</v>
      </c>
      <c r="AZ48">
        <v>1</v>
      </c>
      <c r="BA48" s="2">
        <f>modelo_tese_H__2[[#This Row],[Vw]]+modelo_tese_H__2[[#This Row],[Vr]]+modelo_tese_H__2[[#This Row],[K]]-modelo_tese_H__2[[#This Row],[E]]</f>
        <v>-8503.3359671749422</v>
      </c>
      <c r="BB48" s="2">
        <f>modelo_tese_H__2[[#This Row],[K]]-modelo_tese_H__2[[#This Row],[Coluna1]]</f>
        <v>21233.293812627344</v>
      </c>
      <c r="BC48">
        <f>modelo_tese_H__2[[#This Row],[Coluna2]]/modelo_tese_H__2[[#This Row],[Coluna1]]</f>
        <v>-2.4970545553643069</v>
      </c>
      <c r="BD48" s="8">
        <f>modelo_tese_H__2[[#This Row],[D]]-modelo_tese_H__2[[#This Row],[Dw]]-modelo_tese_H__2[[#This Row],[Dr]]</f>
        <v>-2.0008883439004421E-11</v>
      </c>
    </row>
    <row r="49" spans="1:56" x14ac:dyDescent="0.25">
      <c r="A49">
        <v>48</v>
      </c>
      <c r="B49">
        <v>48</v>
      </c>
      <c r="C49">
        <v>3161.79996372807</v>
      </c>
      <c r="D49">
        <v>1384.51964964186</v>
      </c>
      <c r="E49">
        <v>1232.2224881812599</v>
      </c>
      <c r="F49">
        <v>172.620166259516</v>
      </c>
      <c r="G49">
        <v>4684.6258133715701</v>
      </c>
      <c r="H49">
        <v>1083.3865441374201</v>
      </c>
      <c r="I49">
        <v>2488.2291985781899</v>
      </c>
      <c r="J49">
        <v>1948.35253076808</v>
      </c>
      <c r="K49">
        <v>12134.6927472526</v>
      </c>
      <c r="L49">
        <v>-1103.7095489363301</v>
      </c>
      <c r="M49">
        <v>14083.0452780206</v>
      </c>
      <c r="N49">
        <v>-17893.396859930199</v>
      </c>
      <c r="O49">
        <v>2365.9726330159501</v>
      </c>
      <c r="P49">
        <v>1561.54193779052</v>
      </c>
      <c r="Q49">
        <v>2382.2995693739299</v>
      </c>
      <c r="R49">
        <v>1191.1497846869599</v>
      </c>
      <c r="S49">
        <v>1191.1497846869599</v>
      </c>
      <c r="T49">
        <v>1174.8228483289799</v>
      </c>
      <c r="U49">
        <v>501.25208317910898</v>
      </c>
      <c r="V49">
        <v>9392.7516919767295</v>
      </c>
      <c r="W49">
        <v>1494.32839673327</v>
      </c>
      <c r="X49">
        <v>0.26953491505899901</v>
      </c>
      <c r="Y49">
        <v>13415.3583068792</v>
      </c>
      <c r="Z49">
        <v>5581.7383199318601</v>
      </c>
      <c r="AA49">
        <v>0.79263900735148296</v>
      </c>
      <c r="AB49">
        <v>6994.4823326661599</v>
      </c>
      <c r="AC49">
        <v>4049.7711363687199</v>
      </c>
      <c r="AD49">
        <v>5544.0995331019903</v>
      </c>
      <c r="AE49">
        <v>-8500.6451679535094</v>
      </c>
      <c r="AF49">
        <v>-602.45746575722205</v>
      </c>
      <c r="AG49">
        <v>5.5594999999999999E-2</v>
      </c>
      <c r="AH49">
        <v>-31976.4421379509</v>
      </c>
      <c r="AI49">
        <v>14974.4900119086</v>
      </c>
      <c r="AJ49">
        <v>0.06</v>
      </c>
      <c r="AK49">
        <v>0.05</v>
      </c>
      <c r="AL49">
        <v>8.8099999999999998E-2</v>
      </c>
      <c r="AM49">
        <v>3.8100000000000002E-2</v>
      </c>
      <c r="AN49">
        <v>0.89</v>
      </c>
      <c r="AO49">
        <v>0.66</v>
      </c>
      <c r="AP49">
        <v>0.42970000000000003</v>
      </c>
      <c r="AQ49">
        <v>0.57030000000000003</v>
      </c>
      <c r="AR49">
        <v>8.9999999999999993E-3</v>
      </c>
      <c r="AS49">
        <v>0.5</v>
      </c>
      <c r="AT49">
        <v>1.82</v>
      </c>
      <c r="AU49">
        <v>6.3545217126973294E-2</v>
      </c>
      <c r="AV49">
        <v>0.7893</v>
      </c>
      <c r="AW49">
        <v>3</v>
      </c>
      <c r="AX49">
        <v>0.05</v>
      </c>
      <c r="AY49">
        <v>1</v>
      </c>
      <c r="AZ49">
        <v>1</v>
      </c>
      <c r="BA49" s="2">
        <f>modelo_tese_H__2[[#This Row],[Vw]]+modelo_tese_H__2[[#This Row],[Vr]]+modelo_tese_H__2[[#This Row],[K]]-modelo_tese_H__2[[#This Row],[E]]</f>
        <v>-9168.3321390949604</v>
      </c>
      <c r="BB49" s="2">
        <f>modelo_tese_H__2[[#This Row],[K]]-modelo_tese_H__2[[#This Row],[Coluna1]]</f>
        <v>22583.69044597416</v>
      </c>
      <c r="BC49">
        <f>modelo_tese_H__2[[#This Row],[Coluna2]]/modelo_tese_H__2[[#This Row],[Coluna1]]</f>
        <v>-2.4632277826928157</v>
      </c>
      <c r="BD49" s="8">
        <f>modelo_tese_H__2[[#This Row],[D]]-modelo_tese_H__2[[#This Row],[Dw]]-modelo_tese_H__2[[#This Row],[Dr]]</f>
        <v>-4.0017766878008842E-11</v>
      </c>
    </row>
    <row r="50" spans="1:56" x14ac:dyDescent="0.25">
      <c r="A50">
        <v>49</v>
      </c>
      <c r="B50">
        <v>49</v>
      </c>
      <c r="C50">
        <v>3336.3478938165999</v>
      </c>
      <c r="D50">
        <v>1459.4487475881101</v>
      </c>
      <c r="E50">
        <v>1298.90938535342</v>
      </c>
      <c r="F50">
        <v>182.31928544976901</v>
      </c>
      <c r="G50">
        <v>4945.2950943488004</v>
      </c>
      <c r="H50">
        <v>1143.6174190587401</v>
      </c>
      <c r="I50">
        <v>2624.8460898619301</v>
      </c>
      <c r="J50">
        <v>2056.4395847955798</v>
      </c>
      <c r="K50">
        <v>12815.978372641001</v>
      </c>
      <c r="L50">
        <v>-1165.39734227382</v>
      </c>
      <c r="M50">
        <v>14872.417957436601</v>
      </c>
      <c r="N50">
        <v>-19058.794202204099</v>
      </c>
      <c r="O50">
        <v>2497.6237850246498</v>
      </c>
      <c r="P50">
        <v>1648.4316981162699</v>
      </c>
      <c r="Q50">
        <v>2513.8149920620599</v>
      </c>
      <c r="R50">
        <v>1256.90749603103</v>
      </c>
      <c r="S50">
        <v>1256.90749603103</v>
      </c>
      <c r="T50">
        <v>1240.7162889936201</v>
      </c>
      <c r="U50">
        <v>529.21448503894203</v>
      </c>
      <c r="V50">
        <v>9921.9661770156799</v>
      </c>
      <c r="W50">
        <v>1576.8850979004701</v>
      </c>
      <c r="X50">
        <v>0.269545503033226</v>
      </c>
      <c r="Y50">
        <v>14139.761548332899</v>
      </c>
      <c r="Z50">
        <v>5901.7159218012903</v>
      </c>
      <c r="AA50">
        <v>0.79366470941289702</v>
      </c>
      <c r="AB50">
        <v>7371.0759927907702</v>
      </c>
      <c r="AC50">
        <v>4273.2777879781897</v>
      </c>
      <c r="AD50">
        <v>5850.1628858786598</v>
      </c>
      <c r="AE50">
        <v>-9136.8280251883898</v>
      </c>
      <c r="AF50">
        <v>-636.18285723487497</v>
      </c>
      <c r="AG50">
        <v>5.5594999999999999E-2</v>
      </c>
      <c r="AH50">
        <v>-33931.2121596406</v>
      </c>
      <c r="AI50">
        <v>15823.682098817</v>
      </c>
      <c r="AJ50">
        <v>0.06</v>
      </c>
      <c r="AK50">
        <v>0.05</v>
      </c>
      <c r="AL50">
        <v>8.8099999999999998E-2</v>
      </c>
      <c r="AM50">
        <v>3.8100000000000002E-2</v>
      </c>
      <c r="AN50">
        <v>0.89</v>
      </c>
      <c r="AO50">
        <v>0.66</v>
      </c>
      <c r="AP50">
        <v>0.42970000000000003</v>
      </c>
      <c r="AQ50">
        <v>0.57030000000000003</v>
      </c>
      <c r="AR50">
        <v>8.9999999999999993E-3</v>
      </c>
      <c r="AS50">
        <v>0.5</v>
      </c>
      <c r="AT50">
        <v>1.82</v>
      </c>
      <c r="AU50">
        <v>6.3545217126973294E-2</v>
      </c>
      <c r="AV50">
        <v>0.7893</v>
      </c>
      <c r="AW50">
        <v>3</v>
      </c>
      <c r="AX50">
        <v>0.05</v>
      </c>
      <c r="AY50">
        <v>1</v>
      </c>
      <c r="AZ50">
        <v>1</v>
      </c>
      <c r="BA50" s="2">
        <f>modelo_tese_H__2[[#This Row],[Vw]]+modelo_tese_H__2[[#This Row],[Vr]]+modelo_tese_H__2[[#This Row],[K]]-modelo_tese_H__2[[#This Row],[E]]</f>
        <v>-9869.4844342919896</v>
      </c>
      <c r="BB50" s="2">
        <f>modelo_tese_H__2[[#This Row],[K]]-modelo_tese_H__2[[#This Row],[Coluna1]]</f>
        <v>24009.245982624889</v>
      </c>
      <c r="BC50">
        <f>modelo_tese_H__2[[#This Row],[Coluna2]]/modelo_tese_H__2[[#This Row],[Coluna1]]</f>
        <v>-2.4326747909144708</v>
      </c>
      <c r="BD50" s="8">
        <f>modelo_tese_H__2[[#This Row],[D]]-modelo_tese_H__2[[#This Row],[Dw]]-modelo_tese_H__2[[#This Row],[Dr]]</f>
        <v>2.9103830456733704E-11</v>
      </c>
    </row>
    <row r="51" spans="1:56" x14ac:dyDescent="0.25">
      <c r="A51">
        <v>50</v>
      </c>
      <c r="B51">
        <v>50</v>
      </c>
      <c r="C51">
        <v>3520.7566085703602</v>
      </c>
      <c r="D51">
        <v>1538.71871631565</v>
      </c>
      <c r="E51">
        <v>1369.45965752092</v>
      </c>
      <c r="F51">
        <v>192.554386832403</v>
      </c>
      <c r="G51">
        <v>5220.5473941689797</v>
      </c>
      <c r="H51">
        <v>1207.1968294713099</v>
      </c>
      <c r="I51">
        <v>2769.2108738246402</v>
      </c>
      <c r="J51">
        <v>2170.6436234472699</v>
      </c>
      <c r="K51">
        <v>13534.886426114699</v>
      </c>
      <c r="L51">
        <v>-1230.49215750899</v>
      </c>
      <c r="M51">
        <v>15705.530049561899</v>
      </c>
      <c r="N51">
        <v>-20289.2863597131</v>
      </c>
      <c r="O51">
        <v>2636.6400980651401</v>
      </c>
      <c r="P51">
        <v>1740.1824647229901</v>
      </c>
      <c r="Q51">
        <v>2652.76015202996</v>
      </c>
      <c r="R51">
        <v>1326.38007601498</v>
      </c>
      <c r="S51">
        <v>1326.38007601498</v>
      </c>
      <c r="T51">
        <v>1310.2600220501599</v>
      </c>
      <c r="U51">
        <v>558.71428730443597</v>
      </c>
      <c r="V51">
        <v>10480.680464320099</v>
      </c>
      <c r="W51">
        <v>1664.1234220526901</v>
      </c>
      <c r="X51">
        <v>0.26955841971195699</v>
      </c>
      <c r="Y51">
        <v>14905.3707526731</v>
      </c>
      <c r="Z51">
        <v>6239.45926783901</v>
      </c>
      <c r="AA51">
        <v>0.79462446844567303</v>
      </c>
      <c r="AB51">
        <v>7769.0997518312497</v>
      </c>
      <c r="AC51">
        <v>4509.3933385476303</v>
      </c>
      <c r="AD51">
        <v>6173.5167606003197</v>
      </c>
      <c r="AE51">
        <v>-9808.6058953929405</v>
      </c>
      <c r="AF51">
        <v>-671.77787020455605</v>
      </c>
      <c r="AG51">
        <v>5.5594999999999999E-2</v>
      </c>
      <c r="AH51">
        <v>-35994.816409275001</v>
      </c>
      <c r="AI51">
        <v>16720.139732159099</v>
      </c>
      <c r="AJ51">
        <v>0.06</v>
      </c>
      <c r="AK51">
        <v>0.05</v>
      </c>
      <c r="AL51">
        <v>8.8099999999999998E-2</v>
      </c>
      <c r="AM51">
        <v>3.8100000000000002E-2</v>
      </c>
      <c r="AN51">
        <v>0.89</v>
      </c>
      <c r="AO51">
        <v>0.66</v>
      </c>
      <c r="AP51">
        <v>0.42970000000000003</v>
      </c>
      <c r="AQ51">
        <v>0.57030000000000003</v>
      </c>
      <c r="AR51">
        <v>8.9999999999999993E-3</v>
      </c>
      <c r="AS51">
        <v>0.5</v>
      </c>
      <c r="AT51">
        <v>1.82</v>
      </c>
      <c r="AU51">
        <v>6.3545217126973294E-2</v>
      </c>
      <c r="AV51">
        <v>0.7893</v>
      </c>
      <c r="AW51">
        <v>3</v>
      </c>
      <c r="AX51">
        <v>0.05</v>
      </c>
      <c r="AY51">
        <v>1</v>
      </c>
      <c r="AZ51">
        <v>1</v>
      </c>
      <c r="BA51" s="2">
        <f>modelo_tese_H__2[[#This Row],[Vw]]+modelo_tese_H__2[[#This Row],[Vr]]+modelo_tese_H__2[[#This Row],[K]]-modelo_tese_H__2[[#This Row],[E]]</f>
        <v>-10608.765192281811</v>
      </c>
      <c r="BB51" s="2">
        <f>modelo_tese_H__2[[#This Row],[K]]-modelo_tese_H__2[[#This Row],[Coluna1]]</f>
        <v>25514.135944954913</v>
      </c>
      <c r="BC51">
        <f>modelo_tese_H__2[[#This Row],[Coluna2]]/modelo_tese_H__2[[#This Row],[Coluna1]]</f>
        <v>-2.4050052463709157</v>
      </c>
      <c r="BD51" s="8">
        <f>modelo_tese_H__2[[#This Row],[D]]-modelo_tese_H__2[[#This Row],[Dw]]-modelo_tese_H__2[[#This Row],[Dr]]</f>
        <v>6.0026650317013264E-11</v>
      </c>
    </row>
    <row r="52" spans="1:56" x14ac:dyDescent="0.25">
      <c r="A52">
        <v>51</v>
      </c>
      <c r="B52">
        <v>51</v>
      </c>
      <c r="C52">
        <v>3715.5790431016699</v>
      </c>
      <c r="D52">
        <v>1622.5753194112499</v>
      </c>
      <c r="E52">
        <v>1444.0920342760201</v>
      </c>
      <c r="F52">
        <v>203.35526826652</v>
      </c>
      <c r="G52">
        <v>5511.1973996064198</v>
      </c>
      <c r="H52">
        <v>1274.31093720577</v>
      </c>
      <c r="I52">
        <v>2921.7582397483002</v>
      </c>
      <c r="J52">
        <v>2291.2973696604499</v>
      </c>
      <c r="K52">
        <v>14293.5181904855</v>
      </c>
      <c r="L52">
        <v>-1299.1829203370501</v>
      </c>
      <c r="M52">
        <v>16584.8155601459</v>
      </c>
      <c r="N52">
        <v>-21588.4692800501</v>
      </c>
      <c r="O52">
        <v>2783.4330301042501</v>
      </c>
      <c r="P52">
        <v>1837.06579986881</v>
      </c>
      <c r="Q52">
        <v>2799.5516654756898</v>
      </c>
      <c r="R52">
        <v>1399.7758327378499</v>
      </c>
      <c r="S52">
        <v>1399.7758327378499</v>
      </c>
      <c r="T52">
        <v>1383.6571973664099</v>
      </c>
      <c r="U52">
        <v>589.83639401304197</v>
      </c>
      <c r="V52">
        <v>11070.5168583332</v>
      </c>
      <c r="W52">
        <v>1756.3066689602499</v>
      </c>
      <c r="X52">
        <v>0.26957351241595701</v>
      </c>
      <c r="Y52">
        <v>15714.512400796701</v>
      </c>
      <c r="Z52">
        <v>6595.9901040614104</v>
      </c>
      <c r="AA52">
        <v>0.79552116390558503</v>
      </c>
      <c r="AB52">
        <v>8189.7641498204002</v>
      </c>
      <c r="AC52">
        <v>4758.8240396171104</v>
      </c>
      <c r="AD52">
        <v>6515.1307085773597</v>
      </c>
      <c r="AE52">
        <v>-10517.952421717</v>
      </c>
      <c r="AF52">
        <v>-709.34652632400798</v>
      </c>
      <c r="AG52">
        <v>5.5594999999999999E-2</v>
      </c>
      <c r="AH52">
        <v>-38173.284840196</v>
      </c>
      <c r="AI52">
        <v>17666.5069623946</v>
      </c>
      <c r="AJ52">
        <v>0.06</v>
      </c>
      <c r="AK52">
        <v>0.05</v>
      </c>
      <c r="AL52">
        <v>8.8099999999999998E-2</v>
      </c>
      <c r="AM52">
        <v>3.8100000000000002E-2</v>
      </c>
      <c r="AN52">
        <v>0.89</v>
      </c>
      <c r="AO52">
        <v>0.66</v>
      </c>
      <c r="AP52">
        <v>0.42970000000000003</v>
      </c>
      <c r="AQ52">
        <v>0.57030000000000003</v>
      </c>
      <c r="AR52">
        <v>8.9999999999999993E-3</v>
      </c>
      <c r="AS52">
        <v>0.5</v>
      </c>
      <c r="AT52">
        <v>1.82</v>
      </c>
      <c r="AU52">
        <v>6.3545217126973294E-2</v>
      </c>
      <c r="AV52">
        <v>0.7893</v>
      </c>
      <c r="AW52">
        <v>3</v>
      </c>
      <c r="AX52">
        <v>0.05</v>
      </c>
      <c r="AY52">
        <v>1</v>
      </c>
      <c r="AZ52">
        <v>1</v>
      </c>
      <c r="BA52" s="2">
        <f>modelo_tese_H__2[[#This Row],[Vw]]+modelo_tese_H__2[[#This Row],[Vr]]+modelo_tese_H__2[[#This Row],[K]]-modelo_tese_H__2[[#This Row],[E]]</f>
        <v>-11388.255581066111</v>
      </c>
      <c r="BB52" s="2">
        <f>modelo_tese_H__2[[#This Row],[K]]-modelo_tese_H__2[[#This Row],[Coluna1]]</f>
        <v>27102.767981862809</v>
      </c>
      <c r="BC52">
        <f>modelo_tese_H__2[[#This Row],[Coluna2]]/modelo_tese_H__2[[#This Row],[Coluna1]]</f>
        <v>-2.3798875770687249</v>
      </c>
      <c r="BD52" s="8">
        <f>modelo_tese_H__2[[#This Row],[D]]-modelo_tese_H__2[[#This Row],[Dw]]-modelo_tese_H__2[[#This Row],[Dr]]</f>
        <v>-1.0004441719502211E-10</v>
      </c>
    </row>
    <row r="53" spans="1:56" x14ac:dyDescent="0.25">
      <c r="A53">
        <v>52</v>
      </c>
      <c r="B53">
        <v>52</v>
      </c>
      <c r="C53">
        <v>3921.3991004822301</v>
      </c>
      <c r="D53">
        <v>1711.2782227233499</v>
      </c>
      <c r="E53">
        <v>1523.0376182237801</v>
      </c>
      <c r="F53">
        <v>214.75338127252701</v>
      </c>
      <c r="G53">
        <v>5818.1052436743203</v>
      </c>
      <c r="H53">
        <v>1345.1562537597199</v>
      </c>
      <c r="I53">
        <v>3082.9472532560299</v>
      </c>
      <c r="J53">
        <v>2418.7523211489201</v>
      </c>
      <c r="K53">
        <v>15094.091401187699</v>
      </c>
      <c r="L53">
        <v>-1371.6690305326799</v>
      </c>
      <c r="M53">
        <v>17512.843722336602</v>
      </c>
      <c r="N53">
        <v>-22960.138310582799</v>
      </c>
      <c r="O53">
        <v>2938.4369917547001</v>
      </c>
      <c r="P53">
        <v>1939.3684145581101</v>
      </c>
      <c r="Q53">
        <v>2954.6294818116999</v>
      </c>
      <c r="R53">
        <v>1477.3147409058499</v>
      </c>
      <c r="S53">
        <v>1477.3147409058499</v>
      </c>
      <c r="T53">
        <v>1461.1222508488499</v>
      </c>
      <c r="U53">
        <v>622.670403622658</v>
      </c>
      <c r="V53">
        <v>11693.1872619558</v>
      </c>
      <c r="W53">
        <v>1853.71291447979</v>
      </c>
      <c r="X53">
        <v>0.26959063539282002</v>
      </c>
      <c r="Y53">
        <v>16569.6432127234</v>
      </c>
      <c r="Z53">
        <v>6972.3882776353503</v>
      </c>
      <c r="AA53">
        <v>0.79635764066980896</v>
      </c>
      <c r="AB53">
        <v>8634.3474729652407</v>
      </c>
      <c r="AC53">
        <v>5022.3156678141304</v>
      </c>
      <c r="AD53">
        <v>6876.0285822939204</v>
      </c>
      <c r="AE53">
        <v>-11266.951048626999</v>
      </c>
      <c r="AF53">
        <v>-748.99862691002397</v>
      </c>
      <c r="AG53">
        <v>5.5594999999999999E-2</v>
      </c>
      <c r="AH53">
        <v>-40472.982032919397</v>
      </c>
      <c r="AI53">
        <v>18665.575539591198</v>
      </c>
      <c r="AJ53">
        <v>0.06</v>
      </c>
      <c r="AK53">
        <v>0.05</v>
      </c>
      <c r="AL53">
        <v>8.8099999999999998E-2</v>
      </c>
      <c r="AM53">
        <v>3.8100000000000002E-2</v>
      </c>
      <c r="AN53">
        <v>0.89</v>
      </c>
      <c r="AO53">
        <v>0.66</v>
      </c>
      <c r="AP53">
        <v>0.42970000000000003</v>
      </c>
      <c r="AQ53">
        <v>0.57030000000000003</v>
      </c>
      <c r="AR53">
        <v>8.9999999999999993E-3</v>
      </c>
      <c r="AS53">
        <v>0.5</v>
      </c>
      <c r="AT53">
        <v>1.82</v>
      </c>
      <c r="AU53">
        <v>6.3545217126973294E-2</v>
      </c>
      <c r="AV53">
        <v>0.7893</v>
      </c>
      <c r="AW53">
        <v>3</v>
      </c>
      <c r="AX53">
        <v>0.05</v>
      </c>
      <c r="AY53">
        <v>1</v>
      </c>
      <c r="AZ53">
        <v>1</v>
      </c>
      <c r="BA53" s="2">
        <f>modelo_tese_H__2[[#This Row],[Vw]]+modelo_tese_H__2[[#This Row],[Vr]]+modelo_tese_H__2[[#This Row],[K]]-modelo_tese_H__2[[#This Row],[E]]</f>
        <v>-12210.151558240148</v>
      </c>
      <c r="BB53" s="2">
        <f>modelo_tese_H__2[[#This Row],[K]]-modelo_tese_H__2[[#This Row],[Coluna1]]</f>
        <v>28779.794770963548</v>
      </c>
      <c r="BC53">
        <f>modelo_tese_H__2[[#This Row],[Coluna2]]/modelo_tese_H__2[[#This Row],[Coluna1]]</f>
        <v>-2.357038291759876</v>
      </c>
      <c r="BD53" s="8">
        <f>modelo_tese_H__2[[#This Row],[D]]-modelo_tese_H__2[[#This Row],[Dw]]-modelo_tese_H__2[[#This Row],[Dr]]</f>
        <v>0</v>
      </c>
    </row>
    <row r="54" spans="1:56" x14ac:dyDescent="0.25">
      <c r="A54">
        <v>53</v>
      </c>
      <c r="B54">
        <v>53</v>
      </c>
      <c r="C54">
        <v>4138.8333843726896</v>
      </c>
      <c r="D54">
        <v>1805.1017781672299</v>
      </c>
      <c r="E54">
        <v>1606.5405825688299</v>
      </c>
      <c r="F54">
        <v>226.78192289569799</v>
      </c>
      <c r="G54">
        <v>6142.1790404827798</v>
      </c>
      <c r="H54">
        <v>1419.9402156874901</v>
      </c>
      <c r="I54">
        <v>3253.2627211520198</v>
      </c>
      <c r="J54">
        <v>2553.3797806088401</v>
      </c>
      <c r="K54">
        <v>15938.9467344899</v>
      </c>
      <c r="L54">
        <v>-1448.1609429847999</v>
      </c>
      <c r="M54">
        <v>18492.326515098801</v>
      </c>
      <c r="N54">
        <v>-24408.299253567598</v>
      </c>
      <c r="O54">
        <v>3102.11062650645</v>
      </c>
      <c r="P54">
        <v>2047.39301349426</v>
      </c>
      <c r="Q54">
        <v>3118.4581891372</v>
      </c>
      <c r="R54">
        <v>1559.2290945686</v>
      </c>
      <c r="S54">
        <v>1559.2290945686</v>
      </c>
      <c r="T54">
        <v>1542.88153193785</v>
      </c>
      <c r="U54">
        <v>657.31086871718605</v>
      </c>
      <c r="V54">
        <v>12350.498130673001</v>
      </c>
      <c r="W54">
        <v>1956.6358388636099</v>
      </c>
      <c r="X54">
        <v>0.26960964969433199</v>
      </c>
      <c r="Y54">
        <v>17473.357475918001</v>
      </c>
      <c r="Z54">
        <v>7369.7950219303602</v>
      </c>
      <c r="AA54">
        <v>0.79713669716471203</v>
      </c>
      <c r="AB54">
        <v>9104.1995674304308</v>
      </c>
      <c r="AC54">
        <v>5300.6557346462796</v>
      </c>
      <c r="AD54">
        <v>7257.2915735098904</v>
      </c>
      <c r="AE54">
        <v>-12057.8011228946</v>
      </c>
      <c r="AF54">
        <v>-790.85007426761103</v>
      </c>
      <c r="AG54">
        <v>5.5594999999999999E-2</v>
      </c>
      <c r="AH54">
        <v>-42900.625768666403</v>
      </c>
      <c r="AI54">
        <v>19720.293152603401</v>
      </c>
      <c r="AJ54">
        <v>0.06</v>
      </c>
      <c r="AK54">
        <v>0.05</v>
      </c>
      <c r="AL54">
        <v>8.8099999999999998E-2</v>
      </c>
      <c r="AM54">
        <v>3.8100000000000002E-2</v>
      </c>
      <c r="AN54">
        <v>0.89</v>
      </c>
      <c r="AO54">
        <v>0.66</v>
      </c>
      <c r="AP54">
        <v>0.42970000000000003</v>
      </c>
      <c r="AQ54">
        <v>0.57030000000000003</v>
      </c>
      <c r="AR54">
        <v>8.9999999999999993E-3</v>
      </c>
      <c r="AS54">
        <v>0.5</v>
      </c>
      <c r="AT54">
        <v>1.82</v>
      </c>
      <c r="AU54">
        <v>6.3545217126973294E-2</v>
      </c>
      <c r="AV54">
        <v>0.7893</v>
      </c>
      <c r="AW54">
        <v>3</v>
      </c>
      <c r="AX54">
        <v>0.05</v>
      </c>
      <c r="AY54">
        <v>1</v>
      </c>
      <c r="AZ54">
        <v>1</v>
      </c>
      <c r="BA54" s="2">
        <f>modelo_tese_H__2[[#This Row],[Vw]]+modelo_tese_H__2[[#This Row],[Vr]]+modelo_tese_H__2[[#This Row],[K]]-modelo_tese_H__2[[#This Row],[E]]</f>
        <v>-13076.770162075361</v>
      </c>
      <c r="BB54" s="2">
        <f>modelo_tese_H__2[[#This Row],[K]]-modelo_tese_H__2[[#This Row],[Coluna1]]</f>
        <v>30550.127637993362</v>
      </c>
      <c r="BC54">
        <f>modelo_tese_H__2[[#This Row],[Coluna2]]/modelo_tese_H__2[[#This Row],[Coluna1]]</f>
        <v>-2.3362135496266054</v>
      </c>
      <c r="BD54" s="8">
        <f>modelo_tese_H__2[[#This Row],[D]]-modelo_tese_H__2[[#This Row],[Dw]]-modelo_tese_H__2[[#This Row],[Dr]]</f>
        <v>0</v>
      </c>
    </row>
    <row r="55" spans="1:56" x14ac:dyDescent="0.25">
      <c r="A55">
        <v>54</v>
      </c>
      <c r="B55">
        <v>54</v>
      </c>
      <c r="C55">
        <v>4368.5330284883103</v>
      </c>
      <c r="D55">
        <v>1904.3358516283799</v>
      </c>
      <c r="E55">
        <v>1694.8589079492599</v>
      </c>
      <c r="F55">
        <v>239.475932671892</v>
      </c>
      <c r="G55">
        <v>6484.3775613871003</v>
      </c>
      <c r="H55">
        <v>1498.88179197864</v>
      </c>
      <c r="I55">
        <v>3433.21663259979</v>
      </c>
      <c r="J55">
        <v>2695.5719436395302</v>
      </c>
      <c r="K55">
        <v>16830.554655884502</v>
      </c>
      <c r="L55">
        <v>-1528.8807809714101</v>
      </c>
      <c r="M55">
        <v>19526.126599523999</v>
      </c>
      <c r="N55">
        <v>-25937.180034539</v>
      </c>
      <c r="O55">
        <v>3274.9381623167201</v>
      </c>
      <c r="P55">
        <v>2161.4591871290299</v>
      </c>
      <c r="Q55">
        <v>3291.5283926730299</v>
      </c>
      <c r="R55">
        <v>1645.7641963365099</v>
      </c>
      <c r="S55">
        <v>1645.7641963365099</v>
      </c>
      <c r="T55">
        <v>1629.1739659801999</v>
      </c>
      <c r="U55">
        <v>693.85757009167901</v>
      </c>
      <c r="V55">
        <v>13044.3557007647</v>
      </c>
      <c r="W55">
        <v>2065.3856014325202</v>
      </c>
      <c r="X55">
        <v>0.26963042303117801</v>
      </c>
      <c r="Y55">
        <v>18428.394782606101</v>
      </c>
      <c r="Z55">
        <v>7789.41642702636</v>
      </c>
      <c r="AA55">
        <v>0.79786107539594098</v>
      </c>
      <c r="AB55">
        <v>9600.74586588901</v>
      </c>
      <c r="AC55">
        <v>5594.67581972882</v>
      </c>
      <c r="AD55">
        <v>7660.0614211613401</v>
      </c>
      <c r="AE55">
        <v>-12892.824333774301</v>
      </c>
      <c r="AF55">
        <v>-835.02321087973201</v>
      </c>
      <c r="AG55">
        <v>5.5594999999999999E-2</v>
      </c>
      <c r="AH55">
        <v>-45463.306634063003</v>
      </c>
      <c r="AI55">
        <v>20833.772127790999</v>
      </c>
      <c r="AJ55">
        <v>0.06</v>
      </c>
      <c r="AK55">
        <v>0.05</v>
      </c>
      <c r="AL55">
        <v>8.8099999999999998E-2</v>
      </c>
      <c r="AM55">
        <v>3.8100000000000002E-2</v>
      </c>
      <c r="AN55">
        <v>0.89</v>
      </c>
      <c r="AO55">
        <v>0.66</v>
      </c>
      <c r="AP55">
        <v>0.42970000000000003</v>
      </c>
      <c r="AQ55">
        <v>0.57030000000000003</v>
      </c>
      <c r="AR55">
        <v>8.9999999999999993E-3</v>
      </c>
      <c r="AS55">
        <v>0.5</v>
      </c>
      <c r="AT55">
        <v>1.82</v>
      </c>
      <c r="AU55">
        <v>6.3545217126973294E-2</v>
      </c>
      <c r="AV55">
        <v>0.7893</v>
      </c>
      <c r="AW55">
        <v>3</v>
      </c>
      <c r="AX55">
        <v>0.05</v>
      </c>
      <c r="AY55">
        <v>1</v>
      </c>
      <c r="AZ55">
        <v>1</v>
      </c>
      <c r="BA55" s="2">
        <f>modelo_tese_H__2[[#This Row],[Vw]]+modelo_tese_H__2[[#This Row],[Vr]]+modelo_tese_H__2[[#This Row],[K]]-modelo_tese_H__2[[#This Row],[E]]</f>
        <v>-13990.556150692264</v>
      </c>
      <c r="BB55" s="2">
        <f>modelo_tese_H__2[[#This Row],[K]]-modelo_tese_H__2[[#This Row],[Coluna1]]</f>
        <v>32418.950933298365</v>
      </c>
      <c r="BC55">
        <f>modelo_tese_H__2[[#This Row],[Coluna2]]/modelo_tese_H__2[[#This Row],[Coluna1]]</f>
        <v>-2.3172024460009939</v>
      </c>
      <c r="BD55" s="8">
        <f>modelo_tese_H__2[[#This Row],[D]]-modelo_tese_H__2[[#This Row],[Dw]]-modelo_tese_H__2[[#This Row],[Dr]]</f>
        <v>0</v>
      </c>
    </row>
    <row r="56" spans="1:56" x14ac:dyDescent="0.25">
      <c r="A56">
        <v>55</v>
      </c>
      <c r="B56">
        <v>55</v>
      </c>
      <c r="C56">
        <v>4611.1856283030402</v>
      </c>
      <c r="D56">
        <v>2009.2866974344299</v>
      </c>
      <c r="E56">
        <v>1788.2651607166399</v>
      </c>
      <c r="F56">
        <v>252.87239497891099</v>
      </c>
      <c r="G56">
        <v>6845.71306029487</v>
      </c>
      <c r="H56">
        <v>1582.21212520369</v>
      </c>
      <c r="I56">
        <v>3623.34968089925</v>
      </c>
      <c r="J56">
        <v>2845.7430475657802</v>
      </c>
      <c r="K56">
        <v>17771.522648699</v>
      </c>
      <c r="L56">
        <v>-1614.06298346482</v>
      </c>
      <c r="M56">
        <v>20617.2656962648</v>
      </c>
      <c r="N56">
        <v>-27551.243018003799</v>
      </c>
      <c r="O56">
        <v>3457.4308385327599</v>
      </c>
      <c r="P56">
        <v>2281.9043534316202</v>
      </c>
      <c r="Q56">
        <v>3474.35817022939</v>
      </c>
      <c r="R56">
        <v>1737.17908511469</v>
      </c>
      <c r="S56">
        <v>1737.17908511469</v>
      </c>
      <c r="T56">
        <v>1720.2517534180699</v>
      </c>
      <c r="U56">
        <v>732.41580601427199</v>
      </c>
      <c r="V56">
        <v>13776.771506779</v>
      </c>
      <c r="W56">
        <v>2180.28976420156</v>
      </c>
      <c r="X56">
        <v>0.26965282960897702</v>
      </c>
      <c r="Y56">
        <v>19437.648199045401</v>
      </c>
      <c r="Z56">
        <v>8232.5271061132298</v>
      </c>
      <c r="AA56">
        <v>0.79853345269218201</v>
      </c>
      <c r="AB56">
        <v>10125.4916387946</v>
      </c>
      <c r="AC56">
        <v>5905.2540343308701</v>
      </c>
      <c r="AD56">
        <v>8085.5437985324297</v>
      </c>
      <c r="AE56">
        <v>-13774.4715112249</v>
      </c>
      <c r="AF56">
        <v>-881.64717745054497</v>
      </c>
      <c r="AG56">
        <v>5.5594999999999999E-2</v>
      </c>
      <c r="AH56">
        <v>-48168.508714268602</v>
      </c>
      <c r="AI56">
        <v>22009.298612892198</v>
      </c>
      <c r="AJ56">
        <v>0.06</v>
      </c>
      <c r="AK56">
        <v>0.05</v>
      </c>
      <c r="AL56">
        <v>8.8099999999999998E-2</v>
      </c>
      <c r="AM56">
        <v>3.8100000000000002E-2</v>
      </c>
      <c r="AN56">
        <v>0.89</v>
      </c>
      <c r="AO56">
        <v>0.66</v>
      </c>
      <c r="AP56">
        <v>0.42970000000000003</v>
      </c>
      <c r="AQ56">
        <v>0.57030000000000003</v>
      </c>
      <c r="AR56">
        <v>8.9999999999999993E-3</v>
      </c>
      <c r="AS56">
        <v>0.5</v>
      </c>
      <c r="AT56">
        <v>1.82</v>
      </c>
      <c r="AU56">
        <v>6.3545217126973294E-2</v>
      </c>
      <c r="AV56">
        <v>0.7893</v>
      </c>
      <c r="AW56">
        <v>3</v>
      </c>
      <c r="AX56">
        <v>0.05</v>
      </c>
      <c r="AY56">
        <v>1</v>
      </c>
      <c r="AZ56">
        <v>1</v>
      </c>
      <c r="BA56" s="2">
        <f>modelo_tese_H__2[[#This Row],[Vw]]+modelo_tese_H__2[[#This Row],[Vr]]+modelo_tese_H__2[[#This Row],[K]]-modelo_tese_H__2[[#This Row],[E]]</f>
        <v>-14954.089008444233</v>
      </c>
      <c r="BB56" s="2">
        <f>modelo_tese_H__2[[#This Row],[K]]-modelo_tese_H__2[[#This Row],[Coluna1]]</f>
        <v>34391.737207489634</v>
      </c>
      <c r="BC56">
        <f>modelo_tese_H__2[[#This Row],[Coluna2]]/modelo_tese_H__2[[#This Row],[Coluna1]]</f>
        <v>-2.2998216198973673</v>
      </c>
      <c r="BD56" s="8">
        <f>modelo_tese_H__2[[#This Row],[D]]-modelo_tese_H__2[[#This Row],[Dw]]-modelo_tese_H__2[[#This Row],[Dr]]</f>
        <v>-1.0004441719502211E-10</v>
      </c>
    </row>
    <row r="57" spans="1:56" x14ac:dyDescent="0.25">
      <c r="A57">
        <v>56</v>
      </c>
      <c r="B57">
        <v>56</v>
      </c>
      <c r="C57">
        <v>4867.5172806963801</v>
      </c>
      <c r="D57">
        <v>2120.2778820052699</v>
      </c>
      <c r="E57">
        <v>1887.04731498469</v>
      </c>
      <c r="F57">
        <v>267.01034707273698</v>
      </c>
      <c r="G57">
        <v>7227.2542564394398</v>
      </c>
      <c r="H57">
        <v>1670.17520830439</v>
      </c>
      <c r="I57">
        <v>3824.23287036182</v>
      </c>
      <c r="J57">
        <v>3004.3305845262598</v>
      </c>
      <c r="K57">
        <v>18764.602844088</v>
      </c>
      <c r="L57">
        <v>-1703.9549883565501</v>
      </c>
      <c r="M57">
        <v>21768.9334286142</v>
      </c>
      <c r="N57">
        <v>-29255.198006360399</v>
      </c>
      <c r="O57">
        <v>3650.1284123431501</v>
      </c>
      <c r="P57">
        <v>2409.0847521464798</v>
      </c>
      <c r="Q57">
        <v>3667.49460900445</v>
      </c>
      <c r="R57">
        <v>1833.74730450222</v>
      </c>
      <c r="S57">
        <v>1833.74730450222</v>
      </c>
      <c r="T57">
        <v>1816.3811078409301</v>
      </c>
      <c r="U57">
        <v>773.09669750636294</v>
      </c>
      <c r="V57">
        <v>14549.8682042853</v>
      </c>
      <c r="W57">
        <v>2301.6942671925299</v>
      </c>
      <c r="X57">
        <v>0.26967674994923102</v>
      </c>
      <c r="Y57">
        <v>20504.172890991798</v>
      </c>
      <c r="Z57">
        <v>8700.4740688035399</v>
      </c>
      <c r="AA57">
        <v>0.79915643498571098</v>
      </c>
      <c r="AB57">
        <v>10680.026482992</v>
      </c>
      <c r="AC57">
        <v>6233.3176225082998</v>
      </c>
      <c r="AD57">
        <v>8535.0118897008306</v>
      </c>
      <c r="AE57">
        <v>-14705.329802075001</v>
      </c>
      <c r="AF57">
        <v>-930.85829085018804</v>
      </c>
      <c r="AG57">
        <v>5.5594999999999999E-2</v>
      </c>
      <c r="AH57">
        <v>-51024.131434974603</v>
      </c>
      <c r="AI57">
        <v>23250.3422730889</v>
      </c>
      <c r="AJ57">
        <v>0.06</v>
      </c>
      <c r="AK57">
        <v>0.05</v>
      </c>
      <c r="AL57">
        <v>8.8099999999999998E-2</v>
      </c>
      <c r="AM57">
        <v>3.8100000000000002E-2</v>
      </c>
      <c r="AN57">
        <v>0.89</v>
      </c>
      <c r="AO57">
        <v>0.66</v>
      </c>
      <c r="AP57">
        <v>0.42970000000000003</v>
      </c>
      <c r="AQ57">
        <v>0.57030000000000003</v>
      </c>
      <c r="AR57">
        <v>8.9999999999999993E-3</v>
      </c>
      <c r="AS57">
        <v>0.5</v>
      </c>
      <c r="AT57">
        <v>1.82</v>
      </c>
      <c r="AU57">
        <v>6.3545217126973294E-2</v>
      </c>
      <c r="AV57">
        <v>0.7893</v>
      </c>
      <c r="AW57">
        <v>3</v>
      </c>
      <c r="AX57">
        <v>0.05</v>
      </c>
      <c r="AY57">
        <v>1</v>
      </c>
      <c r="AZ57">
        <v>1</v>
      </c>
      <c r="BA57" s="2">
        <f>modelo_tese_H__2[[#This Row],[Vw]]+modelo_tese_H__2[[#This Row],[Vr]]+modelo_tese_H__2[[#This Row],[K]]-modelo_tese_H__2[[#This Row],[E]]</f>
        <v>-15970.090339697445</v>
      </c>
      <c r="BB57" s="2">
        <f>modelo_tese_H__2[[#This Row],[K]]-modelo_tese_H__2[[#This Row],[Coluna1]]</f>
        <v>36474.263230689241</v>
      </c>
      <c r="BC57">
        <f>modelo_tese_H__2[[#This Row],[Coluna2]]/modelo_tese_H__2[[#This Row],[Coluna1]]</f>
        <v>-2.2839108893469322</v>
      </c>
      <c r="BD57" s="8">
        <f>modelo_tese_H__2[[#This Row],[D]]-modelo_tese_H__2[[#This Row],[Dw]]-modelo_tese_H__2[[#This Row],[Dr]]</f>
        <v>9.822542779147625E-11</v>
      </c>
    </row>
    <row r="58" spans="1:56" x14ac:dyDescent="0.25">
      <c r="A58">
        <v>57</v>
      </c>
      <c r="B58">
        <v>57</v>
      </c>
      <c r="C58">
        <v>5138.2947375653303</v>
      </c>
      <c r="D58">
        <v>2237.6512594369501</v>
      </c>
      <c r="E58">
        <v>1991.50962089889</v>
      </c>
      <c r="F58">
        <v>281.93099312453398</v>
      </c>
      <c r="G58">
        <v>7630.1294833895799</v>
      </c>
      <c r="H58">
        <v>1763.0285990100799</v>
      </c>
      <c r="I58">
        <v>4036.4692130335002</v>
      </c>
      <c r="J58">
        <v>3171.7965823803402</v>
      </c>
      <c r="K58">
        <v>19812.700074738299</v>
      </c>
      <c r="L58">
        <v>-1798.8179535965401</v>
      </c>
      <c r="M58">
        <v>22984.496657118601</v>
      </c>
      <c r="N58">
        <v>-31054.015959956901</v>
      </c>
      <c r="O58">
        <v>3853.6007491866499</v>
      </c>
      <c r="P58">
        <v>2543.3764944631898</v>
      </c>
      <c r="Q58">
        <v>3871.51542825148</v>
      </c>
      <c r="R58">
        <v>1935.75771412574</v>
      </c>
      <c r="S58">
        <v>1935.75771412574</v>
      </c>
      <c r="T58">
        <v>1917.8430350609101</v>
      </c>
      <c r="U58">
        <v>816.01751052908605</v>
      </c>
      <c r="V58">
        <v>15365.8857148144</v>
      </c>
      <c r="W58">
        <v>2429.9644583201198</v>
      </c>
      <c r="X58">
        <v>0.26970207069838498</v>
      </c>
      <c r="Y58">
        <v>21631.195230944901</v>
      </c>
      <c r="Z58">
        <v>9194.6808129979108</v>
      </c>
      <c r="AA58">
        <v>0.799732551464718</v>
      </c>
      <c r="AB58">
        <v>11266.0290609845</v>
      </c>
      <c r="AC58">
        <v>6579.84570749669</v>
      </c>
      <c r="AD58">
        <v>9009.8101658168107</v>
      </c>
      <c r="AE58">
        <v>-15688.1302451425</v>
      </c>
      <c r="AF58">
        <v>-982.80044306745901</v>
      </c>
      <c r="AG58">
        <v>5.5594999999999999E-2</v>
      </c>
      <c r="AH58">
        <v>-54038.512617075503</v>
      </c>
      <c r="AI58">
        <v>24560.566527812302</v>
      </c>
      <c r="AJ58">
        <v>0.06</v>
      </c>
      <c r="AK58">
        <v>0.05</v>
      </c>
      <c r="AL58">
        <v>8.8099999999999998E-2</v>
      </c>
      <c r="AM58">
        <v>3.8100000000000002E-2</v>
      </c>
      <c r="AN58">
        <v>0.89</v>
      </c>
      <c r="AO58">
        <v>0.66</v>
      </c>
      <c r="AP58">
        <v>0.42970000000000003</v>
      </c>
      <c r="AQ58">
        <v>0.57030000000000003</v>
      </c>
      <c r="AR58">
        <v>8.9999999999999993E-3</v>
      </c>
      <c r="AS58">
        <v>0.5</v>
      </c>
      <c r="AT58">
        <v>1.82</v>
      </c>
      <c r="AU58">
        <v>6.3545217126973294E-2</v>
      </c>
      <c r="AV58">
        <v>0.7893</v>
      </c>
      <c r="AW58">
        <v>3</v>
      </c>
      <c r="AX58">
        <v>0.05</v>
      </c>
      <c r="AY58">
        <v>1</v>
      </c>
      <c r="AZ58">
        <v>1</v>
      </c>
      <c r="BA58" s="2">
        <f>modelo_tese_H__2[[#This Row],[Vw]]+modelo_tese_H__2[[#This Row],[Vr]]+modelo_tese_H__2[[#This Row],[K]]-modelo_tese_H__2[[#This Row],[E]]</f>
        <v>-17041.431671316212</v>
      </c>
      <c r="BB58" s="2">
        <f>modelo_tese_H__2[[#This Row],[K]]-modelo_tese_H__2[[#This Row],[Coluna1]]</f>
        <v>38672.626902261109</v>
      </c>
      <c r="BC58">
        <f>modelo_tese_H__2[[#This Row],[Coluna2]]/modelo_tese_H__2[[#This Row],[Coluna1]]</f>
        <v>-2.2693296929596638</v>
      </c>
      <c r="BD58" s="8">
        <f>modelo_tese_H__2[[#This Row],[D]]-modelo_tese_H__2[[#This Row],[Dw]]-modelo_tese_H__2[[#This Row],[Dr]]</f>
        <v>0</v>
      </c>
    </row>
    <row r="59" spans="1:56" x14ac:dyDescent="0.25">
      <c r="A59">
        <v>58</v>
      </c>
      <c r="B59">
        <v>58</v>
      </c>
      <c r="C59">
        <v>5424.3276797599301</v>
      </c>
      <c r="D59">
        <v>2361.7680019294899</v>
      </c>
      <c r="E59">
        <v>2101.9735217172401</v>
      </c>
      <c r="F59">
        <v>297.67782459182598</v>
      </c>
      <c r="G59">
        <v>8055.53001355377</v>
      </c>
      <c r="H59">
        <v>1861.04417397204</v>
      </c>
      <c r="I59">
        <v>4260.6955202811096</v>
      </c>
      <c r="J59">
        <v>3348.62895718348</v>
      </c>
      <c r="K59">
        <v>20918.880375862798</v>
      </c>
      <c r="L59">
        <v>-1898.9275183516199</v>
      </c>
      <c r="M59">
        <v>24267.509333046299</v>
      </c>
      <c r="N59">
        <v>-32952.943478308502</v>
      </c>
      <c r="O59">
        <v>4068.4495017948302</v>
      </c>
      <c r="P59">
        <v>2685.1766711845898</v>
      </c>
      <c r="Q59">
        <v>4087.0306926053699</v>
      </c>
      <c r="R59">
        <v>2043.51534630268</v>
      </c>
      <c r="S59">
        <v>2043.51534630268</v>
      </c>
      <c r="T59">
        <v>2024.93415549215</v>
      </c>
      <c r="U59">
        <v>861.30199601333504</v>
      </c>
      <c r="V59">
        <v>16227.1877108277</v>
      </c>
      <c r="W59">
        <v>2565.4861808995902</v>
      </c>
      <c r="X59">
        <v>0.269728684427821</v>
      </c>
      <c r="Y59">
        <v>22822.122414178099</v>
      </c>
      <c r="Z59">
        <v>9716.6516475948192</v>
      </c>
      <c r="AA59">
        <v>0.800264250444227</v>
      </c>
      <c r="AB59">
        <v>11885.2721049148</v>
      </c>
      <c r="AC59">
        <v>6945.8721914656999</v>
      </c>
      <c r="AD59">
        <v>9511.3583723652901</v>
      </c>
      <c r="AE59">
        <v>-16725.755767480801</v>
      </c>
      <c r="AF59">
        <v>-1037.62552233829</v>
      </c>
      <c r="AG59">
        <v>5.5594999999999999E-2</v>
      </c>
      <c r="AH59">
        <v>-57220.4528113548</v>
      </c>
      <c r="AI59">
        <v>25943.8393584226</v>
      </c>
      <c r="AJ59">
        <v>0.06</v>
      </c>
      <c r="AK59">
        <v>0.05</v>
      </c>
      <c r="AL59">
        <v>8.8099999999999998E-2</v>
      </c>
      <c r="AM59">
        <v>3.8100000000000002E-2</v>
      </c>
      <c r="AN59">
        <v>0.89</v>
      </c>
      <c r="AO59">
        <v>0.66</v>
      </c>
      <c r="AP59">
        <v>0.42970000000000003</v>
      </c>
      <c r="AQ59">
        <v>0.57030000000000003</v>
      </c>
      <c r="AR59">
        <v>8.9999999999999993E-3</v>
      </c>
      <c r="AS59">
        <v>0.5</v>
      </c>
      <c r="AT59">
        <v>1.82</v>
      </c>
      <c r="AU59">
        <v>6.3545217126973294E-2</v>
      </c>
      <c r="AV59">
        <v>0.7893</v>
      </c>
      <c r="AW59">
        <v>3</v>
      </c>
      <c r="AX59">
        <v>0.05</v>
      </c>
      <c r="AY59">
        <v>1</v>
      </c>
      <c r="AZ59">
        <v>1</v>
      </c>
      <c r="BA59" s="2">
        <f>modelo_tese_H__2[[#This Row],[Vw]]+modelo_tese_H__2[[#This Row],[Vr]]+modelo_tese_H__2[[#This Row],[K]]-modelo_tese_H__2[[#This Row],[E]]</f>
        <v>-18171.142686348921</v>
      </c>
      <c r="BB59" s="2">
        <f>modelo_tese_H__2[[#This Row],[K]]-modelo_tese_H__2[[#This Row],[Coluna1]]</f>
        <v>40993.265100527016</v>
      </c>
      <c r="BC59">
        <f>modelo_tese_H__2[[#This Row],[Coluna2]]/modelo_tese_H__2[[#This Row],[Coluna1]]</f>
        <v>-2.2559541690970941</v>
      </c>
      <c r="BD59" s="8">
        <f>modelo_tese_H__2[[#This Row],[D]]-modelo_tese_H__2[[#This Row],[Dw]]-modelo_tese_H__2[[#This Row],[Dr]]</f>
        <v>0</v>
      </c>
    </row>
    <row r="60" spans="1:56" x14ac:dyDescent="0.25">
      <c r="A60">
        <v>59</v>
      </c>
      <c r="B60">
        <v>59</v>
      </c>
      <c r="C60">
        <v>5726.4711180562299</v>
      </c>
      <c r="D60">
        <v>2493.0096881321301</v>
      </c>
      <c r="E60">
        <v>2218.77862243759</v>
      </c>
      <c r="F60">
        <v>314.29674727580601</v>
      </c>
      <c r="G60">
        <v>8504.7135679537096</v>
      </c>
      <c r="H60">
        <v>1964.5089248240199</v>
      </c>
      <c r="I60">
        <v>4497.5842945374097</v>
      </c>
      <c r="J60">
        <v>3535.3429411906</v>
      </c>
      <c r="K60">
        <v>22086.3799583664</v>
      </c>
      <c r="L60">
        <v>-2004.5746064052901</v>
      </c>
      <c r="M60">
        <v>25621.722899557</v>
      </c>
      <c r="N60">
        <v>-34957.518084713804</v>
      </c>
      <c r="O60">
        <v>4295.3098828048996</v>
      </c>
      <c r="P60">
        <v>2834.9045226512399</v>
      </c>
      <c r="Q60">
        <v>4314.6846211270604</v>
      </c>
      <c r="R60">
        <v>2157.3423105635302</v>
      </c>
      <c r="S60">
        <v>2157.3423105635302</v>
      </c>
      <c r="T60">
        <v>2137.9675722413799</v>
      </c>
      <c r="U60">
        <v>909.08074872256702</v>
      </c>
      <c r="V60">
        <v>17136.268459550301</v>
      </c>
      <c r="W60">
        <v>2708.6669219946298</v>
      </c>
      <c r="X60">
        <v>0.26975648942728098</v>
      </c>
      <c r="Y60">
        <v>24080.552612065399</v>
      </c>
      <c r="Z60">
        <v>10267.9762590259</v>
      </c>
      <c r="AA60">
        <v>0.80075389631423499</v>
      </c>
      <c r="AB60">
        <v>12539.627700097901</v>
      </c>
      <c r="AC60">
        <v>7332.4888171886496</v>
      </c>
      <c r="AD60">
        <v>10041.155739183299</v>
      </c>
      <c r="AE60">
        <v>-17821.249625163498</v>
      </c>
      <c r="AF60">
        <v>-1095.4938576827201</v>
      </c>
      <c r="AG60">
        <v>5.5594999999999999E-2</v>
      </c>
      <c r="AH60">
        <v>-60579.240984270902</v>
      </c>
      <c r="AI60">
        <v>27404.244718576199</v>
      </c>
      <c r="AJ60">
        <v>0.06</v>
      </c>
      <c r="AK60">
        <v>0.05</v>
      </c>
      <c r="AL60">
        <v>8.8099999999999998E-2</v>
      </c>
      <c r="AM60">
        <v>3.8100000000000002E-2</v>
      </c>
      <c r="AN60">
        <v>0.89</v>
      </c>
      <c r="AO60">
        <v>0.66</v>
      </c>
      <c r="AP60">
        <v>0.42970000000000003</v>
      </c>
      <c r="AQ60">
        <v>0.57030000000000003</v>
      </c>
      <c r="AR60">
        <v>8.9999999999999993E-3</v>
      </c>
      <c r="AS60">
        <v>0.5</v>
      </c>
      <c r="AT60">
        <v>1.82</v>
      </c>
      <c r="AU60">
        <v>6.3545217126973294E-2</v>
      </c>
      <c r="AV60">
        <v>0.7893</v>
      </c>
      <c r="AW60">
        <v>3</v>
      </c>
      <c r="AX60">
        <v>0.05</v>
      </c>
      <c r="AY60">
        <v>1</v>
      </c>
      <c r="AZ60">
        <v>1</v>
      </c>
      <c r="BA60" s="2">
        <f>modelo_tese_H__2[[#This Row],[Vw]]+modelo_tese_H__2[[#This Row],[Vr]]+modelo_tese_H__2[[#This Row],[K]]-modelo_tese_H__2[[#This Row],[E]]</f>
        <v>-19362.419912655205</v>
      </c>
      <c r="BB60" s="2">
        <f>modelo_tese_H__2[[#This Row],[K]]-modelo_tese_H__2[[#This Row],[Coluna1]]</f>
        <v>43442.972524720608</v>
      </c>
      <c r="BC60">
        <f>modelo_tese_H__2[[#This Row],[Coluna2]]/modelo_tese_H__2[[#This Row],[Coluna1]]</f>
        <v>-2.2436747431722854</v>
      </c>
      <c r="BD60" s="8">
        <f>modelo_tese_H__2[[#This Row],[D]]-modelo_tese_H__2[[#This Row],[Dw]]-modelo_tese_H__2[[#This Row],[Dr]]</f>
        <v>0</v>
      </c>
    </row>
    <row r="61" spans="1:56" x14ac:dyDescent="0.25">
      <c r="A61">
        <v>60</v>
      </c>
      <c r="B61">
        <v>60</v>
      </c>
      <c r="C61">
        <v>6045.6279282544901</v>
      </c>
      <c r="D61">
        <v>2631.7794526517901</v>
      </c>
      <c r="E61">
        <v>2342.2837128601</v>
      </c>
      <c r="F61">
        <v>331.836215436266</v>
      </c>
      <c r="G61">
        <v>8979.0080215854105</v>
      </c>
      <c r="H61">
        <v>2073.7257984996099</v>
      </c>
      <c r="I61">
        <v>4747.8457267959702</v>
      </c>
      <c r="J61">
        <v>3732.4825905675002</v>
      </c>
      <c r="K61">
        <v>23318.614680452301</v>
      </c>
      <c r="L61">
        <v>-2116.0662741441802</v>
      </c>
      <c r="M61">
        <v>27051.0972710198</v>
      </c>
      <c r="N61">
        <v>-37073.584358858003</v>
      </c>
      <c r="O61">
        <v>4534.8525361542497</v>
      </c>
      <c r="P61">
        <v>2993.0026738617998</v>
      </c>
      <c r="Q61">
        <v>4555.1574974065497</v>
      </c>
      <c r="R61">
        <v>2277.5787487032699</v>
      </c>
      <c r="S61">
        <v>2277.5787487032699</v>
      </c>
      <c r="T61">
        <v>2257.2737874509698</v>
      </c>
      <c r="U61">
        <v>959.49158599245402</v>
      </c>
      <c r="V61">
        <v>18095.7600455428</v>
      </c>
      <c r="W61">
        <v>2859.9370250032598</v>
      </c>
      <c r="X61">
        <v>0.26978538949390901</v>
      </c>
      <c r="Y61">
        <v>25410.285692797501</v>
      </c>
      <c r="Z61">
        <v>10850.334535325899</v>
      </c>
      <c r="AA61">
        <v>0.80120376743498101</v>
      </c>
      <c r="AB61">
        <v>13231.0728637722</v>
      </c>
      <c r="AC61">
        <v>7740.8484006577701</v>
      </c>
      <c r="AD61">
        <v>10600.785425661001</v>
      </c>
      <c r="AE61">
        <v>-18977.824313315199</v>
      </c>
      <c r="AF61">
        <v>-1156.57468815172</v>
      </c>
      <c r="AG61">
        <v>5.5594999999999999E-2</v>
      </c>
      <c r="AH61">
        <v>-64124.681629877799</v>
      </c>
      <c r="AI61">
        <v>28946.094580868699</v>
      </c>
      <c r="AJ61">
        <v>0.06</v>
      </c>
      <c r="AK61">
        <v>0.05</v>
      </c>
      <c r="AL61">
        <v>8.8099999999999998E-2</v>
      </c>
      <c r="AM61">
        <v>3.8100000000000002E-2</v>
      </c>
      <c r="AN61">
        <v>0.89</v>
      </c>
      <c r="AO61">
        <v>0.66</v>
      </c>
      <c r="AP61">
        <v>0.42970000000000003</v>
      </c>
      <c r="AQ61">
        <v>0.57030000000000003</v>
      </c>
      <c r="AR61">
        <v>8.9999999999999993E-3</v>
      </c>
      <c r="AS61">
        <v>0.5</v>
      </c>
      <c r="AT61">
        <v>1.82</v>
      </c>
      <c r="AU61">
        <v>6.3545217126973294E-2</v>
      </c>
      <c r="AV61">
        <v>0.7893</v>
      </c>
      <c r="AW61">
        <v>3</v>
      </c>
      <c r="AX61">
        <v>0.05</v>
      </c>
      <c r="AY61">
        <v>1</v>
      </c>
      <c r="AZ61">
        <v>1</v>
      </c>
      <c r="BA61" s="2">
        <f>modelo_tese_H__2[[#This Row],[Vw]]+modelo_tese_H__2[[#This Row],[Vr]]+modelo_tese_H__2[[#This Row],[K]]-modelo_tese_H__2[[#This Row],[E]]</f>
        <v>-20618.635891537502</v>
      </c>
      <c r="BB61" s="2">
        <f>modelo_tese_H__2[[#This Row],[K]]-modelo_tese_H__2[[#This Row],[Coluna1]]</f>
        <v>46028.921584335003</v>
      </c>
      <c r="BC61">
        <f>modelo_tese_H__2[[#This Row],[Coluna2]]/modelo_tese_H__2[[#This Row],[Coluna1]]</f>
        <v>-2.2323941227958071</v>
      </c>
      <c r="BD61" s="8">
        <f>modelo_tese_H__2[[#This Row],[D]]-modelo_tese_H__2[[#This Row],[Dw]]-modelo_tese_H__2[[#This Row],[Dr]]</f>
        <v>0</v>
      </c>
    </row>
    <row r="62" spans="1:56" x14ac:dyDescent="0.25">
      <c r="A62">
        <v>61</v>
      </c>
      <c r="B62">
        <v>61</v>
      </c>
      <c r="C62">
        <v>6382.7515278864203</v>
      </c>
      <c r="D62">
        <v>2778.5032001520999</v>
      </c>
      <c r="E62">
        <v>2472.86784813537</v>
      </c>
      <c r="F62">
        <v>350.34737335630501</v>
      </c>
      <c r="G62">
        <v>9479.8153152614796</v>
      </c>
      <c r="H62">
        <v>2189.01458426719</v>
      </c>
      <c r="I62">
        <v>5012.2298057588696</v>
      </c>
      <c r="J62">
        <v>3940.6223772231801</v>
      </c>
      <c r="K62">
        <v>24619.1900453942</v>
      </c>
      <c r="L62">
        <v>-2233.7266056067701</v>
      </c>
      <c r="M62">
        <v>28559.8124226174</v>
      </c>
      <c r="N62">
        <v>-39307.310964464799</v>
      </c>
      <c r="O62">
        <v>4787.7855127583198</v>
      </c>
      <c r="P62">
        <v>3159.93843842049</v>
      </c>
      <c r="Q62">
        <v>4809.16768636296</v>
      </c>
      <c r="R62">
        <v>2404.58384318148</v>
      </c>
      <c r="S62">
        <v>2404.58384318148</v>
      </c>
      <c r="T62">
        <v>2383.2016695768398</v>
      </c>
      <c r="U62">
        <v>1012.67994744929</v>
      </c>
      <c r="V62">
        <v>19108.439992992</v>
      </c>
      <c r="W62">
        <v>3019.7509700700198</v>
      </c>
      <c r="X62">
        <v>0.26981529371882701</v>
      </c>
      <c r="Y62">
        <v>26815.334541260301</v>
      </c>
      <c r="Z62">
        <v>11465.501662214499</v>
      </c>
      <c r="AA62">
        <v>0.80161605486031695</v>
      </c>
      <c r="AB62">
        <v>13961.695435603</v>
      </c>
      <c r="AC62">
        <v>8172.16824417937</v>
      </c>
      <c r="AD62">
        <v>11191.919214249399</v>
      </c>
      <c r="AE62">
        <v>-20198.870971472701</v>
      </c>
      <c r="AF62">
        <v>-1221.0466581574799</v>
      </c>
      <c r="AG62">
        <v>5.5594999999999999E-2</v>
      </c>
      <c r="AH62">
        <v>-67867.123387082203</v>
      </c>
      <c r="AI62">
        <v>30573.941655206501</v>
      </c>
      <c r="AJ62">
        <v>0.06</v>
      </c>
      <c r="AK62">
        <v>0.05</v>
      </c>
      <c r="AL62">
        <v>8.8099999999999998E-2</v>
      </c>
      <c r="AM62">
        <v>3.8100000000000002E-2</v>
      </c>
      <c r="AN62">
        <v>0.89</v>
      </c>
      <c r="AO62">
        <v>0.66</v>
      </c>
      <c r="AP62">
        <v>0.42970000000000003</v>
      </c>
      <c r="AQ62">
        <v>0.57030000000000003</v>
      </c>
      <c r="AR62">
        <v>8.9999999999999993E-3</v>
      </c>
      <c r="AS62">
        <v>0.5</v>
      </c>
      <c r="AT62">
        <v>1.82</v>
      </c>
      <c r="AU62">
        <v>6.3545217126973294E-2</v>
      </c>
      <c r="AV62">
        <v>0.7893</v>
      </c>
      <c r="AW62">
        <v>3</v>
      </c>
      <c r="AX62">
        <v>0.05</v>
      </c>
      <c r="AY62">
        <v>1</v>
      </c>
      <c r="AZ62">
        <v>1</v>
      </c>
      <c r="BA62" s="2">
        <f>modelo_tese_H__2[[#This Row],[Vw]]+modelo_tese_H__2[[#This Row],[Vr]]+modelo_tese_H__2[[#This Row],[K]]-modelo_tese_H__2[[#This Row],[E]]</f>
        <v>-21943.348852829899</v>
      </c>
      <c r="BB62" s="2">
        <f>modelo_tese_H__2[[#This Row],[K]]-modelo_tese_H__2[[#This Row],[Coluna1]]</f>
        <v>48758.6833940902</v>
      </c>
      <c r="BC62">
        <f>modelo_tese_H__2[[#This Row],[Coluna2]]/modelo_tese_H__2[[#This Row],[Coluna1]]</f>
        <v>-2.2220256224838759</v>
      </c>
      <c r="BD62" s="8">
        <f>modelo_tese_H__2[[#This Row],[D]]-modelo_tese_H__2[[#This Row],[Dw]]-modelo_tese_H__2[[#This Row],[Dr]]</f>
        <v>9.822542779147625E-11</v>
      </c>
    </row>
    <row r="63" spans="1:56" x14ac:dyDescent="0.25">
      <c r="A63">
        <v>62</v>
      </c>
      <c r="B63">
        <v>62</v>
      </c>
      <c r="C63">
        <v>6738.8487024328397</v>
      </c>
      <c r="D63">
        <v>2933.6308876631001</v>
      </c>
      <c r="E63">
        <v>2610.9314900201598</v>
      </c>
      <c r="F63">
        <v>369.88420477073299</v>
      </c>
      <c r="G63">
        <v>10008.6155854348</v>
      </c>
      <c r="H63">
        <v>2310.7128500795302</v>
      </c>
      <c r="I63">
        <v>5291.5285448704199</v>
      </c>
      <c r="J63">
        <v>4160.3688694217099</v>
      </c>
      <c r="K63">
        <v>25991.911754744298</v>
      </c>
      <c r="L63">
        <v>-2357.8976572073202</v>
      </c>
      <c r="M63">
        <v>30152.280624166</v>
      </c>
      <c r="N63">
        <v>-41665.2086216721</v>
      </c>
      <c r="O63">
        <v>5054.8563562802101</v>
      </c>
      <c r="P63">
        <v>3336.2051951449398</v>
      </c>
      <c r="Q63">
        <v>5077.4737636952304</v>
      </c>
      <c r="R63">
        <v>2538.7368818476202</v>
      </c>
      <c r="S63">
        <v>2538.7368818476202</v>
      </c>
      <c r="T63">
        <v>2516.1194744325999</v>
      </c>
      <c r="U63">
        <v>1068.7993168701701</v>
      </c>
      <c r="V63">
        <v>20177.239309862201</v>
      </c>
      <c r="W63">
        <v>3188.58872611272</v>
      </c>
      <c r="X63">
        <v>0.26984611627289201</v>
      </c>
      <c r="Y63">
        <v>28299.937011616199</v>
      </c>
      <c r="Z63">
        <v>12115.3535064796</v>
      </c>
      <c r="AA63">
        <v>0.80199286178073403</v>
      </c>
      <c r="AB63">
        <v>14733.700297395801</v>
      </c>
      <c r="AC63">
        <v>8627.7337400153592</v>
      </c>
      <c r="AD63">
        <v>11816.3224661281</v>
      </c>
      <c r="AE63">
        <v>-21487.969311809898</v>
      </c>
      <c r="AF63">
        <v>-1289.0983403371499</v>
      </c>
      <c r="AG63">
        <v>5.5594999999999999E-2</v>
      </c>
      <c r="AH63">
        <v>-71817.489245838005</v>
      </c>
      <c r="AI63">
        <v>32292.592816341799</v>
      </c>
      <c r="AJ63">
        <v>0.06</v>
      </c>
      <c r="AK63">
        <v>0.05</v>
      </c>
      <c r="AL63">
        <v>8.8099999999999998E-2</v>
      </c>
      <c r="AM63">
        <v>3.8100000000000002E-2</v>
      </c>
      <c r="AN63">
        <v>0.89</v>
      </c>
      <c r="AO63">
        <v>0.66</v>
      </c>
      <c r="AP63">
        <v>0.42970000000000003</v>
      </c>
      <c r="AQ63">
        <v>0.57030000000000003</v>
      </c>
      <c r="AR63">
        <v>8.9999999999999993E-3</v>
      </c>
      <c r="AS63">
        <v>0.5</v>
      </c>
      <c r="AT63">
        <v>1.82</v>
      </c>
      <c r="AU63">
        <v>6.3545217126973294E-2</v>
      </c>
      <c r="AV63">
        <v>0.7893</v>
      </c>
      <c r="AW63">
        <v>3</v>
      </c>
      <c r="AX63">
        <v>0.05</v>
      </c>
      <c r="AY63">
        <v>1</v>
      </c>
      <c r="AZ63">
        <v>1</v>
      </c>
      <c r="BA63" s="2">
        <f>modelo_tese_H__2[[#This Row],[Vw]]+modelo_tese_H__2[[#This Row],[Vr]]+modelo_tese_H__2[[#This Row],[K]]-modelo_tese_H__2[[#This Row],[E]]</f>
        <v>-23340.312924359605</v>
      </c>
      <c r="BB63" s="2">
        <f>modelo_tese_H__2[[#This Row],[K]]-modelo_tese_H__2[[#This Row],[Coluna1]]</f>
        <v>51640.249935975808</v>
      </c>
      <c r="BC63">
        <f>modelo_tese_H__2[[#This Row],[Coluna2]]/modelo_tese_H__2[[#This Row],[Coluna1]]</f>
        <v>-2.2124917563586042</v>
      </c>
      <c r="BD63" s="8">
        <f>modelo_tese_H__2[[#This Row],[D]]-modelo_tese_H__2[[#This Row],[Dw]]-modelo_tese_H__2[[#This Row],[Dr]]</f>
        <v>0</v>
      </c>
    </row>
    <row r="64" spans="1:56" x14ac:dyDescent="0.25">
      <c r="A64">
        <v>63</v>
      </c>
      <c r="B64">
        <v>63</v>
      </c>
      <c r="C64">
        <v>7114.9825893937204</v>
      </c>
      <c r="D64">
        <v>3097.6378789239602</v>
      </c>
      <c r="E64">
        <v>2756.8977122423198</v>
      </c>
      <c r="F64">
        <v>390.50369059510098</v>
      </c>
      <c r="G64">
        <v>10566.971524144299</v>
      </c>
      <c r="H64">
        <v>2439.1769309797</v>
      </c>
      <c r="I64">
        <v>5586.5783338171204</v>
      </c>
      <c r="J64">
        <v>4392.3625060918503</v>
      </c>
      <c r="K64">
        <v>27440.796847868201</v>
      </c>
      <c r="L64">
        <v>-2488.9404548931602</v>
      </c>
      <c r="M64">
        <v>31833.15935396</v>
      </c>
      <c r="N64">
        <v>-44154.149076565198</v>
      </c>
      <c r="O64">
        <v>5336.8543051234101</v>
      </c>
      <c r="P64">
        <v>3522.3238413814502</v>
      </c>
      <c r="Q64">
        <v>5360.8767642687699</v>
      </c>
      <c r="R64">
        <v>2680.4383821343899</v>
      </c>
      <c r="S64">
        <v>2680.4383821343899</v>
      </c>
      <c r="T64">
        <v>2656.4159229890201</v>
      </c>
      <c r="U64">
        <v>1128.0116674124299</v>
      </c>
      <c r="V64">
        <v>21305.250977274602</v>
      </c>
      <c r="W64">
        <v>3366.9571784639102</v>
      </c>
      <c r="X64">
        <v>0.26987777619307302</v>
      </c>
      <c r="Y64">
        <v>29868.5685479973</v>
      </c>
      <c r="Z64">
        <v>12801.872302809101</v>
      </c>
      <c r="AA64">
        <v>0.80233620358750801</v>
      </c>
      <c r="AB64">
        <v>15549.4159404485</v>
      </c>
      <c r="AC64">
        <v>9108.9021751985692</v>
      </c>
      <c r="AD64">
        <v>12475.859353662499</v>
      </c>
      <c r="AE64">
        <v>-22848.8980992906</v>
      </c>
      <c r="AF64">
        <v>-1360.9287874807301</v>
      </c>
      <c r="AG64">
        <v>5.5594999999999999E-2</v>
      </c>
      <c r="AH64">
        <v>-75987.3084305253</v>
      </c>
      <c r="AI64">
        <v>34107.123280083702</v>
      </c>
      <c r="AJ64">
        <v>0.06</v>
      </c>
      <c r="AK64">
        <v>0.05</v>
      </c>
      <c r="AL64">
        <v>8.8099999999999998E-2</v>
      </c>
      <c r="AM64">
        <v>3.8100000000000002E-2</v>
      </c>
      <c r="AN64">
        <v>0.89</v>
      </c>
      <c r="AO64">
        <v>0.66</v>
      </c>
      <c r="AP64">
        <v>0.42970000000000003</v>
      </c>
      <c r="AQ64">
        <v>0.57030000000000003</v>
      </c>
      <c r="AR64">
        <v>8.9999999999999993E-3</v>
      </c>
      <c r="AS64">
        <v>0.5</v>
      </c>
      <c r="AT64">
        <v>1.82</v>
      </c>
      <c r="AU64">
        <v>6.3545217126973294E-2</v>
      </c>
      <c r="AV64">
        <v>0.7893</v>
      </c>
      <c r="AW64">
        <v>3</v>
      </c>
      <c r="AX64">
        <v>0.05</v>
      </c>
      <c r="AY64">
        <v>1</v>
      </c>
      <c r="AZ64">
        <v>1</v>
      </c>
      <c r="BA64" s="2">
        <f>modelo_tese_H__2[[#This Row],[Vw]]+modelo_tese_H__2[[#This Row],[Vr]]+modelo_tese_H__2[[#This Row],[K]]-modelo_tese_H__2[[#This Row],[E]]</f>
        <v>-24813.488905253398</v>
      </c>
      <c r="BB64" s="2">
        <f>modelo_tese_H__2[[#This Row],[K]]-modelo_tese_H__2[[#This Row],[Coluna1]]</f>
        <v>54682.057453250702</v>
      </c>
      <c r="BC64">
        <f>modelo_tese_H__2[[#This Row],[Coluna2]]/modelo_tese_H__2[[#This Row],[Coluna1]]</f>
        <v>-2.2037230500735294</v>
      </c>
      <c r="BD64" s="8">
        <f>modelo_tese_H__2[[#This Row],[D]]-modelo_tese_H__2[[#This Row],[Dw]]-modelo_tese_H__2[[#This Row],[Dr]]</f>
        <v>0</v>
      </c>
    </row>
    <row r="65" spans="1:56" x14ac:dyDescent="0.25">
      <c r="A65">
        <v>64</v>
      </c>
      <c r="B65">
        <v>64</v>
      </c>
      <c r="C65">
        <v>7512.2758290179499</v>
      </c>
      <c r="D65">
        <v>3271.02637479538</v>
      </c>
      <c r="E65">
        <v>2911.2134735678901</v>
      </c>
      <c r="F65">
        <v>412.26597541657401</v>
      </c>
      <c r="G65">
        <v>11156.5329818994</v>
      </c>
      <c r="H65">
        <v>2574.7829724575099</v>
      </c>
      <c r="I65">
        <v>5898.2624214419802</v>
      </c>
      <c r="J65">
        <v>4637.2794700263203</v>
      </c>
      <c r="K65">
        <v>28970.085460421898</v>
      </c>
      <c r="L65">
        <v>-2627.2360466465998</v>
      </c>
      <c r="M65">
        <v>33607.364930448202</v>
      </c>
      <c r="N65">
        <v>-46781.385123211803</v>
      </c>
      <c r="O65">
        <v>5634.6126171208898</v>
      </c>
      <c r="P65">
        <v>3718.8443272997902</v>
      </c>
      <c r="Q65">
        <v>5660.2225560740198</v>
      </c>
      <c r="R65">
        <v>2830.1112780370099</v>
      </c>
      <c r="S65">
        <v>2830.1112780370099</v>
      </c>
      <c r="T65">
        <v>2804.5013390838799</v>
      </c>
      <c r="U65">
        <v>1190.4879315079099</v>
      </c>
      <c r="V65">
        <v>22495.738908782601</v>
      </c>
      <c r="W65">
        <v>3555.3916363502099</v>
      </c>
      <c r="X65">
        <v>0.26991019717065301</v>
      </c>
      <c r="Y65">
        <v>31525.9555106931</v>
      </c>
      <c r="Z65">
        <v>13527.1526611223</v>
      </c>
      <c r="AA65">
        <v>0.80264800846891804</v>
      </c>
      <c r="AB65">
        <v>16411.301399998501</v>
      </c>
      <c r="AC65">
        <v>9617.1067487417695</v>
      </c>
      <c r="AD65">
        <v>13172.498385092</v>
      </c>
      <c r="AE65">
        <v>-24285.6462144293</v>
      </c>
      <c r="AF65">
        <v>-1436.7481151386901</v>
      </c>
      <c r="AG65">
        <v>5.5594999999999999E-2</v>
      </c>
      <c r="AH65">
        <v>-80388.7500536601</v>
      </c>
      <c r="AI65">
        <v>36022.891569904801</v>
      </c>
      <c r="AJ65">
        <v>0.06</v>
      </c>
      <c r="AK65">
        <v>0.05</v>
      </c>
      <c r="AL65">
        <v>8.8099999999999998E-2</v>
      </c>
      <c r="AM65">
        <v>3.8100000000000002E-2</v>
      </c>
      <c r="AN65">
        <v>0.89</v>
      </c>
      <c r="AO65">
        <v>0.66</v>
      </c>
      <c r="AP65">
        <v>0.42970000000000003</v>
      </c>
      <c r="AQ65">
        <v>0.57030000000000003</v>
      </c>
      <c r="AR65">
        <v>8.9999999999999993E-3</v>
      </c>
      <c r="AS65">
        <v>0.5</v>
      </c>
      <c r="AT65">
        <v>1.82</v>
      </c>
      <c r="AU65">
        <v>6.3545217126973294E-2</v>
      </c>
      <c r="AV65">
        <v>0.7893</v>
      </c>
      <c r="AW65">
        <v>3</v>
      </c>
      <c r="AX65">
        <v>0.05</v>
      </c>
      <c r="AY65">
        <v>1</v>
      </c>
      <c r="AZ65">
        <v>1</v>
      </c>
      <c r="BA65" s="2">
        <f>modelo_tese_H__2[[#This Row],[Vw]]+modelo_tese_H__2[[#This Row],[Vr]]+modelo_tese_H__2[[#This Row],[K]]-modelo_tese_H__2[[#This Row],[E]]</f>
        <v>-26367.0556341845</v>
      </c>
      <c r="BB65" s="2">
        <f>modelo_tese_H__2[[#This Row],[K]]-modelo_tese_H__2[[#This Row],[Coluna1]]</f>
        <v>57893.011144877601</v>
      </c>
      <c r="BC65">
        <f>modelo_tese_H__2[[#This Row],[Coluna2]]/modelo_tese_H__2[[#This Row],[Coluna1]]</f>
        <v>-2.195657033082608</v>
      </c>
      <c r="BD65" s="8">
        <f>modelo_tese_H__2[[#This Row],[D]]-modelo_tese_H__2[[#This Row],[Dw]]-modelo_tese_H__2[[#This Row],[Dr]]</f>
        <v>-9.822542779147625E-11</v>
      </c>
    </row>
    <row r="66" spans="1:56" x14ac:dyDescent="0.25">
      <c r="A66">
        <v>65</v>
      </c>
      <c r="B66">
        <v>65</v>
      </c>
      <c r="C66">
        <v>7931.9138909921303</v>
      </c>
      <c r="D66">
        <v>3454.3269240047898</v>
      </c>
      <c r="E66">
        <v>3074.3509623642699</v>
      </c>
      <c r="F66">
        <v>435.23454323346499</v>
      </c>
      <c r="G66">
        <v>11779.041827033599</v>
      </c>
      <c r="H66">
        <v>2717.9280318112901</v>
      </c>
      <c r="I66">
        <v>6227.5135374090196</v>
      </c>
      <c r="J66">
        <v>4895.8336654517798</v>
      </c>
      <c r="K66">
        <v>30584.2532361911</v>
      </c>
      <c r="L66">
        <v>-2773.1866134042298</v>
      </c>
      <c r="M66">
        <v>35480.086901642899</v>
      </c>
      <c r="N66">
        <v>-49554.571736616097</v>
      </c>
      <c r="O66">
        <v>5949.0110237543204</v>
      </c>
      <c r="P66">
        <v>3926.3472756778501</v>
      </c>
      <c r="Q66">
        <v>5976.4043467636602</v>
      </c>
      <c r="R66">
        <v>2988.2021733818301</v>
      </c>
      <c r="S66">
        <v>2988.2021733818301</v>
      </c>
      <c r="T66">
        <v>2960.8088503724898</v>
      </c>
      <c r="U66">
        <v>1256.40849678938</v>
      </c>
      <c r="V66">
        <v>23752.147405571901</v>
      </c>
      <c r="W66">
        <v>3754.4574246689199</v>
      </c>
      <c r="X66">
        <v>0.26994330734229799</v>
      </c>
      <c r="Y66">
        <v>33277.0892472997</v>
      </c>
      <c r="Z66">
        <v>14293.407912409401</v>
      </c>
      <c r="AA66">
        <v>0.802930118458415</v>
      </c>
      <c r="AB66">
        <v>17321.953577303899</v>
      </c>
      <c r="AC66">
        <v>10153.8608130869</v>
      </c>
      <c r="AD66">
        <v>13908.318237755801</v>
      </c>
      <c r="AE66">
        <v>-25802.424331044102</v>
      </c>
      <c r="AF66">
        <v>-1516.77811661485</v>
      </c>
      <c r="AG66">
        <v>5.5594999999999999E-2</v>
      </c>
      <c r="AH66">
        <v>-85034.658638259003</v>
      </c>
      <c r="AI66">
        <v>38045.5553179813</v>
      </c>
      <c r="AJ66">
        <v>0.06</v>
      </c>
      <c r="AK66">
        <v>0.05</v>
      </c>
      <c r="AL66">
        <v>8.8099999999999998E-2</v>
      </c>
      <c r="AM66">
        <v>3.8100000000000002E-2</v>
      </c>
      <c r="AN66">
        <v>0.89</v>
      </c>
      <c r="AO66">
        <v>0.66</v>
      </c>
      <c r="AP66">
        <v>0.42970000000000003</v>
      </c>
      <c r="AQ66">
        <v>0.57030000000000003</v>
      </c>
      <c r="AR66">
        <v>8.9999999999999993E-3</v>
      </c>
      <c r="AS66">
        <v>0.5</v>
      </c>
      <c r="AT66">
        <v>1.82</v>
      </c>
      <c r="AU66">
        <v>6.3545217126973294E-2</v>
      </c>
      <c r="AV66">
        <v>0.7893</v>
      </c>
      <c r="AW66">
        <v>3</v>
      </c>
      <c r="AX66">
        <v>0.05</v>
      </c>
      <c r="AY66">
        <v>1</v>
      </c>
      <c r="AZ66">
        <v>1</v>
      </c>
      <c r="BA66" s="2">
        <f>modelo_tese_H__2[[#This Row],[Vw]]+modelo_tese_H__2[[#This Row],[Vr]]+modelo_tese_H__2[[#This Row],[K]]-modelo_tese_H__2[[#This Row],[E]]</f>
        <v>-28005.421985387402</v>
      </c>
      <c r="BB66" s="2">
        <f>modelo_tese_H__2[[#This Row],[K]]-modelo_tese_H__2[[#This Row],[Coluna1]]</f>
        <v>61282.511232687102</v>
      </c>
      <c r="BC66">
        <f>modelo_tese_H__2[[#This Row],[Coluna2]]/modelo_tese_H__2[[#This Row],[Coluna1]]</f>
        <v>-2.1882373800567239</v>
      </c>
      <c r="BD66" s="8">
        <f>modelo_tese_H__2[[#This Row],[D]]-modelo_tese_H__2[[#This Row],[Dw]]-modelo_tese_H__2[[#This Row],[Dr]]</f>
        <v>9.4587448984384537E-11</v>
      </c>
    </row>
    <row r="67" spans="1:56" x14ac:dyDescent="0.25">
      <c r="A67">
        <v>66</v>
      </c>
      <c r="B67">
        <v>66</v>
      </c>
      <c r="C67">
        <v>8375.1485869051903</v>
      </c>
      <c r="D67">
        <v>3648.1000187254799</v>
      </c>
      <c r="E67">
        <v>3246.8090166656798</v>
      </c>
      <c r="F67">
        <v>459.47640295732799</v>
      </c>
      <c r="G67">
        <v>12436.3370758122</v>
      </c>
      <c r="H67">
        <v>2869.0312407398401</v>
      </c>
      <c r="I67">
        <v>6575.3166603628497</v>
      </c>
      <c r="J67">
        <v>5168.7788057553998</v>
      </c>
      <c r="K67">
        <v>32288.024428632099</v>
      </c>
      <c r="L67">
        <v>-2927.2166416373602</v>
      </c>
      <c r="M67">
        <v>37456.803234387502</v>
      </c>
      <c r="N67">
        <v>-52481.788378253397</v>
      </c>
      <c r="O67">
        <v>6280.9783211172899</v>
      </c>
      <c r="P67">
        <v>4145.4456919374097</v>
      </c>
      <c r="Q67">
        <v>6310.3653301651002</v>
      </c>
      <c r="R67">
        <v>3155.1826650825501</v>
      </c>
      <c r="S67">
        <v>3155.1826650825501</v>
      </c>
      <c r="T67">
        <v>3125.7956560347402</v>
      </c>
      <c r="U67">
        <v>1325.9637294924</v>
      </c>
      <c r="V67">
        <v>25078.1111350643</v>
      </c>
      <c r="W67">
        <v>3964.7515647700302</v>
      </c>
      <c r="X67">
        <v>0.26997703908485898</v>
      </c>
      <c r="Y67">
        <v>35127.240950496402</v>
      </c>
      <c r="Z67">
        <v>15102.9768120968</v>
      </c>
      <c r="AA67">
        <v>0.80318429086272103</v>
      </c>
      <c r="AB67">
        <v>18284.1149710438</v>
      </c>
      <c r="AC67">
        <v>10720.7623523003</v>
      </c>
      <c r="AD67">
        <v>14685.513917070301</v>
      </c>
      <c r="AE67">
        <v>-27403.6772431891</v>
      </c>
      <c r="AF67">
        <v>-1601.25291214496</v>
      </c>
      <c r="AG67">
        <v>5.5594999999999999E-2</v>
      </c>
      <c r="AH67">
        <v>-89938.591612640899</v>
      </c>
      <c r="AI67">
        <v>40181.087947161199</v>
      </c>
      <c r="AJ67">
        <v>0.06</v>
      </c>
      <c r="AK67">
        <v>0.05</v>
      </c>
      <c r="AL67">
        <v>8.8099999999999998E-2</v>
      </c>
      <c r="AM67">
        <v>3.8100000000000002E-2</v>
      </c>
      <c r="AN67">
        <v>0.89</v>
      </c>
      <c r="AO67">
        <v>0.66</v>
      </c>
      <c r="AP67">
        <v>0.42970000000000003</v>
      </c>
      <c r="AQ67">
        <v>0.57030000000000003</v>
      </c>
      <c r="AR67">
        <v>8.9999999999999993E-3</v>
      </c>
      <c r="AS67">
        <v>0.5</v>
      </c>
      <c r="AT67">
        <v>1.82</v>
      </c>
      <c r="AU67">
        <v>6.3545217126973294E-2</v>
      </c>
      <c r="AV67">
        <v>0.7893</v>
      </c>
      <c r="AW67">
        <v>3</v>
      </c>
      <c r="AX67">
        <v>0.05</v>
      </c>
      <c r="AY67">
        <v>1</v>
      </c>
      <c r="AZ67">
        <v>1</v>
      </c>
      <c r="BA67" s="2">
        <f>modelo_tese_H__2[[#This Row],[Vw]]+modelo_tese_H__2[[#This Row],[Vr]]+modelo_tese_H__2[[#This Row],[K]]-modelo_tese_H__2[[#This Row],[E]]</f>
        <v>-29733.239527080099</v>
      </c>
      <c r="BB67" s="2">
        <f>modelo_tese_H__2[[#This Row],[K]]-modelo_tese_H__2[[#This Row],[Coluna1]]</f>
        <v>64860.480477576501</v>
      </c>
      <c r="BC67">
        <f>modelo_tese_H__2[[#This Row],[Coluna2]]/modelo_tese_H__2[[#This Row],[Coluna1]]</f>
        <v>-2.1814131762704032</v>
      </c>
      <c r="BD67" s="8">
        <f>modelo_tese_H__2[[#This Row],[D]]-modelo_tese_H__2[[#This Row],[Dw]]-modelo_tese_H__2[[#This Row],[Dr]]</f>
        <v>0</v>
      </c>
    </row>
    <row r="68" spans="1:56" x14ac:dyDescent="0.25">
      <c r="A68">
        <v>67</v>
      </c>
      <c r="B68">
        <v>67</v>
      </c>
      <c r="C68">
        <v>8843.3017788545894</v>
      </c>
      <c r="D68">
        <v>3852.9377797437901</v>
      </c>
      <c r="E68">
        <v>3429.1146239719701</v>
      </c>
      <c r="F68">
        <v>485.06228422003301</v>
      </c>
      <c r="G68">
        <v>13130.360308372599</v>
      </c>
      <c r="H68">
        <v>3028.53503256877</v>
      </c>
      <c r="I68">
        <v>6942.7119407607797</v>
      </c>
      <c r="J68">
        <v>5456.91061747615</v>
      </c>
      <c r="K68">
        <v>34086.38573047</v>
      </c>
      <c r="L68">
        <v>-3089.7741610169901</v>
      </c>
      <c r="M68">
        <v>39543.296347946103</v>
      </c>
      <c r="N68">
        <v>-55571.562539270402</v>
      </c>
      <c r="O68">
        <v>6631.4951052386996</v>
      </c>
      <c r="P68">
        <v>4376.7867694575398</v>
      </c>
      <c r="Q68">
        <v>6663.1014805783298</v>
      </c>
      <c r="R68">
        <v>3331.5507402891599</v>
      </c>
      <c r="S68">
        <v>3331.5507402891599</v>
      </c>
      <c r="T68">
        <v>3299.9443649495402</v>
      </c>
      <c r="U68">
        <v>1399.35452685572</v>
      </c>
      <c r="V68">
        <v>26477.465661920101</v>
      </c>
      <c r="W68">
        <v>4186.9045492145997</v>
      </c>
      <c r="X68">
        <v>0.27001132881461098</v>
      </c>
      <c r="Y68">
        <v>37081.977346440202</v>
      </c>
      <c r="Z68">
        <v>15958.3306210223</v>
      </c>
      <c r="AA68">
        <v>0.80341220000567903</v>
      </c>
      <c r="AB68">
        <v>19300.681840932099</v>
      </c>
      <c r="AC68">
        <v>11319.4987102183</v>
      </c>
      <c r="AD68">
        <v>15506.4032594329</v>
      </c>
      <c r="AE68">
        <v>-29094.096877350399</v>
      </c>
      <c r="AF68">
        <v>-1690.4196341612601</v>
      </c>
      <c r="AG68">
        <v>5.5594999999999999E-2</v>
      </c>
      <c r="AH68">
        <v>-95114.8588872166</v>
      </c>
      <c r="AI68">
        <v>42435.796282942298</v>
      </c>
      <c r="AJ68">
        <v>0.06</v>
      </c>
      <c r="AK68">
        <v>0.05</v>
      </c>
      <c r="AL68">
        <v>8.8099999999999998E-2</v>
      </c>
      <c r="AM68">
        <v>3.8100000000000002E-2</v>
      </c>
      <c r="AN68">
        <v>0.89</v>
      </c>
      <c r="AO68">
        <v>0.66</v>
      </c>
      <c r="AP68">
        <v>0.42970000000000003</v>
      </c>
      <c r="AQ68">
        <v>0.57030000000000003</v>
      </c>
      <c r="AR68">
        <v>8.9999999999999993E-3</v>
      </c>
      <c r="AS68">
        <v>0.5</v>
      </c>
      <c r="AT68">
        <v>1.82</v>
      </c>
      <c r="AU68">
        <v>6.3545217126973294E-2</v>
      </c>
      <c r="AV68">
        <v>0.7893</v>
      </c>
      <c r="AW68">
        <v>3</v>
      </c>
      <c r="AX68">
        <v>0.05</v>
      </c>
      <c r="AY68">
        <v>1</v>
      </c>
      <c r="AZ68">
        <v>1</v>
      </c>
      <c r="BA68" s="2">
        <f>modelo_tese_H__2[[#This Row],[Vw]]+modelo_tese_H__2[[#This Row],[Vr]]+modelo_tese_H__2[[#This Row],[K]]-modelo_tese_H__2[[#This Row],[E]]</f>
        <v>-31555.415878856402</v>
      </c>
      <c r="BB68" s="2">
        <f>modelo_tese_H__2[[#This Row],[K]]-modelo_tese_H__2[[#This Row],[Coluna1]]</f>
        <v>68637.393225296604</v>
      </c>
      <c r="BC68">
        <f>modelo_tese_H__2[[#This Row],[Coluna2]]/modelo_tese_H__2[[#This Row],[Coluna1]]</f>
        <v>-2.1751382865242745</v>
      </c>
      <c r="BD68" s="8">
        <f>modelo_tese_H__2[[#This Row],[D]]-modelo_tese_H__2[[#This Row],[Dw]]-modelo_tese_H__2[[#This Row],[Dr]]</f>
        <v>-9.822542779147625E-11</v>
      </c>
    </row>
    <row r="69" spans="1:56" x14ac:dyDescent="0.25">
      <c r="A69">
        <v>68</v>
      </c>
      <c r="B69">
        <v>68</v>
      </c>
      <c r="C69">
        <v>9337.7692951368699</v>
      </c>
      <c r="D69">
        <v>4069.4657362337198</v>
      </c>
      <c r="E69">
        <v>3621.8245052480102</v>
      </c>
      <c r="F69">
        <v>512.06684405840804</v>
      </c>
      <c r="G69">
        <v>13863.161386416199</v>
      </c>
      <c r="H69">
        <v>3196.9064377044301</v>
      </c>
      <c r="I69">
        <v>7330.7977870108498</v>
      </c>
      <c r="J69">
        <v>5761.0691670087199</v>
      </c>
      <c r="K69">
        <v>35984.600871843497</v>
      </c>
      <c r="L69">
        <v>-3261.33205077713</v>
      </c>
      <c r="M69">
        <v>41745.6700388522</v>
      </c>
      <c r="N69">
        <v>-58832.894590047603</v>
      </c>
      <c r="O69">
        <v>7001.5966598061495</v>
      </c>
      <c r="P69">
        <v>4621.0537954720603</v>
      </c>
      <c r="Q69">
        <v>7035.6645031041799</v>
      </c>
      <c r="R69">
        <v>3517.8322515520899</v>
      </c>
      <c r="S69">
        <v>3517.8322515520899</v>
      </c>
      <c r="T69">
        <v>3483.7644082540601</v>
      </c>
      <c r="U69">
        <v>1476.7929001280299</v>
      </c>
      <c r="V69">
        <v>27954.2585620481</v>
      </c>
      <c r="W69">
        <v>4421.5822157581497</v>
      </c>
      <c r="X69">
        <v>0.27004611679153401</v>
      </c>
      <c r="Y69">
        <v>39147.177260221302</v>
      </c>
      <c r="Z69">
        <v>16862.080585228301</v>
      </c>
      <c r="AA69">
        <v>0.80361543923059997</v>
      </c>
      <c r="AB69">
        <v>20374.7128277144</v>
      </c>
      <c r="AC69">
        <v>11951.851582482899</v>
      </c>
      <c r="AD69">
        <v>16373.4337982411</v>
      </c>
      <c r="AE69">
        <v>-30878.636027999499</v>
      </c>
      <c r="AF69">
        <v>-1784.5391506491001</v>
      </c>
      <c r="AG69">
        <v>5.5594999999999999E-2</v>
      </c>
      <c r="AH69">
        <v>-100578.5646289</v>
      </c>
      <c r="AI69">
        <v>44816.339147276398</v>
      </c>
      <c r="AJ69">
        <v>0.06</v>
      </c>
      <c r="AK69">
        <v>0.05</v>
      </c>
      <c r="AL69">
        <v>8.8099999999999998E-2</v>
      </c>
      <c r="AM69">
        <v>3.8100000000000002E-2</v>
      </c>
      <c r="AN69">
        <v>0.89</v>
      </c>
      <c r="AO69">
        <v>0.66</v>
      </c>
      <c r="AP69">
        <v>0.42970000000000003</v>
      </c>
      <c r="AQ69">
        <v>0.57030000000000003</v>
      </c>
      <c r="AR69">
        <v>8.9999999999999993E-3</v>
      </c>
      <c r="AS69">
        <v>0.5</v>
      </c>
      <c r="AT69">
        <v>1.82</v>
      </c>
      <c r="AU69">
        <v>6.3545217126973294E-2</v>
      </c>
      <c r="AV69">
        <v>0.7893</v>
      </c>
      <c r="AW69">
        <v>3</v>
      </c>
      <c r="AX69">
        <v>0.05</v>
      </c>
      <c r="AY69">
        <v>1</v>
      </c>
      <c r="AZ69">
        <v>1</v>
      </c>
      <c r="BA69" s="2">
        <f>modelo_tese_H__2[[#This Row],[Vw]]+modelo_tese_H__2[[#This Row],[Vr]]+modelo_tese_H__2[[#This Row],[K]]-modelo_tese_H__2[[#This Row],[E]]</f>
        <v>-33477.128806630601</v>
      </c>
      <c r="BB69" s="2">
        <f>modelo_tese_H__2[[#This Row],[K]]-modelo_tese_H__2[[#This Row],[Coluna1]]</f>
        <v>72624.306066851903</v>
      </c>
      <c r="BC69">
        <f>modelo_tese_H__2[[#This Row],[Coluna2]]/modelo_tese_H__2[[#This Row],[Coluna1]]</f>
        <v>-2.1693708109301078</v>
      </c>
      <c r="BD69" s="8">
        <f>modelo_tese_H__2[[#This Row],[D]]-modelo_tese_H__2[[#This Row],[Dw]]-modelo_tese_H__2[[#This Row],[Dr]]</f>
        <v>0</v>
      </c>
    </row>
    <row r="70" spans="1:56" x14ac:dyDescent="0.25">
      <c r="A70">
        <v>69</v>
      </c>
      <c r="B70">
        <v>69</v>
      </c>
      <c r="C70">
        <v>9860.0250645760407</v>
      </c>
      <c r="D70">
        <v>4298.3447054399903</v>
      </c>
      <c r="E70">
        <v>3825.5267878415898</v>
      </c>
      <c r="F70">
        <v>540.56888508084501</v>
      </c>
      <c r="G70">
        <v>14636.9044894585</v>
      </c>
      <c r="H70">
        <v>3374.6384511086098</v>
      </c>
      <c r="I70">
        <v>7740.7341240310498</v>
      </c>
      <c r="J70">
        <v>6082.1413168265299</v>
      </c>
      <c r="K70">
        <v>37988.226029734898</v>
      </c>
      <c r="L70">
        <v>-3442.3894185910499</v>
      </c>
      <c r="M70">
        <v>44070.367346561397</v>
      </c>
      <c r="N70">
        <v>-62275.284008638599</v>
      </c>
      <c r="O70">
        <v>7392.3760047770202</v>
      </c>
      <c r="P70">
        <v>4878.9681631528301</v>
      </c>
      <c r="Q70">
        <v>7429.1649487082695</v>
      </c>
      <c r="R70">
        <v>3714.5824743541302</v>
      </c>
      <c r="S70">
        <v>3714.5824743541302</v>
      </c>
      <c r="T70">
        <v>3677.7935304228799</v>
      </c>
      <c r="U70">
        <v>1558.5025898778899</v>
      </c>
      <c r="V70">
        <v>29512.761151925999</v>
      </c>
      <c r="W70">
        <v>4669.4877261004303</v>
      </c>
      <c r="X70">
        <v>0.27008134692907598</v>
      </c>
      <c r="Y70">
        <v>41329.049107412902</v>
      </c>
      <c r="Z70">
        <v>17816.9858369746</v>
      </c>
      <c r="AA70">
        <v>0.80379552311045899</v>
      </c>
      <c r="AB70">
        <v>21509.438055066701</v>
      </c>
      <c r="AC70">
        <v>12619.7022871839</v>
      </c>
      <c r="AD70">
        <v>17289.1900132843</v>
      </c>
      <c r="AE70">
        <v>-32762.5228567126</v>
      </c>
      <c r="AF70">
        <v>-1883.88682871317</v>
      </c>
      <c r="AG70">
        <v>5.5594999999999999E-2</v>
      </c>
      <c r="AH70">
        <v>-106345.6513552</v>
      </c>
      <c r="AI70">
        <v>47329.746988900602</v>
      </c>
      <c r="AJ70">
        <v>0.06</v>
      </c>
      <c r="AK70">
        <v>0.05</v>
      </c>
      <c r="AL70">
        <v>8.8099999999999998E-2</v>
      </c>
      <c r="AM70">
        <v>3.8100000000000002E-2</v>
      </c>
      <c r="AN70">
        <v>0.89</v>
      </c>
      <c r="AO70">
        <v>0.66</v>
      </c>
      <c r="AP70">
        <v>0.42970000000000003</v>
      </c>
      <c r="AQ70">
        <v>0.57030000000000003</v>
      </c>
      <c r="AR70">
        <v>8.9999999999999993E-3</v>
      </c>
      <c r="AS70">
        <v>0.5</v>
      </c>
      <c r="AT70">
        <v>1.82</v>
      </c>
      <c r="AU70">
        <v>6.3545217126973294E-2</v>
      </c>
      <c r="AV70">
        <v>0.7893</v>
      </c>
      <c r="AW70">
        <v>3</v>
      </c>
      <c r="AX70">
        <v>0.05</v>
      </c>
      <c r="AY70">
        <v>1</v>
      </c>
      <c r="AZ70">
        <v>1</v>
      </c>
      <c r="BA70" s="2">
        <f>modelo_tese_H__2[[#This Row],[Vw]]+modelo_tese_H__2[[#This Row],[Vr]]+modelo_tese_H__2[[#This Row],[K]]-modelo_tese_H__2[[#This Row],[E]]</f>
        <v>-35503.841095861091</v>
      </c>
      <c r="BB70" s="2">
        <f>modelo_tese_H__2[[#This Row],[K]]-modelo_tese_H__2[[#This Row],[Coluna1]]</f>
        <v>76832.890203274001</v>
      </c>
      <c r="BC70">
        <f>modelo_tese_H__2[[#This Row],[Coluna2]]/modelo_tese_H__2[[#This Row],[Coluna1]]</f>
        <v>-2.1640726138848931</v>
      </c>
      <c r="BD70" s="8">
        <f>modelo_tese_H__2[[#This Row],[D]]-modelo_tese_H__2[[#This Row],[Dw]]-modelo_tese_H__2[[#This Row],[Dr]]</f>
        <v>0</v>
      </c>
    </row>
    <row r="71" spans="1:56" x14ac:dyDescent="0.25">
      <c r="A71">
        <v>70</v>
      </c>
      <c r="B71">
        <v>70</v>
      </c>
      <c r="C71">
        <v>10411.625481687801</v>
      </c>
      <c r="D71">
        <v>4540.2727778669696</v>
      </c>
      <c r="E71">
        <v>4040.8427723015998</v>
      </c>
      <c r="F71">
        <v>570.65158575383896</v>
      </c>
      <c r="G71">
        <v>15453.8744873784</v>
      </c>
      <c r="H71">
        <v>3562.2514757979902</v>
      </c>
      <c r="I71">
        <v>8173.7458338534398</v>
      </c>
      <c r="J71">
        <v>6421.0633184092803</v>
      </c>
      <c r="K71">
        <v>40103.126093799998</v>
      </c>
      <c r="L71">
        <v>-3633.4730559864602</v>
      </c>
      <c r="M71">
        <v>46524.1894122093</v>
      </c>
      <c r="N71">
        <v>-65908.757064625097</v>
      </c>
      <c r="O71">
        <v>7804.9871148375696</v>
      </c>
      <c r="P71">
        <v>5151.2914957927896</v>
      </c>
      <c r="Q71">
        <v>7844.7755032110099</v>
      </c>
      <c r="R71">
        <v>3922.3877516055099</v>
      </c>
      <c r="S71">
        <v>3922.3877516055099</v>
      </c>
      <c r="T71">
        <v>3882.5993632320601</v>
      </c>
      <c r="U71">
        <v>1644.7197153977199</v>
      </c>
      <c r="V71">
        <v>31157.480867323698</v>
      </c>
      <c r="W71">
        <v>4931.3636552525604</v>
      </c>
      <c r="X71">
        <v>0.27011696660978202</v>
      </c>
      <c r="Y71">
        <v>43634.149363483499</v>
      </c>
      <c r="Z71">
        <v>18825.9617406217</v>
      </c>
      <c r="AA71">
        <v>0.80395388982119598</v>
      </c>
      <c r="AB71">
        <v>22708.268740336702</v>
      </c>
      <c r="AC71">
        <v>13325.0373296462</v>
      </c>
      <c r="AD71">
        <v>18256.400984898799</v>
      </c>
      <c r="AE71">
        <v>-34751.276197301398</v>
      </c>
      <c r="AF71">
        <v>-1988.75334058875</v>
      </c>
      <c r="AG71">
        <v>5.5594999999999999E-2</v>
      </c>
      <c r="AH71">
        <v>-112432.946476834</v>
      </c>
      <c r="AI71">
        <v>49983.442607945399</v>
      </c>
      <c r="AJ71">
        <v>0.06</v>
      </c>
      <c r="AK71">
        <v>0.05</v>
      </c>
      <c r="AL71">
        <v>8.8099999999999998E-2</v>
      </c>
      <c r="AM71">
        <v>3.8100000000000002E-2</v>
      </c>
      <c r="AN71">
        <v>0.89</v>
      </c>
      <c r="AO71">
        <v>0.66</v>
      </c>
      <c r="AP71">
        <v>0.42970000000000003</v>
      </c>
      <c r="AQ71">
        <v>0.57030000000000003</v>
      </c>
      <c r="AR71">
        <v>8.9999999999999993E-3</v>
      </c>
      <c r="AS71">
        <v>0.5</v>
      </c>
      <c r="AT71">
        <v>1.82</v>
      </c>
      <c r="AU71">
        <v>6.3545217126973294E-2</v>
      </c>
      <c r="AV71">
        <v>0.7893</v>
      </c>
      <c r="AW71">
        <v>3</v>
      </c>
      <c r="AX71">
        <v>0.05</v>
      </c>
      <c r="AY71">
        <v>1</v>
      </c>
      <c r="AZ71">
        <v>1</v>
      </c>
      <c r="BA71" s="2">
        <f>modelo_tese_H__2[[#This Row],[Vw]]+modelo_tese_H__2[[#This Row],[Vr]]+modelo_tese_H__2[[#This Row],[K]]-modelo_tese_H__2[[#This Row],[E]]</f>
        <v>-37641.316246026799</v>
      </c>
      <c r="BB71" s="2">
        <f>modelo_tese_H__2[[#This Row],[K]]-modelo_tese_H__2[[#This Row],[Coluna1]]</f>
        <v>81275.465609510298</v>
      </c>
      <c r="BC71">
        <f>modelo_tese_H__2[[#This Row],[Coluna2]]/modelo_tese_H__2[[#This Row],[Coluna1]]</f>
        <v>-2.1592089149669218</v>
      </c>
      <c r="BD71" s="8">
        <f>modelo_tese_H__2[[#This Row],[D]]-modelo_tese_H__2[[#This Row],[Dw]]-modelo_tese_H__2[[#This Row],[Dr]]</f>
        <v>0</v>
      </c>
    </row>
    <row r="72" spans="1:56" x14ac:dyDescent="0.25">
      <c r="A72">
        <v>71</v>
      </c>
      <c r="B72">
        <v>71</v>
      </c>
      <c r="C72">
        <v>10994.2140155574</v>
      </c>
      <c r="D72">
        <v>4795.9874138844398</v>
      </c>
      <c r="E72">
        <v>4268.4287983571503</v>
      </c>
      <c r="F72">
        <v>602.40274348189098</v>
      </c>
      <c r="G72">
        <v>16316.483667995</v>
      </c>
      <c r="H72">
        <v>3760.2948465949798</v>
      </c>
      <c r="I72">
        <v>8631.1263884340206</v>
      </c>
      <c r="J72">
        <v>6778.8235494597802</v>
      </c>
      <c r="K72">
        <v>42335.491836221197</v>
      </c>
      <c r="L72">
        <v>-3835.1389745495899</v>
      </c>
      <c r="M72">
        <v>49114.315385681002</v>
      </c>
      <c r="N72">
        <v>-69743.896039174695</v>
      </c>
      <c r="O72">
        <v>8240.6483171691707</v>
      </c>
      <c r="P72">
        <v>5438.8278893316501</v>
      </c>
      <c r="Q72">
        <v>8283.7344599070693</v>
      </c>
      <c r="R72">
        <v>4141.8672299535401</v>
      </c>
      <c r="S72">
        <v>4141.8672299535401</v>
      </c>
      <c r="T72">
        <v>4098.7810872156397</v>
      </c>
      <c r="U72">
        <v>1735.69346009229</v>
      </c>
      <c r="V72">
        <v>32893.174327416004</v>
      </c>
      <c r="W72">
        <v>5207.9941976987702</v>
      </c>
      <c r="X72">
        <v>0.27015292650705303</v>
      </c>
      <c r="Y72">
        <v>46069.402065729002</v>
      </c>
      <c r="Z72">
        <v>19892.0887083669</v>
      </c>
      <c r="AA72">
        <v>0.80409190363884797</v>
      </c>
      <c r="AB72">
        <v>23974.8073425734</v>
      </c>
      <c r="AC72">
        <v>14069.954277765701</v>
      </c>
      <c r="AD72">
        <v>19277.9484754644</v>
      </c>
      <c r="AE72">
        <v>-36850.721711758699</v>
      </c>
      <c r="AF72">
        <v>-2099.4455144572999</v>
      </c>
      <c r="AG72">
        <v>5.5594999999999999E-2</v>
      </c>
      <c r="AH72">
        <v>-118858.211424856</v>
      </c>
      <c r="AI72">
        <v>52785.263035782897</v>
      </c>
      <c r="AJ72">
        <v>0.06</v>
      </c>
      <c r="AK72">
        <v>0.05</v>
      </c>
      <c r="AL72">
        <v>8.8099999999999998E-2</v>
      </c>
      <c r="AM72">
        <v>3.8100000000000002E-2</v>
      </c>
      <c r="AN72">
        <v>0.89</v>
      </c>
      <c r="AO72">
        <v>0.66</v>
      </c>
      <c r="AP72">
        <v>0.42970000000000003</v>
      </c>
      <c r="AQ72">
        <v>0.57030000000000003</v>
      </c>
      <c r="AR72">
        <v>8.9999999999999993E-3</v>
      </c>
      <c r="AS72">
        <v>0.5</v>
      </c>
      <c r="AT72">
        <v>1.82</v>
      </c>
      <c r="AU72">
        <v>6.3545217126973294E-2</v>
      </c>
      <c r="AV72">
        <v>0.7893</v>
      </c>
      <c r="AW72">
        <v>3</v>
      </c>
      <c r="AX72">
        <v>0.05</v>
      </c>
      <c r="AY72">
        <v>1</v>
      </c>
      <c r="AZ72">
        <v>1</v>
      </c>
      <c r="BA72" s="2">
        <f>modelo_tese_H__2[[#This Row],[Vw]]+modelo_tese_H__2[[#This Row],[Vr]]+modelo_tese_H__2[[#This Row],[K]]-modelo_tese_H__2[[#This Row],[E]]</f>
        <v>-39895.635031711005</v>
      </c>
      <c r="BB72" s="2">
        <f>modelo_tese_H__2[[#This Row],[K]]-modelo_tese_H__2[[#This Row],[Coluna1]]</f>
        <v>85965.037097440014</v>
      </c>
      <c r="BC72">
        <f>modelo_tese_H__2[[#This Row],[Coluna2]]/modelo_tese_H__2[[#This Row],[Coluna1]]</f>
        <v>-2.1547479324269632</v>
      </c>
      <c r="BD72" s="8">
        <f>modelo_tese_H__2[[#This Row],[D]]-modelo_tese_H__2[[#This Row],[Dw]]-modelo_tese_H__2[[#This Row],[Dr]]</f>
        <v>0</v>
      </c>
    </row>
    <row r="73" spans="1:56" x14ac:dyDescent="0.25">
      <c r="A73">
        <v>72</v>
      </c>
      <c r="B73">
        <v>72</v>
      </c>
      <c r="C73">
        <v>11609.526076026999</v>
      </c>
      <c r="D73">
        <v>5066.2676579911804</v>
      </c>
      <c r="E73">
        <v>4508.9782156121501</v>
      </c>
      <c r="F73">
        <v>635.91503119162803</v>
      </c>
      <c r="G73">
        <v>17227.278839444702</v>
      </c>
      <c r="H73">
        <v>3969.3484385914298</v>
      </c>
      <c r="I73">
        <v>9114.2416853952109</v>
      </c>
      <c r="J73">
        <v>7156.4654034169898</v>
      </c>
      <c r="K73">
        <v>44691.858035852601</v>
      </c>
      <c r="L73">
        <v>-4047.97402740403</v>
      </c>
      <c r="M73">
        <v>51848.323439269603</v>
      </c>
      <c r="N73">
        <v>-73791.870066578704</v>
      </c>
      <c r="O73">
        <v>8700.6458785074301</v>
      </c>
      <c r="P73">
        <v>5742.4262798149002</v>
      </c>
      <c r="Q73">
        <v>8747.3493860578692</v>
      </c>
      <c r="R73">
        <v>4373.6746930289301</v>
      </c>
      <c r="S73">
        <v>4373.6746930289301</v>
      </c>
      <c r="T73">
        <v>4326.97118547849</v>
      </c>
      <c r="U73">
        <v>1831.68679484671</v>
      </c>
      <c r="V73">
        <v>34724.861122262701</v>
      </c>
      <c r="W73">
        <v>5500.2074968747602</v>
      </c>
      <c r="X73">
        <v>0.27018918041322998</v>
      </c>
      <c r="Y73">
        <v>48642.119405427104</v>
      </c>
      <c r="Z73">
        <v>21018.6215122127</v>
      </c>
      <c r="AA73">
        <v>0.804210857526097</v>
      </c>
      <c r="AB73">
        <v>25312.8582778731</v>
      </c>
      <c r="AC73">
        <v>14856.667965210099</v>
      </c>
      <c r="AD73">
        <v>20356.875462084899</v>
      </c>
      <c r="AE73">
        <v>-39067.008944316003</v>
      </c>
      <c r="AF73">
        <v>-2216.2872325573198</v>
      </c>
      <c r="AG73">
        <v>5.5594999999999999E-2</v>
      </c>
      <c r="AH73">
        <v>-125640.193505848</v>
      </c>
      <c r="AI73">
        <v>55743.482634475396</v>
      </c>
      <c r="AJ73">
        <v>0.06</v>
      </c>
      <c r="AK73">
        <v>0.05</v>
      </c>
      <c r="AL73">
        <v>8.8099999999999998E-2</v>
      </c>
      <c r="AM73">
        <v>3.8100000000000002E-2</v>
      </c>
      <c r="AN73">
        <v>0.89</v>
      </c>
      <c r="AO73">
        <v>0.66</v>
      </c>
      <c r="AP73">
        <v>0.42970000000000003</v>
      </c>
      <c r="AQ73">
        <v>0.57030000000000003</v>
      </c>
      <c r="AR73">
        <v>8.9999999999999993E-3</v>
      </c>
      <c r="AS73">
        <v>0.5</v>
      </c>
      <c r="AT73">
        <v>1.82</v>
      </c>
      <c r="AU73">
        <v>6.3545217126973294E-2</v>
      </c>
      <c r="AV73">
        <v>0.7893</v>
      </c>
      <c r="AW73">
        <v>3</v>
      </c>
      <c r="AX73">
        <v>0.05</v>
      </c>
      <c r="AY73">
        <v>1</v>
      </c>
      <c r="AZ73">
        <v>1</v>
      </c>
      <c r="BA73" s="2">
        <f>modelo_tese_H__2[[#This Row],[Vw]]+modelo_tese_H__2[[#This Row],[Vr]]+modelo_tese_H__2[[#This Row],[K]]-modelo_tese_H__2[[#This Row],[E]]</f>
        <v>-42273.212978158204</v>
      </c>
      <c r="BB73" s="2">
        <f>modelo_tese_H__2[[#This Row],[K]]-modelo_tese_H__2[[#This Row],[Coluna1]]</f>
        <v>90915.332383585308</v>
      </c>
      <c r="BC73">
        <f>modelo_tese_H__2[[#This Row],[Coluna2]]/modelo_tese_H__2[[#This Row],[Coluna1]]</f>
        <v>-2.1506605715198321</v>
      </c>
      <c r="BD73" s="8">
        <f>modelo_tese_H__2[[#This Row],[D]]-modelo_tese_H__2[[#This Row],[Dw]]-modelo_tese_H__2[[#This Row],[Dr]]</f>
        <v>0</v>
      </c>
    </row>
    <row r="74" spans="1:56" x14ac:dyDescent="0.25">
      <c r="A74">
        <v>73</v>
      </c>
      <c r="B74">
        <v>73</v>
      </c>
      <c r="C74">
        <v>12259.3941515472</v>
      </c>
      <c r="D74">
        <v>5351.9364773280304</v>
      </c>
      <c r="E74">
        <v>4763.2234648219501</v>
      </c>
      <c r="F74">
        <v>671.286268170482</v>
      </c>
      <c r="G74">
        <v>18188.948828231602</v>
      </c>
      <c r="H74">
        <v>4190.0243650349203</v>
      </c>
      <c r="I74">
        <v>9624.5340980273504</v>
      </c>
      <c r="J74">
        <v>7555.0903397172797</v>
      </c>
      <c r="K74">
        <v>47179.122609721497</v>
      </c>
      <c r="L74">
        <v>-4272.59762069932</v>
      </c>
      <c r="M74">
        <v>54734.212949438799</v>
      </c>
      <c r="N74">
        <v>-78064.467687277996</v>
      </c>
      <c r="O74">
        <v>9186.3377920361509</v>
      </c>
      <c r="P74">
        <v>6062.9829427438599</v>
      </c>
      <c r="Q74">
        <v>9237.0009940730106</v>
      </c>
      <c r="R74">
        <v>4618.5004970364998</v>
      </c>
      <c r="S74">
        <v>4618.5004970364998</v>
      </c>
      <c r="T74">
        <v>4567.8372949996501</v>
      </c>
      <c r="U74">
        <v>1932.9772414797901</v>
      </c>
      <c r="V74">
        <v>36657.838363742499</v>
      </c>
      <c r="W74">
        <v>5808.878104849</v>
      </c>
      <c r="X74">
        <v>0.27022568507411798</v>
      </c>
      <c r="Y74">
        <v>51360.0234711421</v>
      </c>
      <c r="Z74">
        <v>22208.999120025201</v>
      </c>
      <c r="AA74">
        <v>0.80431197577841695</v>
      </c>
      <c r="AB74">
        <v>26726.4392337512</v>
      </c>
      <c r="AC74">
        <v>15687.517040771199</v>
      </c>
      <c r="AD74">
        <v>21496.395145620201</v>
      </c>
      <c r="AE74">
        <v>-41406.629323535497</v>
      </c>
      <c r="AF74">
        <v>-2339.6203792195302</v>
      </c>
      <c r="AG74">
        <v>5.5594999999999999E-2</v>
      </c>
      <c r="AH74">
        <v>-132798.68063671701</v>
      </c>
      <c r="AI74">
        <v>58866.837483767697</v>
      </c>
      <c r="AJ74">
        <v>0.06</v>
      </c>
      <c r="AK74">
        <v>0.05</v>
      </c>
      <c r="AL74">
        <v>8.8099999999999998E-2</v>
      </c>
      <c r="AM74">
        <v>3.8100000000000002E-2</v>
      </c>
      <c r="AN74">
        <v>0.89</v>
      </c>
      <c r="AO74">
        <v>0.66</v>
      </c>
      <c r="AP74">
        <v>0.42970000000000003</v>
      </c>
      <c r="AQ74">
        <v>0.57030000000000003</v>
      </c>
      <c r="AR74">
        <v>8.9999999999999993E-3</v>
      </c>
      <c r="AS74">
        <v>0.5</v>
      </c>
      <c r="AT74">
        <v>1.82</v>
      </c>
      <c r="AU74">
        <v>6.3545217126973294E-2</v>
      </c>
      <c r="AV74">
        <v>0.7893</v>
      </c>
      <c r="AW74">
        <v>3</v>
      </c>
      <c r="AX74">
        <v>0.05</v>
      </c>
      <c r="AY74">
        <v>1</v>
      </c>
      <c r="AZ74">
        <v>1</v>
      </c>
      <c r="BA74" s="2">
        <f>modelo_tese_H__2[[#This Row],[Vw]]+modelo_tese_H__2[[#This Row],[Vr]]+modelo_tese_H__2[[#This Row],[K]]-modelo_tese_H__2[[#This Row],[E]]</f>
        <v>-44780.818801832414</v>
      </c>
      <c r="BB74" s="2">
        <f>modelo_tese_H__2[[#This Row],[K]]-modelo_tese_H__2[[#This Row],[Coluna1]]</f>
        <v>96140.842272974522</v>
      </c>
      <c r="BC74">
        <f>modelo_tese_H__2[[#This Row],[Coluna2]]/modelo_tese_H__2[[#This Row],[Coluna1]]</f>
        <v>-2.1469201512018907</v>
      </c>
      <c r="BD74" s="8">
        <f>modelo_tese_H__2[[#This Row],[D]]-modelo_tese_H__2[[#This Row],[Dw]]-modelo_tese_H__2[[#This Row],[Dr]]</f>
        <v>0</v>
      </c>
    </row>
    <row r="75" spans="1:56" x14ac:dyDescent="0.25">
      <c r="A75">
        <v>74</v>
      </c>
      <c r="B75">
        <v>74</v>
      </c>
      <c r="C75">
        <v>12945.753233846401</v>
      </c>
      <c r="D75">
        <v>5653.8632313992102</v>
      </c>
      <c r="E75">
        <v>5031.9382759453001</v>
      </c>
      <c r="F75">
        <v>708.61970595197397</v>
      </c>
      <c r="G75">
        <v>19204.332394984802</v>
      </c>
      <c r="H75">
        <v>4422.9687696090396</v>
      </c>
      <c r="I75">
        <v>10163.526751506301</v>
      </c>
      <c r="J75">
        <v>7975.8611037260198</v>
      </c>
      <c r="K75">
        <v>49804.566807900199</v>
      </c>
      <c r="L75">
        <v>-4509.6635201071003</v>
      </c>
      <c r="M75">
        <v>57780.427911626197</v>
      </c>
      <c r="N75">
        <v>-82574.1312073851</v>
      </c>
      <c r="O75">
        <v>9699.1577752448302</v>
      </c>
      <c r="P75">
        <v>6401.4441316615903</v>
      </c>
      <c r="Q75">
        <v>9754.1472287985507</v>
      </c>
      <c r="R75">
        <v>4877.0736143992799</v>
      </c>
      <c r="S75">
        <v>4877.0736143992799</v>
      </c>
      <c r="T75">
        <v>4822.0841608455603</v>
      </c>
      <c r="U75">
        <v>2039.8576785054299</v>
      </c>
      <c r="V75">
        <v>38697.696042247902</v>
      </c>
      <c r="W75">
        <v>6134.9295794770896</v>
      </c>
      <c r="X75">
        <v>0.27026240003003099</v>
      </c>
      <c r="Y75">
        <v>54231.269207498997</v>
      </c>
      <c r="Z75">
        <v>23466.855085103001</v>
      </c>
      <c r="AA75">
        <v>0.80439641670387996</v>
      </c>
      <c r="AB75">
        <v>28219.793116012199</v>
      </c>
      <c r="AC75">
        <v>16564.970883167902</v>
      </c>
      <c r="AD75">
        <v>22699.900462645001</v>
      </c>
      <c r="AE75">
        <v>-43876.435165137198</v>
      </c>
      <c r="AF75">
        <v>-2469.8058416016602</v>
      </c>
      <c r="AG75">
        <v>5.5594999999999999E-2</v>
      </c>
      <c r="AH75">
        <v>-140354.55911901101</v>
      </c>
      <c r="AI75">
        <v>62164.551127350998</v>
      </c>
      <c r="AJ75">
        <v>0.06</v>
      </c>
      <c r="AK75">
        <v>0.05</v>
      </c>
      <c r="AL75">
        <v>8.8099999999999998E-2</v>
      </c>
      <c r="AM75">
        <v>3.8100000000000002E-2</v>
      </c>
      <c r="AN75">
        <v>0.89</v>
      </c>
      <c r="AO75">
        <v>0.66</v>
      </c>
      <c r="AP75">
        <v>0.42970000000000003</v>
      </c>
      <c r="AQ75">
        <v>0.57030000000000003</v>
      </c>
      <c r="AR75">
        <v>8.9999999999999993E-3</v>
      </c>
      <c r="AS75">
        <v>0.5</v>
      </c>
      <c r="AT75">
        <v>1.82</v>
      </c>
      <c r="AU75">
        <v>6.3545217126973294E-2</v>
      </c>
      <c r="AV75">
        <v>0.7893</v>
      </c>
      <c r="AW75">
        <v>3</v>
      </c>
      <c r="AX75">
        <v>0.05</v>
      </c>
      <c r="AY75">
        <v>1</v>
      </c>
      <c r="AZ75">
        <v>1</v>
      </c>
      <c r="BA75" s="2">
        <f>modelo_tese_H__2[[#This Row],[Vw]]+modelo_tese_H__2[[#This Row],[Vr]]+modelo_tese_H__2[[#This Row],[K]]-modelo_tese_H__2[[#This Row],[E]]</f>
        <v>-47425.593869264012</v>
      </c>
      <c r="BB75" s="2">
        <f>modelo_tese_H__2[[#This Row],[K]]-modelo_tese_H__2[[#This Row],[Coluna1]]</f>
        <v>101656.86307676301</v>
      </c>
      <c r="BC75">
        <f>modelo_tese_H__2[[#This Row],[Coluna2]]/modelo_tese_H__2[[#This Row],[Coluna1]]</f>
        <v>-2.1435021637682783</v>
      </c>
      <c r="BD75" s="8">
        <f>modelo_tese_H__2[[#This Row],[D]]-modelo_tese_H__2[[#This Row],[Dw]]-modelo_tese_H__2[[#This Row],[Dr]]</f>
        <v>0</v>
      </c>
    </row>
    <row r="76" spans="1:56" x14ac:dyDescent="0.25">
      <c r="A76">
        <v>75</v>
      </c>
      <c r="B76">
        <v>75</v>
      </c>
      <c r="C76">
        <v>13670.6465454181</v>
      </c>
      <c r="D76">
        <v>5972.9662803511201</v>
      </c>
      <c r="E76">
        <v>5315.9399895124998</v>
      </c>
      <c r="F76">
        <v>748.02433008366199</v>
      </c>
      <c r="G76">
        <v>20276.4265911857</v>
      </c>
      <c r="H76">
        <v>4668.8637183554501</v>
      </c>
      <c r="I76">
        <v>10732.8280379516</v>
      </c>
      <c r="J76">
        <v>8420.0051257577306</v>
      </c>
      <c r="K76">
        <v>52575.876530874601</v>
      </c>
      <c r="L76">
        <v>-4759.8617576004899</v>
      </c>
      <c r="M76">
        <v>60995.881656632402</v>
      </c>
      <c r="N76">
        <v>-87333.992964985606</v>
      </c>
      <c r="O76">
        <v>10240.6194904978</v>
      </c>
      <c r="P76">
        <v>6758.80886372858</v>
      </c>
      <c r="Q76">
        <v>10300.3275829672</v>
      </c>
      <c r="R76">
        <v>5150.1637914835801</v>
      </c>
      <c r="S76">
        <v>5150.1637914835801</v>
      </c>
      <c r="T76">
        <v>5090.4556990142701</v>
      </c>
      <c r="U76">
        <v>2152.6371915477598</v>
      </c>
      <c r="V76">
        <v>40850.333233795704</v>
      </c>
      <c r="W76">
        <v>6479.33722670509</v>
      </c>
      <c r="X76">
        <v>0.27029928746336401</v>
      </c>
      <c r="Y76">
        <v>57264.468657342302</v>
      </c>
      <c r="Z76">
        <v>24796.028520324599</v>
      </c>
      <c r="AA76">
        <v>0.80446527531442102</v>
      </c>
      <c r="AB76">
        <v>29797.400663461001</v>
      </c>
      <c r="AC76">
        <v>17491.636901680198</v>
      </c>
      <c r="AD76">
        <v>23970.9741283853</v>
      </c>
      <c r="AE76">
        <v>-46483.659731189902</v>
      </c>
      <c r="AF76">
        <v>-2607.2245660527301</v>
      </c>
      <c r="AG76">
        <v>5.5594999999999999E-2</v>
      </c>
      <c r="AH76">
        <v>-148329.87462161799</v>
      </c>
      <c r="AI76">
        <v>65646.361754120197</v>
      </c>
      <c r="AJ76">
        <v>0.06</v>
      </c>
      <c r="AK76">
        <v>0.05</v>
      </c>
      <c r="AL76">
        <v>8.8099999999999998E-2</v>
      </c>
      <c r="AM76">
        <v>3.8100000000000002E-2</v>
      </c>
      <c r="AN76">
        <v>0.89</v>
      </c>
      <c r="AO76">
        <v>0.66</v>
      </c>
      <c r="AP76">
        <v>0.42970000000000003</v>
      </c>
      <c r="AQ76">
        <v>0.57030000000000003</v>
      </c>
      <c r="AR76">
        <v>8.9999999999999993E-3</v>
      </c>
      <c r="AS76">
        <v>0.5</v>
      </c>
      <c r="AT76">
        <v>1.82</v>
      </c>
      <c r="AU76">
        <v>6.3545217126973294E-2</v>
      </c>
      <c r="AV76">
        <v>0.7893</v>
      </c>
      <c r="AW76">
        <v>3</v>
      </c>
      <c r="AX76">
        <v>0.05</v>
      </c>
      <c r="AY76">
        <v>1</v>
      </c>
      <c r="AZ76">
        <v>1</v>
      </c>
      <c r="BA76" s="2">
        <f>modelo_tese_H__2[[#This Row],[Vw]]+modelo_tese_H__2[[#This Row],[Vr]]+modelo_tese_H__2[[#This Row],[K]]-modelo_tese_H__2[[#This Row],[E]]</f>
        <v>-50215.072730480082</v>
      </c>
      <c r="BB76" s="2">
        <f>modelo_tese_H__2[[#This Row],[K]]-modelo_tese_H__2[[#This Row],[Coluna1]]</f>
        <v>107479.54138782239</v>
      </c>
      <c r="BC76">
        <f>modelo_tese_H__2[[#This Row],[Coluna2]]/modelo_tese_H__2[[#This Row],[Coluna1]]</f>
        <v>-2.1403840628629283</v>
      </c>
      <c r="BD76" s="8">
        <f>modelo_tese_H__2[[#This Row],[D]]-modelo_tese_H__2[[#This Row],[Dw]]-modelo_tese_H__2[[#This Row],[Dr]]</f>
        <v>0</v>
      </c>
    </row>
    <row r="77" spans="1:56" x14ac:dyDescent="0.25">
      <c r="A77">
        <v>76</v>
      </c>
      <c r="B77">
        <v>76</v>
      </c>
      <c r="C77">
        <v>14436.2315867168</v>
      </c>
      <c r="D77">
        <v>6310.2157395686399</v>
      </c>
      <c r="E77">
        <v>5616.0920082160901</v>
      </c>
      <c r="F77">
        <v>789.61517866026497</v>
      </c>
      <c r="G77">
        <v>21408.395581421399</v>
      </c>
      <c r="H77">
        <v>4928.4291967774197</v>
      </c>
      <c r="I77">
        <v>11334.1363836538</v>
      </c>
      <c r="J77">
        <v>8888.8181091266197</v>
      </c>
      <c r="K77">
        <v>55501.164831825699</v>
      </c>
      <c r="L77">
        <v>-5023.9206440851403</v>
      </c>
      <c r="M77">
        <v>64389.982940952403</v>
      </c>
      <c r="N77">
        <v>-92357.913609070703</v>
      </c>
      <c r="O77">
        <v>10812.3210007179</v>
      </c>
      <c r="P77">
        <v>7136.1318604737999</v>
      </c>
      <c r="Q77">
        <v>10877.167653537101</v>
      </c>
      <c r="R77">
        <v>5438.5838267685604</v>
      </c>
      <c r="S77">
        <v>5438.5838267685604</v>
      </c>
      <c r="T77">
        <v>5373.7371739493101</v>
      </c>
      <c r="U77">
        <v>2271.64197088626</v>
      </c>
      <c r="V77">
        <v>43121.975204681898</v>
      </c>
      <c r="W77">
        <v>6843.1309961263796</v>
      </c>
      <c r="X77">
        <v>0.27033631205264902</v>
      </c>
      <c r="Y77">
        <v>60468.716558977103</v>
      </c>
      <c r="Z77">
        <v>26200.575689682399</v>
      </c>
      <c r="AA77">
        <v>0.80451958600955598</v>
      </c>
      <c r="AB77">
        <v>31463.993767770498</v>
      </c>
      <c r="AC77">
        <v>18470.268244127601</v>
      </c>
      <c r="AD77">
        <v>25313.399240253999</v>
      </c>
      <c r="AE77">
        <v>-49235.938404388799</v>
      </c>
      <c r="AF77">
        <v>-2752.2786731988799</v>
      </c>
      <c r="AG77">
        <v>5.5594999999999999E-2</v>
      </c>
      <c r="AH77">
        <v>-156747.896550023</v>
      </c>
      <c r="AI77">
        <v>69322.550894364307</v>
      </c>
      <c r="AJ77">
        <v>0.06</v>
      </c>
      <c r="AK77">
        <v>0.05</v>
      </c>
      <c r="AL77">
        <v>8.8099999999999998E-2</v>
      </c>
      <c r="AM77">
        <v>3.8100000000000002E-2</v>
      </c>
      <c r="AN77">
        <v>0.89</v>
      </c>
      <c r="AO77">
        <v>0.66</v>
      </c>
      <c r="AP77">
        <v>0.42970000000000003</v>
      </c>
      <c r="AQ77">
        <v>0.57030000000000003</v>
      </c>
      <c r="AR77">
        <v>8.9999999999999993E-3</v>
      </c>
      <c r="AS77">
        <v>0.5</v>
      </c>
      <c r="AT77">
        <v>1.82</v>
      </c>
      <c r="AU77">
        <v>6.3545217126973294E-2</v>
      </c>
      <c r="AV77">
        <v>0.7893</v>
      </c>
      <c r="AW77">
        <v>3</v>
      </c>
      <c r="AX77">
        <v>0.05</v>
      </c>
      <c r="AY77">
        <v>1</v>
      </c>
      <c r="AZ77">
        <v>1</v>
      </c>
      <c r="BA77" s="2">
        <f>modelo_tese_H__2[[#This Row],[Vw]]+modelo_tese_H__2[[#This Row],[Vr]]+modelo_tese_H__2[[#This Row],[K]]-modelo_tese_H__2[[#This Row],[E]]</f>
        <v>-53157.204786363989</v>
      </c>
      <c r="BB77" s="2">
        <f>modelo_tese_H__2[[#This Row],[K]]-modelo_tese_H__2[[#This Row],[Coluna1]]</f>
        <v>113625.92134534109</v>
      </c>
      <c r="BC77">
        <f>modelo_tese_H__2[[#This Row],[Coluna2]]/modelo_tese_H__2[[#This Row],[Coluna1]]</f>
        <v>-2.1375450760061163</v>
      </c>
      <c r="BD77" s="8">
        <f>modelo_tese_H__2[[#This Row],[D]]-modelo_tese_H__2[[#This Row],[Dw]]-modelo_tese_H__2[[#This Row],[Dr]]</f>
        <v>0</v>
      </c>
    </row>
    <row r="78" spans="1:56" x14ac:dyDescent="0.25">
      <c r="A78">
        <v>77</v>
      </c>
      <c r="B78">
        <v>77</v>
      </c>
      <c r="C78">
        <v>15244.786520896199</v>
      </c>
      <c r="D78">
        <v>6666.6363887828302</v>
      </c>
      <c r="E78">
        <v>5933.3063860167204</v>
      </c>
      <c r="F78">
        <v>833.51367855351998</v>
      </c>
      <c r="G78">
        <v>22603.579957087099</v>
      </c>
      <c r="H78">
        <v>5202.4252179722598</v>
      </c>
      <c r="I78">
        <v>11969.245282542501</v>
      </c>
      <c r="J78">
        <v>9383.6678177224203</v>
      </c>
      <c r="K78">
        <v>58588.9956697054</v>
      </c>
      <c r="L78">
        <v>-5302.6088937596696</v>
      </c>
      <c r="M78">
        <v>67972.663487427897</v>
      </c>
      <c r="N78">
        <v>-97660.522502830398</v>
      </c>
      <c r="O78">
        <v>11415.9494732763</v>
      </c>
      <c r="P78">
        <v>7534.5266523623704</v>
      </c>
      <c r="Q78">
        <v>11486.3839523568</v>
      </c>
      <c r="R78">
        <v>5743.1919761784202</v>
      </c>
      <c r="S78">
        <v>5743.1919761784202</v>
      </c>
      <c r="T78">
        <v>5672.7574970979003</v>
      </c>
      <c r="U78">
        <v>2397.2162587441899</v>
      </c>
      <c r="V78">
        <v>45519.191463426097</v>
      </c>
      <c r="W78">
        <v>7227.3985383481904</v>
      </c>
      <c r="X78">
        <v>0.27037344083305498</v>
      </c>
      <c r="Y78">
        <v>63853.617374195703</v>
      </c>
      <c r="Z78">
        <v>27684.782251852099</v>
      </c>
      <c r="AA78">
        <v>0.80456032523643795</v>
      </c>
      <c r="AB78">
        <v>33224.569537899501</v>
      </c>
      <c r="AC78">
        <v>19503.7719349049</v>
      </c>
      <c r="AD78">
        <v>26731.1704732531</v>
      </c>
      <c r="AE78">
        <v>-52141.3310394043</v>
      </c>
      <c r="AF78">
        <v>-2905.3926350154902</v>
      </c>
      <c r="AG78">
        <v>5.5594999999999999E-2</v>
      </c>
      <c r="AH78">
        <v>-165633.185990258</v>
      </c>
      <c r="AI78">
        <v>73203.973715278204</v>
      </c>
      <c r="AJ78">
        <v>0.06</v>
      </c>
      <c r="AK78">
        <v>0.05</v>
      </c>
      <c r="AL78">
        <v>8.8099999999999998E-2</v>
      </c>
      <c r="AM78">
        <v>3.8100000000000002E-2</v>
      </c>
      <c r="AN78">
        <v>0.89</v>
      </c>
      <c r="AO78">
        <v>0.66</v>
      </c>
      <c r="AP78">
        <v>0.42970000000000003</v>
      </c>
      <c r="AQ78">
        <v>0.57030000000000003</v>
      </c>
      <c r="AR78">
        <v>8.9999999999999993E-3</v>
      </c>
      <c r="AS78">
        <v>0.5</v>
      </c>
      <c r="AT78">
        <v>1.82</v>
      </c>
      <c r="AU78">
        <v>6.3545217126973294E-2</v>
      </c>
      <c r="AV78">
        <v>0.7893</v>
      </c>
      <c r="AW78">
        <v>3</v>
      </c>
      <c r="AX78">
        <v>0.05</v>
      </c>
      <c r="AY78">
        <v>1</v>
      </c>
      <c r="AZ78">
        <v>1</v>
      </c>
      <c r="BA78" s="2">
        <f>modelo_tese_H__2[[#This Row],[Vw]]+modelo_tese_H__2[[#This Row],[Vr]]+modelo_tese_H__2[[#This Row],[K]]-modelo_tese_H__2[[#This Row],[E]]</f>
        <v>-56260.377152636196</v>
      </c>
      <c r="BB78" s="2">
        <f>modelo_tese_H__2[[#This Row],[K]]-modelo_tese_H__2[[#This Row],[Coluna1]]</f>
        <v>120113.9945268319</v>
      </c>
      <c r="BC78">
        <f>modelo_tese_H__2[[#This Row],[Coluna2]]/modelo_tese_H__2[[#This Row],[Coluna1]]</f>
        <v>-2.1349660383711755</v>
      </c>
      <c r="BD78" s="8">
        <f>modelo_tese_H__2[[#This Row],[D]]-modelo_tese_H__2[[#This Row],[Dw]]-modelo_tese_H__2[[#This Row],[Dr]]</f>
        <v>0</v>
      </c>
    </row>
    <row r="79" spans="1:56" x14ac:dyDescent="0.25">
      <c r="A79">
        <v>78</v>
      </c>
      <c r="B79">
        <v>78</v>
      </c>
      <c r="C79">
        <v>16098.7169149158</v>
      </c>
      <c r="D79">
        <v>7043.3107443420704</v>
      </c>
      <c r="E79">
        <v>6268.5465624644403</v>
      </c>
      <c r="F79">
        <v>879.84800032209898</v>
      </c>
      <c r="G79">
        <v>23865.506568906399</v>
      </c>
      <c r="H79">
        <v>5491.6540479654304</v>
      </c>
      <c r="I79">
        <v>12640.048610751999</v>
      </c>
      <c r="J79">
        <v>9905.9980741892905</v>
      </c>
      <c r="K79">
        <v>61848.408982655099</v>
      </c>
      <c r="L79">
        <v>-5596.7378664098997</v>
      </c>
      <c r="M79">
        <v>71754.4070568444</v>
      </c>
      <c r="N79">
        <v>-103257.26036924</v>
      </c>
      <c r="O79">
        <v>12053.2861459123</v>
      </c>
      <c r="P79">
        <v>7955.1688563021398</v>
      </c>
      <c r="Q79">
        <v>12129.788985339899</v>
      </c>
      <c r="R79">
        <v>6064.8944926699396</v>
      </c>
      <c r="S79">
        <v>6064.8944926699396</v>
      </c>
      <c r="T79">
        <v>5988.39165324239</v>
      </c>
      <c r="U79">
        <v>2529.7233490785402</v>
      </c>
      <c r="V79">
        <v>48048.914812504598</v>
      </c>
      <c r="W79">
        <v>7633.2884332015901</v>
      </c>
      <c r="X79">
        <v>0.270410643063212</v>
      </c>
      <c r="Y79">
        <v>67429.313827011298</v>
      </c>
      <c r="Z79">
        <v>29253.176192383798</v>
      </c>
      <c r="AA79">
        <v>0.80458841411273396</v>
      </c>
      <c r="AB79">
        <v>35084.405150657003</v>
      </c>
      <c r="AC79">
        <v>20595.217467054099</v>
      </c>
      <c r="AD79">
        <v>28228.505900255699</v>
      </c>
      <c r="AE79">
        <v>-55208.345556735701</v>
      </c>
      <c r="AF79">
        <v>-3067.0145173313699</v>
      </c>
      <c r="AG79">
        <v>5.5594999999999999E-2</v>
      </c>
      <c r="AH79">
        <v>-175011.66742608501</v>
      </c>
      <c r="AI79">
        <v>77302.091004888396</v>
      </c>
      <c r="AJ79">
        <v>0.06</v>
      </c>
      <c r="AK79">
        <v>0.05</v>
      </c>
      <c r="AL79">
        <v>8.8099999999999998E-2</v>
      </c>
      <c r="AM79">
        <v>3.8100000000000002E-2</v>
      </c>
      <c r="AN79">
        <v>0.89</v>
      </c>
      <c r="AO79">
        <v>0.66</v>
      </c>
      <c r="AP79">
        <v>0.42970000000000003</v>
      </c>
      <c r="AQ79">
        <v>0.57030000000000003</v>
      </c>
      <c r="AR79">
        <v>8.9999999999999993E-3</v>
      </c>
      <c r="AS79">
        <v>0.5</v>
      </c>
      <c r="AT79">
        <v>1.82</v>
      </c>
      <c r="AU79">
        <v>6.3545217126973294E-2</v>
      </c>
      <c r="AV79">
        <v>0.7893</v>
      </c>
      <c r="AW79">
        <v>3</v>
      </c>
      <c r="AX79">
        <v>0.05</v>
      </c>
      <c r="AY79">
        <v>1</v>
      </c>
      <c r="AZ79">
        <v>1</v>
      </c>
      <c r="BA79" s="2">
        <f>modelo_tese_H__2[[#This Row],[Vw]]+modelo_tese_H__2[[#This Row],[Vr]]+modelo_tese_H__2[[#This Row],[K]]-modelo_tese_H__2[[#This Row],[E]]</f>
        <v>-59533.438786569117</v>
      </c>
      <c r="BB79" s="2">
        <f>modelo_tese_H__2[[#This Row],[K]]-modelo_tese_H__2[[#This Row],[Coluna1]]</f>
        <v>126962.75261358041</v>
      </c>
      <c r="BC79">
        <f>modelo_tese_H__2[[#This Row],[Coluna2]]/modelo_tese_H__2[[#This Row],[Coluna1]]</f>
        <v>-2.1326292450323483</v>
      </c>
      <c r="BD79" s="8">
        <f>modelo_tese_H__2[[#This Row],[D]]-modelo_tese_H__2[[#This Row],[Dw]]-modelo_tese_H__2[[#This Row],[Dr]]</f>
        <v>-2.9831426218152046E-10</v>
      </c>
    </row>
    <row r="80" spans="1:56" x14ac:dyDescent="0.25">
      <c r="A80">
        <v>79</v>
      </c>
      <c r="B80">
        <v>79</v>
      </c>
      <c r="C80">
        <v>17000.562856894001</v>
      </c>
      <c r="D80">
        <v>7441.3823037837501</v>
      </c>
      <c r="E80">
        <v>6622.8302503675404</v>
      </c>
      <c r="F80">
        <v>928.753432839536</v>
      </c>
      <c r="G80">
        <v>25197.898907158298</v>
      </c>
      <c r="H80">
        <v>5796.9625547620699</v>
      </c>
      <c r="I80">
        <v>13348.5462379691</v>
      </c>
      <c r="J80">
        <v>10457.3329804022</v>
      </c>
      <c r="K80">
        <v>65288.947155178001</v>
      </c>
      <c r="L80">
        <v>-5907.1639341853997</v>
      </c>
      <c r="M80">
        <v>75746.280135580193</v>
      </c>
      <c r="N80">
        <v>-109164.424303426</v>
      </c>
      <c r="O80">
        <v>12726.2115692719</v>
      </c>
      <c r="P80">
        <v>8399.2996357194206</v>
      </c>
      <c r="Q80">
        <v>12809.2966151277</v>
      </c>
      <c r="R80">
        <v>6404.6483075638598</v>
      </c>
      <c r="S80">
        <v>6404.6483075638598</v>
      </c>
      <c r="T80">
        <v>6321.56326170799</v>
      </c>
      <c r="U80">
        <v>2669.5466427831602</v>
      </c>
      <c r="V80">
        <v>50718.461455287797</v>
      </c>
      <c r="W80">
        <v>8062.0135983331302</v>
      </c>
      <c r="X80">
        <v>0.27044789009824199</v>
      </c>
      <c r="Y80">
        <v>71206.517037484198</v>
      </c>
      <c r="Z80">
        <v>30910.541483153102</v>
      </c>
      <c r="AA80">
        <v>0.80460472100112101</v>
      </c>
      <c r="AB80">
        <v>37049.073531324902</v>
      </c>
      <c r="AC80">
        <v>21747.845873688599</v>
      </c>
      <c r="AD80">
        <v>29809.859472021701</v>
      </c>
      <c r="AE80">
        <v>-58445.962848137897</v>
      </c>
      <c r="AF80">
        <v>-3237.61729140224</v>
      </c>
      <c r="AG80">
        <v>5.5594999999999999E-2</v>
      </c>
      <c r="AH80">
        <v>-184910.70443900599</v>
      </c>
      <c r="AI80">
        <v>81629.002938440899</v>
      </c>
      <c r="AJ80">
        <v>0.06</v>
      </c>
      <c r="AK80">
        <v>0.05</v>
      </c>
      <c r="AL80">
        <v>8.8099999999999998E-2</v>
      </c>
      <c r="AM80">
        <v>3.8100000000000002E-2</v>
      </c>
      <c r="AN80">
        <v>0.89</v>
      </c>
      <c r="AO80">
        <v>0.66</v>
      </c>
      <c r="AP80">
        <v>0.42970000000000003</v>
      </c>
      <c r="AQ80">
        <v>0.57030000000000003</v>
      </c>
      <c r="AR80">
        <v>8.9999999999999993E-3</v>
      </c>
      <c r="AS80">
        <v>0.5</v>
      </c>
      <c r="AT80">
        <v>1.82</v>
      </c>
      <c r="AU80">
        <v>6.3545217126973294E-2</v>
      </c>
      <c r="AV80">
        <v>0.7893</v>
      </c>
      <c r="AW80">
        <v>3</v>
      </c>
      <c r="AX80">
        <v>0.05</v>
      </c>
      <c r="AY80">
        <v>1</v>
      </c>
      <c r="AZ80">
        <v>1</v>
      </c>
      <c r="BA80" s="2">
        <f>modelo_tese_H__2[[#This Row],[Vw]]+modelo_tese_H__2[[#This Row],[Vr]]+modelo_tese_H__2[[#This Row],[K]]-modelo_tese_H__2[[#This Row],[E]]</f>
        <v>-62985.725946233993</v>
      </c>
      <c r="BB80" s="2">
        <f>modelo_tese_H__2[[#This Row],[K]]-modelo_tese_H__2[[#This Row],[Coluna1]]</f>
        <v>134192.2429837182</v>
      </c>
      <c r="BC80">
        <f>modelo_tese_H__2[[#This Row],[Coluna2]]/modelo_tese_H__2[[#This Row],[Coluna1]]</f>
        <v>-2.1305183193136119</v>
      </c>
      <c r="BD80" s="8">
        <f>modelo_tese_H__2[[#This Row],[D]]-modelo_tese_H__2[[#This Row],[Dw]]-modelo_tese_H__2[[#This Row],[Dr]]</f>
        <v>3.0559021979570389E-10</v>
      </c>
    </row>
    <row r="81" spans="1:56" x14ac:dyDescent="0.25">
      <c r="A81">
        <v>80</v>
      </c>
      <c r="B81">
        <v>80</v>
      </c>
      <c r="C81">
        <v>17953.0064706905</v>
      </c>
      <c r="D81">
        <v>7862.0589723524399</v>
      </c>
      <c r="E81">
        <v>6997.2324853936798</v>
      </c>
      <c r="F81">
        <v>980.37277873583298</v>
      </c>
      <c r="G81">
        <v>26604.6880601103</v>
      </c>
      <c r="H81">
        <v>6119.2446879940699</v>
      </c>
      <c r="I81">
        <v>14096.849952123601</v>
      </c>
      <c r="J81">
        <v>11039.281372584701</v>
      </c>
      <c r="K81">
        <v>68920.682956559802</v>
      </c>
      <c r="L81">
        <v>-6234.79097977113</v>
      </c>
      <c r="M81">
        <v>79959.964329144495</v>
      </c>
      <c r="N81">
        <v>-115399.215283197</v>
      </c>
      <c r="O81">
        <v>13436.711141469899</v>
      </c>
      <c r="P81">
        <v>8868.2293533701104</v>
      </c>
      <c r="Q81">
        <v>13526.927723050499</v>
      </c>
      <c r="R81">
        <v>6763.4638615252497</v>
      </c>
      <c r="S81">
        <v>6763.4638615252497</v>
      </c>
      <c r="T81">
        <v>6673.2472799446195</v>
      </c>
      <c r="U81">
        <v>2817.0907613777099</v>
      </c>
      <c r="V81">
        <v>53535.552216665499</v>
      </c>
      <c r="W81">
        <v>8514.8548882472896</v>
      </c>
      <c r="X81">
        <v>0.27048515526886002</v>
      </c>
      <c r="Y81">
        <v>75196.538339728999</v>
      </c>
      <c r="Z81">
        <v>32661.9325098751</v>
      </c>
      <c r="AA81">
        <v>0.80461006402613999</v>
      </c>
      <c r="AB81">
        <v>39124.459910705598</v>
      </c>
      <c r="AC81">
        <v>22965.079305493698</v>
      </c>
      <c r="AD81">
        <v>31479.934193740999</v>
      </c>
      <c r="AE81">
        <v>-61863.663066531299</v>
      </c>
      <c r="AF81">
        <v>-3417.7002183934201</v>
      </c>
      <c r="AG81">
        <v>5.5594999999999999E-2</v>
      </c>
      <c r="AH81">
        <v>-195359.17961234099</v>
      </c>
      <c r="AI81">
        <v>86197.484726540599</v>
      </c>
      <c r="AJ81">
        <v>0.06</v>
      </c>
      <c r="AK81">
        <v>0.05</v>
      </c>
      <c r="AL81">
        <v>8.8099999999999998E-2</v>
      </c>
      <c r="AM81">
        <v>3.8100000000000002E-2</v>
      </c>
      <c r="AN81">
        <v>0.89</v>
      </c>
      <c r="AO81">
        <v>0.66</v>
      </c>
      <c r="AP81">
        <v>0.42970000000000003</v>
      </c>
      <c r="AQ81">
        <v>0.57030000000000003</v>
      </c>
      <c r="AR81">
        <v>8.9999999999999993E-3</v>
      </c>
      <c r="AS81">
        <v>0.5</v>
      </c>
      <c r="AT81">
        <v>1.82</v>
      </c>
      <c r="AU81">
        <v>6.3545217126973294E-2</v>
      </c>
      <c r="AV81">
        <v>0.7893</v>
      </c>
      <c r="AW81">
        <v>3</v>
      </c>
      <c r="AX81">
        <v>0.05</v>
      </c>
      <c r="AY81">
        <v>1</v>
      </c>
      <c r="AZ81">
        <v>1</v>
      </c>
      <c r="BA81" s="2">
        <f>modelo_tese_H__2[[#This Row],[Vw]]+modelo_tese_H__2[[#This Row],[Vr]]+modelo_tese_H__2[[#This Row],[K]]-modelo_tese_H__2[[#This Row],[E]]</f>
        <v>-66627.08905594649</v>
      </c>
      <c r="BB81" s="2">
        <f>modelo_tese_H__2[[#This Row],[K]]-modelo_tese_H__2[[#This Row],[Coluna1]]</f>
        <v>141823.62739567549</v>
      </c>
      <c r="BC81">
        <f>modelo_tese_H__2[[#This Row],[Coluna2]]/modelo_tese_H__2[[#This Row],[Coluna1]]</f>
        <v>-2.1286180952102947</v>
      </c>
      <c r="BD81" s="8">
        <f>modelo_tese_H__2[[#This Row],[D]]-modelo_tese_H__2[[#This Row],[Dw]]-modelo_tese_H__2[[#This Row],[Dr]]</f>
        <v>2.0372681319713593E-10</v>
      </c>
    </row>
    <row r="82" spans="1:56" x14ac:dyDescent="0.25">
      <c r="A82">
        <v>81</v>
      </c>
      <c r="B82">
        <v>81</v>
      </c>
      <c r="C82">
        <v>18958.8798498738</v>
      </c>
      <c r="D82">
        <v>8306.6166816515506</v>
      </c>
      <c r="E82">
        <v>7392.88884666988</v>
      </c>
      <c r="F82">
        <v>1034.8567718092499</v>
      </c>
      <c r="G82">
        <v>28090.024282854902</v>
      </c>
      <c r="H82">
        <v>6459.4440964230998</v>
      </c>
      <c r="I82">
        <v>14887.189714902201</v>
      </c>
      <c r="J82">
        <v>11653.5415240985</v>
      </c>
      <c r="K82">
        <v>72754.249032338004</v>
      </c>
      <c r="L82">
        <v>-6580.5730332506801</v>
      </c>
      <c r="M82">
        <v>84407.790556436506</v>
      </c>
      <c r="N82">
        <v>-121979.788316448</v>
      </c>
      <c r="O82">
        <v>14186.8809509368</v>
      </c>
      <c r="P82">
        <v>9363.3414276182903</v>
      </c>
      <c r="Q82">
        <v>14284.816187078401</v>
      </c>
      <c r="R82">
        <v>7142.4080935391803</v>
      </c>
      <c r="S82">
        <v>7142.4080935391803</v>
      </c>
      <c r="T82">
        <v>7044.4728573976299</v>
      </c>
      <c r="U82">
        <v>2972.78272242602</v>
      </c>
      <c r="V82">
        <v>56508.334939091503</v>
      </c>
      <c r="W82">
        <v>8993.1648944316694</v>
      </c>
      <c r="X82">
        <v>0.27052241376637298</v>
      </c>
      <c r="Y82">
        <v>79411.322878165796</v>
      </c>
      <c r="Z82">
        <v>34512.689310767601</v>
      </c>
      <c r="AA82">
        <v>0.80460521352599002</v>
      </c>
      <c r="AB82">
        <v>41316.779307543402</v>
      </c>
      <c r="AC82">
        <v>24250.5311425205</v>
      </c>
      <c r="AD82">
        <v>33243.696036952198</v>
      </c>
      <c r="AE82">
        <v>-65471.453377356003</v>
      </c>
      <c r="AF82">
        <v>-3607.7903108246601</v>
      </c>
      <c r="AG82">
        <v>5.5594999999999999E-2</v>
      </c>
      <c r="AH82">
        <v>-206387.57887288401</v>
      </c>
      <c r="AI82">
        <v>91021.024249859096</v>
      </c>
      <c r="AJ82">
        <v>0.06</v>
      </c>
      <c r="AK82">
        <v>0.05</v>
      </c>
      <c r="AL82">
        <v>8.8099999999999998E-2</v>
      </c>
      <c r="AM82">
        <v>3.8100000000000002E-2</v>
      </c>
      <c r="AN82">
        <v>0.89</v>
      </c>
      <c r="AO82">
        <v>0.66</v>
      </c>
      <c r="AP82">
        <v>0.42970000000000003</v>
      </c>
      <c r="AQ82">
        <v>0.57030000000000003</v>
      </c>
      <c r="AR82">
        <v>8.9999999999999993E-3</v>
      </c>
      <c r="AS82">
        <v>0.5</v>
      </c>
      <c r="AT82">
        <v>1.82</v>
      </c>
      <c r="AU82">
        <v>6.3545217126973294E-2</v>
      </c>
      <c r="AV82">
        <v>0.7893</v>
      </c>
      <c r="AW82">
        <v>3</v>
      </c>
      <c r="AX82">
        <v>0.05</v>
      </c>
      <c r="AY82">
        <v>1</v>
      </c>
      <c r="AZ82">
        <v>1</v>
      </c>
      <c r="BA82" s="2">
        <f>modelo_tese_H__2[[#This Row],[Vw]]+modelo_tese_H__2[[#This Row],[Vr]]+modelo_tese_H__2[[#This Row],[K]]-modelo_tese_H__2[[#This Row],[E]]</f>
        <v>-70467.921055626721</v>
      </c>
      <c r="BB82" s="2">
        <f>modelo_tese_H__2[[#This Row],[K]]-modelo_tese_H__2[[#This Row],[Coluna1]]</f>
        <v>149879.24393379252</v>
      </c>
      <c r="BC82">
        <f>modelo_tese_H__2[[#This Row],[Coluna2]]/modelo_tese_H__2[[#This Row],[Coluna1]]</f>
        <v>-2.1269145121434652</v>
      </c>
      <c r="BD82" s="8">
        <f>modelo_tese_H__2[[#This Row],[D]]-modelo_tese_H__2[[#This Row],[Dw]]-modelo_tese_H__2[[#This Row],[Dr]]</f>
        <v>4.9476511776447296E-10</v>
      </c>
    </row>
    <row r="83" spans="1:56" x14ac:dyDescent="0.25">
      <c r="A83">
        <v>82</v>
      </c>
      <c r="B83">
        <v>82</v>
      </c>
      <c r="C83">
        <v>20021.173434462798</v>
      </c>
      <c r="D83">
        <v>8776.4032111853394</v>
      </c>
      <c r="E83">
        <v>7810.9988579549599</v>
      </c>
      <c r="F83">
        <v>1092.3645176291</v>
      </c>
      <c r="G83">
        <v>29658.289210536899</v>
      </c>
      <c r="H83">
        <v>6818.5568909637404</v>
      </c>
      <c r="I83">
        <v>15721.920266547801</v>
      </c>
      <c r="J83">
        <v>12301.9061096594</v>
      </c>
      <c r="K83">
        <v>76800.869035169599</v>
      </c>
      <c r="L83">
        <v>-6945.5170553624503</v>
      </c>
      <c r="M83">
        <v>89102.775144829095</v>
      </c>
      <c r="N83">
        <v>-128925.30537181</v>
      </c>
      <c r="O83">
        <v>14978.9339447156</v>
      </c>
      <c r="P83">
        <v>9886.0964035122906</v>
      </c>
      <c r="Q83">
        <v>15085.215193387099</v>
      </c>
      <c r="R83">
        <v>7542.6075966935396</v>
      </c>
      <c r="S83">
        <v>7542.6075966935396</v>
      </c>
      <c r="T83">
        <v>7436.3263480220503</v>
      </c>
      <c r="U83">
        <v>3137.0731801070801</v>
      </c>
      <c r="V83">
        <v>59645.408119198597</v>
      </c>
      <c r="W83">
        <v>9498.37195778977</v>
      </c>
      <c r="X83">
        <v>0.27055964253341003</v>
      </c>
      <c r="Y83">
        <v>83863.485081322404</v>
      </c>
      <c r="Z83">
        <v>36468.453671863797</v>
      </c>
      <c r="AA83">
        <v>0.804590894433448</v>
      </c>
      <c r="AB83">
        <v>43632.594988003199</v>
      </c>
      <c r="AC83">
        <v>25608.0166700601</v>
      </c>
      <c r="AD83">
        <v>35106.388627849898</v>
      </c>
      <c r="AE83">
        <v>-69279.897252611394</v>
      </c>
      <c r="AF83">
        <v>-3808.4438752553701</v>
      </c>
      <c r="AG83">
        <v>5.5594999999999999E-2</v>
      </c>
      <c r="AH83">
        <v>-218028.08051663899</v>
      </c>
      <c r="AI83">
        <v>96113.861791062402</v>
      </c>
      <c r="AJ83">
        <v>0.06</v>
      </c>
      <c r="AK83">
        <v>0.05</v>
      </c>
      <c r="AL83">
        <v>8.8099999999999998E-2</v>
      </c>
      <c r="AM83">
        <v>3.8100000000000002E-2</v>
      </c>
      <c r="AN83">
        <v>0.89</v>
      </c>
      <c r="AO83">
        <v>0.66</v>
      </c>
      <c r="AP83">
        <v>0.42970000000000003</v>
      </c>
      <c r="AQ83">
        <v>0.57030000000000003</v>
      </c>
      <c r="AR83">
        <v>8.9999999999999993E-3</v>
      </c>
      <c r="AS83">
        <v>0.5</v>
      </c>
      <c r="AT83">
        <v>1.82</v>
      </c>
      <c r="AU83">
        <v>6.3545217126973294E-2</v>
      </c>
      <c r="AV83">
        <v>0.7893</v>
      </c>
      <c r="AW83">
        <v>3</v>
      </c>
      <c r="AX83">
        <v>0.05</v>
      </c>
      <c r="AY83">
        <v>1</v>
      </c>
      <c r="AZ83">
        <v>1</v>
      </c>
      <c r="BA83" s="2">
        <f>modelo_tese_H__2[[#This Row],[Vw]]+modelo_tese_H__2[[#This Row],[Vr]]+modelo_tese_H__2[[#This Row],[K]]-modelo_tese_H__2[[#This Row],[E]]</f>
        <v>-74519.187316117983</v>
      </c>
      <c r="BB83" s="2">
        <f>modelo_tese_H__2[[#This Row],[K]]-modelo_tese_H__2[[#This Row],[Coluna1]]</f>
        <v>158382.67239744039</v>
      </c>
      <c r="BC83">
        <f>modelo_tese_H__2[[#This Row],[Coluna2]]/modelo_tese_H__2[[#This Row],[Coluna1]]</f>
        <v>-2.1253945205489821</v>
      </c>
      <c r="BD83" s="8">
        <f>modelo_tese_H__2[[#This Row],[D]]-modelo_tese_H__2[[#This Row],[Dw]]-modelo_tese_H__2[[#This Row],[Dr]]</f>
        <v>0</v>
      </c>
    </row>
    <row r="84" spans="1:56" x14ac:dyDescent="0.25">
      <c r="A84">
        <v>83</v>
      </c>
      <c r="B84">
        <v>83</v>
      </c>
      <c r="C84">
        <v>21143.044855133299</v>
      </c>
      <c r="D84">
        <v>9272.8422241469798</v>
      </c>
      <c r="E84">
        <v>8252.8295794908099</v>
      </c>
      <c r="F84">
        <v>1153.0639586181601</v>
      </c>
      <c r="G84">
        <v>31314.108751853899</v>
      </c>
      <c r="H84">
        <v>7197.6345613168696</v>
      </c>
      <c r="I84">
        <v>16603.528099425799</v>
      </c>
      <c r="J84">
        <v>12986.267445499599</v>
      </c>
      <c r="K84">
        <v>81072.390486246499</v>
      </c>
      <c r="L84">
        <v>-7330.6858752788603</v>
      </c>
      <c r="M84">
        <v>94058.6579317461</v>
      </c>
      <c r="N84">
        <v>-136255.991247089</v>
      </c>
      <c r="O84">
        <v>15815.206440330299</v>
      </c>
      <c r="P84">
        <v>10438.036250618001</v>
      </c>
      <c r="Q84">
        <v>15930.503900141701</v>
      </c>
      <c r="R84">
        <v>7965.2519500708304</v>
      </c>
      <c r="S84">
        <v>7965.2519500708304</v>
      </c>
      <c r="T84">
        <v>7849.9544902594398</v>
      </c>
      <c r="U84">
        <v>3310.4377345519401</v>
      </c>
      <c r="V84">
        <v>62955.845853750601</v>
      </c>
      <c r="W84">
        <v>10031.9844052312</v>
      </c>
      <c r="X84">
        <v>0.27059682016019798</v>
      </c>
      <c r="Y84">
        <v>88566.346118036294</v>
      </c>
      <c r="Z84">
        <v>38535.186127024201</v>
      </c>
      <c r="AA84">
        <v>0.80456778858130096</v>
      </c>
      <c r="AB84">
        <v>46078.837956770498</v>
      </c>
      <c r="AC84">
        <v>27041.564350043798</v>
      </c>
      <c r="AD84">
        <v>37073.548755274998</v>
      </c>
      <c r="AE84">
        <v>-73300.145393338302</v>
      </c>
      <c r="AF84">
        <v>-4020.2481407269302</v>
      </c>
      <c r="AG84">
        <v>5.5594999999999999E-2</v>
      </c>
      <c r="AH84">
        <v>-230314.64917883501</v>
      </c>
      <c r="AI84">
        <v>101491.03198077501</v>
      </c>
      <c r="AJ84">
        <v>0.06</v>
      </c>
      <c r="AK84">
        <v>0.05</v>
      </c>
      <c r="AL84">
        <v>8.8099999999999998E-2</v>
      </c>
      <c r="AM84">
        <v>3.8100000000000002E-2</v>
      </c>
      <c r="AN84">
        <v>0.89</v>
      </c>
      <c r="AO84">
        <v>0.66</v>
      </c>
      <c r="AP84">
        <v>0.42970000000000003</v>
      </c>
      <c r="AQ84">
        <v>0.57030000000000003</v>
      </c>
      <c r="AR84">
        <v>8.9999999999999993E-3</v>
      </c>
      <c r="AS84">
        <v>0.5</v>
      </c>
      <c r="AT84">
        <v>1.82</v>
      </c>
      <c r="AU84">
        <v>6.3545217126973294E-2</v>
      </c>
      <c r="AV84">
        <v>0.7893</v>
      </c>
      <c r="AW84">
        <v>3</v>
      </c>
      <c r="AX84">
        <v>0.05</v>
      </c>
      <c r="AY84">
        <v>1</v>
      </c>
      <c r="AZ84">
        <v>1</v>
      </c>
      <c r="BA84" s="2">
        <f>modelo_tese_H__2[[#This Row],[Vw]]+modelo_tese_H__2[[#This Row],[Vr]]+modelo_tese_H__2[[#This Row],[K]]-modelo_tese_H__2[[#This Row],[E]]</f>
        <v>-78792.457207047904</v>
      </c>
      <c r="BB84" s="2">
        <f>modelo_tese_H__2[[#This Row],[K]]-modelo_tese_H__2[[#This Row],[Coluna1]]</f>
        <v>167358.80332508421</v>
      </c>
      <c r="BC84">
        <f>modelo_tese_H__2[[#This Row],[Coluna2]]/modelo_tese_H__2[[#This Row],[Coluna1]]</f>
        <v>-2.1240459970083805</v>
      </c>
      <c r="BD84" s="8">
        <f>modelo_tese_H__2[[#This Row],[D]]-modelo_tese_H__2[[#This Row],[Dw]]-modelo_tese_H__2[[#This Row],[Dr]]</f>
        <v>9.4587448984384537E-11</v>
      </c>
    </row>
    <row r="85" spans="1:56" x14ac:dyDescent="0.25">
      <c r="A85">
        <v>84</v>
      </c>
      <c r="B85">
        <v>84</v>
      </c>
      <c r="C85">
        <v>22327.828270962698</v>
      </c>
      <c r="D85">
        <v>9797.4375294472502</v>
      </c>
      <c r="E85">
        <v>8719.7194012080508</v>
      </c>
      <c r="F85">
        <v>1217.13236497501</v>
      </c>
      <c r="G85">
        <v>33062.366700708197</v>
      </c>
      <c r="H85">
        <v>7597.7870547532802</v>
      </c>
      <c r="I85">
        <v>17534.638820936299</v>
      </c>
      <c r="J85">
        <v>13708.623020801</v>
      </c>
      <c r="K85">
        <v>85581.319463473803</v>
      </c>
      <c r="L85">
        <v>-7737.2012914890902</v>
      </c>
      <c r="M85">
        <v>99289.942484274899</v>
      </c>
      <c r="N85">
        <v>-143993.19253857801</v>
      </c>
      <c r="O85">
        <v>16698.165000357702</v>
      </c>
      <c r="P85">
        <v>11020.788900236101</v>
      </c>
      <c r="Q85">
        <v>16823.194473141699</v>
      </c>
      <c r="R85">
        <v>8411.5972365708294</v>
      </c>
      <c r="S85">
        <v>8411.5972365708294</v>
      </c>
      <c r="T85">
        <v>8286.5677637868303</v>
      </c>
      <c r="U85">
        <v>3493.37831376043</v>
      </c>
      <c r="V85">
        <v>66449.224167510998</v>
      </c>
      <c r="W85">
        <v>10595.595022932001</v>
      </c>
      <c r="X85">
        <v>0.27063392678618697</v>
      </c>
      <c r="Y85">
        <v>93533.973446755001</v>
      </c>
      <c r="Z85">
        <v>40719.183913385401</v>
      </c>
      <c r="AA85">
        <v>0.80453653692911198</v>
      </c>
      <c r="AB85">
        <v>48662.827537382604</v>
      </c>
      <c r="AC85">
        <v>28555.4277211724</v>
      </c>
      <c r="AD85">
        <v>39151.022744104397</v>
      </c>
      <c r="AE85">
        <v>-77543.968371066905</v>
      </c>
      <c r="AF85">
        <v>-4243.8229777286597</v>
      </c>
      <c r="AG85">
        <v>5.5594999999999999E-2</v>
      </c>
      <c r="AH85">
        <v>-243283.13502285301</v>
      </c>
      <c r="AI85">
        <v>107168.408080896</v>
      </c>
      <c r="AJ85">
        <v>0.06</v>
      </c>
      <c r="AK85">
        <v>0.05</v>
      </c>
      <c r="AL85">
        <v>8.8099999999999998E-2</v>
      </c>
      <c r="AM85">
        <v>3.8100000000000002E-2</v>
      </c>
      <c r="AN85">
        <v>0.89</v>
      </c>
      <c r="AO85">
        <v>0.66</v>
      </c>
      <c r="AP85">
        <v>0.42970000000000003</v>
      </c>
      <c r="AQ85">
        <v>0.57030000000000003</v>
      </c>
      <c r="AR85">
        <v>8.9999999999999993E-3</v>
      </c>
      <c r="AS85">
        <v>0.5</v>
      </c>
      <c r="AT85">
        <v>1.82</v>
      </c>
      <c r="AU85">
        <v>6.3545217126973294E-2</v>
      </c>
      <c r="AV85">
        <v>0.7893</v>
      </c>
      <c r="AW85">
        <v>3</v>
      </c>
      <c r="AX85">
        <v>0.05</v>
      </c>
      <c r="AY85">
        <v>1</v>
      </c>
      <c r="AZ85">
        <v>1</v>
      </c>
      <c r="BA85" s="2">
        <f>modelo_tese_H__2[[#This Row],[Vw]]+modelo_tese_H__2[[#This Row],[Vr]]+modelo_tese_H__2[[#This Row],[K]]-modelo_tese_H__2[[#This Row],[E]]</f>
        <v>-83299.93740858743</v>
      </c>
      <c r="BB85" s="2">
        <f>modelo_tese_H__2[[#This Row],[K]]-modelo_tese_H__2[[#This Row],[Coluna1]]</f>
        <v>176833.91085534243</v>
      </c>
      <c r="BC85">
        <f>modelo_tese_H__2[[#This Row],[Coluna2]]/modelo_tese_H__2[[#This Row],[Coluna1]]</f>
        <v>-2.1228576678031517</v>
      </c>
      <c r="BD85" s="8">
        <f>modelo_tese_H__2[[#This Row],[D]]-modelo_tese_H__2[[#This Row],[Dw]]-modelo_tese_H__2[[#This Row],[Dr]]</f>
        <v>0</v>
      </c>
    </row>
    <row r="86" spans="1:56" x14ac:dyDescent="0.25">
      <c r="A86">
        <v>85</v>
      </c>
      <c r="B86">
        <v>85</v>
      </c>
      <c r="C86">
        <v>23579.044228229701</v>
      </c>
      <c r="D86">
        <v>10351.777582644499</v>
      </c>
      <c r="E86">
        <v>9213.0820485535805</v>
      </c>
      <c r="F86">
        <v>1284.7568528720501</v>
      </c>
      <c r="G86">
        <v>34908.219105994598</v>
      </c>
      <c r="H86">
        <v>8020.1860260622898</v>
      </c>
      <c r="I86">
        <v>18518.024927487899</v>
      </c>
      <c r="J86">
        <v>14471.081336580601</v>
      </c>
      <c r="K86">
        <v>90340.857217977798</v>
      </c>
      <c r="L86">
        <v>-8166.2473448434503</v>
      </c>
      <c r="M86">
        <v>104811.938554558</v>
      </c>
      <c r="N86">
        <v>-152159.439883421</v>
      </c>
      <c r="O86">
        <v>17630.413689896301</v>
      </c>
      <c r="P86">
        <v>11636.073035331499</v>
      </c>
      <c r="Q86">
        <v>17765.939514063299</v>
      </c>
      <c r="R86">
        <v>8882.9697570316603</v>
      </c>
      <c r="S86">
        <v>8882.9697570316603</v>
      </c>
      <c r="T86">
        <v>8747.4439328646095</v>
      </c>
      <c r="U86">
        <v>3686.4246321228002</v>
      </c>
      <c r="V86">
        <v>70135.648799633796</v>
      </c>
      <c r="W86">
        <v>11190.8857794736</v>
      </c>
      <c r="X86">
        <v>0.27067094400684</v>
      </c>
      <c r="Y86">
        <v>98781.222574806001</v>
      </c>
      <c r="Z86">
        <v>43027.099935827297</v>
      </c>
      <c r="AA86">
        <v>0.80449774170888699</v>
      </c>
      <c r="AB86">
        <v>51392.293102612603</v>
      </c>
      <c r="AC86">
        <v>30154.097962819498</v>
      </c>
      <c r="AD86">
        <v>41344.983742293101</v>
      </c>
      <c r="AE86">
        <v>-82023.791083787597</v>
      </c>
      <c r="AF86">
        <v>-4479.8227127206501</v>
      </c>
      <c r="AG86">
        <v>5.5594999999999999E-2</v>
      </c>
      <c r="AH86">
        <v>-256971.37843797999</v>
      </c>
      <c r="AI86">
        <v>113162.74873546101</v>
      </c>
      <c r="AJ86">
        <v>0.06</v>
      </c>
      <c r="AK86">
        <v>0.05</v>
      </c>
      <c r="AL86">
        <v>8.8099999999999998E-2</v>
      </c>
      <c r="AM86">
        <v>3.8100000000000002E-2</v>
      </c>
      <c r="AN86">
        <v>0.89</v>
      </c>
      <c r="AO86">
        <v>0.66</v>
      </c>
      <c r="AP86">
        <v>0.42970000000000003</v>
      </c>
      <c r="AQ86">
        <v>0.57030000000000003</v>
      </c>
      <c r="AR86">
        <v>8.9999999999999993E-3</v>
      </c>
      <c r="AS86">
        <v>0.5</v>
      </c>
      <c r="AT86">
        <v>1.82</v>
      </c>
      <c r="AU86">
        <v>6.3545217126973294E-2</v>
      </c>
      <c r="AV86">
        <v>0.7893</v>
      </c>
      <c r="AW86">
        <v>3</v>
      </c>
      <c r="AX86">
        <v>0.05</v>
      </c>
      <c r="AY86">
        <v>1</v>
      </c>
      <c r="AZ86">
        <v>1</v>
      </c>
      <c r="BA86" s="2">
        <f>modelo_tese_H__2[[#This Row],[Vw]]+modelo_tese_H__2[[#This Row],[Vr]]+modelo_tese_H__2[[#This Row],[K]]-modelo_tese_H__2[[#This Row],[E]]</f>
        <v>-88054.507063540281</v>
      </c>
      <c r="BB86" s="2">
        <f>modelo_tese_H__2[[#This Row],[K]]-modelo_tese_H__2[[#This Row],[Coluna1]]</f>
        <v>186835.7296383463</v>
      </c>
      <c r="BC86">
        <f>modelo_tese_H__2[[#This Row],[Coluna2]]/modelo_tese_H__2[[#This Row],[Coluna1]]</f>
        <v>-2.121819039921776</v>
      </c>
      <c r="BD86" s="8">
        <f>modelo_tese_H__2[[#This Row],[D]]-modelo_tese_H__2[[#This Row],[Dw]]-modelo_tese_H__2[[#This Row],[Dr]]</f>
        <v>-3.92901711165905E-10</v>
      </c>
    </row>
    <row r="87" spans="1:56" x14ac:dyDescent="0.25">
      <c r="A87">
        <v>86</v>
      </c>
      <c r="B87">
        <v>86</v>
      </c>
      <c r="C87">
        <v>24900.410069329599</v>
      </c>
      <c r="D87">
        <v>10937.5402391483</v>
      </c>
      <c r="E87">
        <v>9734.4108128419794</v>
      </c>
      <c r="F87">
        <v>1356.1349314449501</v>
      </c>
      <c r="G87">
        <v>36857.109441740999</v>
      </c>
      <c r="H87">
        <v>8466.0682681812195</v>
      </c>
      <c r="I87">
        <v>19556.614012468199</v>
      </c>
      <c r="J87">
        <v>15275.8680691018</v>
      </c>
      <c r="K87">
        <v>95364.938826154001</v>
      </c>
      <c r="L87">
        <v>-8619.0737733198694</v>
      </c>
      <c r="M87">
        <v>110640.806895256</v>
      </c>
      <c r="N87">
        <v>-160778.51365674101</v>
      </c>
      <c r="O87">
        <v>18614.701738252999</v>
      </c>
      <c r="P87">
        <v>12285.703147247001</v>
      </c>
      <c r="Q87">
        <v>18761.539903192901</v>
      </c>
      <c r="R87">
        <v>9380.7699515964596</v>
      </c>
      <c r="S87">
        <v>9380.7699515964596</v>
      </c>
      <c r="T87">
        <v>9233.9317866565907</v>
      </c>
      <c r="U87">
        <v>3890.1357297951799</v>
      </c>
      <c r="V87">
        <v>74025.784529429002</v>
      </c>
      <c r="W87">
        <v>11819.6328128073</v>
      </c>
      <c r="X87">
        <v>0.27070785478536902</v>
      </c>
      <c r="Y87">
        <v>104323.781151029</v>
      </c>
      <c r="Z87">
        <v>45465.962797038097</v>
      </c>
      <c r="AA87">
        <v>0.80445196848837497</v>
      </c>
      <c r="AB87">
        <v>54275.397019124197</v>
      </c>
      <c r="AC87">
        <v>31842.3171597152</v>
      </c>
      <c r="AD87">
        <v>43661.949972522503</v>
      </c>
      <c r="AE87">
        <v>-86752.729127312297</v>
      </c>
      <c r="AF87">
        <v>-4728.9380435246903</v>
      </c>
      <c r="AG87">
        <v>5.5594999999999999E-2</v>
      </c>
      <c r="AH87">
        <v>-271419.32055199699</v>
      </c>
      <c r="AI87">
        <v>119491.747326467</v>
      </c>
      <c r="AJ87">
        <v>0.06</v>
      </c>
      <c r="AK87">
        <v>0.05</v>
      </c>
      <c r="AL87">
        <v>8.8099999999999998E-2</v>
      </c>
      <c r="AM87">
        <v>3.8100000000000002E-2</v>
      </c>
      <c r="AN87">
        <v>0.89</v>
      </c>
      <c r="AO87">
        <v>0.66</v>
      </c>
      <c r="AP87">
        <v>0.42970000000000003</v>
      </c>
      <c r="AQ87">
        <v>0.57030000000000003</v>
      </c>
      <c r="AR87">
        <v>8.9999999999999993E-3</v>
      </c>
      <c r="AS87">
        <v>0.5</v>
      </c>
      <c r="AT87">
        <v>1.82</v>
      </c>
      <c r="AU87">
        <v>6.3545217126973294E-2</v>
      </c>
      <c r="AV87">
        <v>0.7893</v>
      </c>
      <c r="AW87">
        <v>3</v>
      </c>
      <c r="AX87">
        <v>0.05</v>
      </c>
      <c r="AY87">
        <v>1</v>
      </c>
      <c r="AZ87">
        <v>1</v>
      </c>
      <c r="BA87" s="2">
        <f>modelo_tese_H__2[[#This Row],[Vw]]+modelo_tese_H__2[[#This Row],[Vr]]+modelo_tese_H__2[[#This Row],[K]]-modelo_tese_H__2[[#This Row],[E]]</f>
        <v>-93069.754871539073</v>
      </c>
      <c r="BB87" s="2">
        <f>modelo_tese_H__2[[#This Row],[K]]-modelo_tese_H__2[[#This Row],[Coluna1]]</f>
        <v>197393.53602256806</v>
      </c>
      <c r="BC87">
        <f>modelo_tese_H__2[[#This Row],[Coluna2]]/modelo_tese_H__2[[#This Row],[Coluna1]]</f>
        <v>-2.1209203386752598</v>
      </c>
      <c r="BD87" s="8">
        <f>modelo_tese_H__2[[#This Row],[D]]-modelo_tese_H__2[[#This Row],[Dw]]-modelo_tese_H__2[[#This Row],[Dr]]</f>
        <v>-2.9103830456733704E-10</v>
      </c>
    </row>
    <row r="88" spans="1:56" x14ac:dyDescent="0.25">
      <c r="A88">
        <v>87</v>
      </c>
      <c r="B88">
        <v>87</v>
      </c>
      <c r="C88">
        <v>26295.850922476999</v>
      </c>
      <c r="D88">
        <v>11556.4977738137</v>
      </c>
      <c r="E88">
        <v>10285.283018694199</v>
      </c>
      <c r="F88">
        <v>1431.47508017325</v>
      </c>
      <c r="G88">
        <v>38914.784622159197</v>
      </c>
      <c r="H88">
        <v>8936.7393335507604</v>
      </c>
      <c r="I88">
        <v>20653.4974324182</v>
      </c>
      <c r="J88">
        <v>16125.3325758423</v>
      </c>
      <c r="K88">
        <v>100668.273990428</v>
      </c>
      <c r="L88">
        <v>-9096.9996586045108</v>
      </c>
      <c r="M88">
        <v>116793.606566271</v>
      </c>
      <c r="N88">
        <v>-169875.513315346</v>
      </c>
      <c r="O88">
        <v>19653.9316273531</v>
      </c>
      <c r="P88">
        <v>12971.5948740531</v>
      </c>
      <c r="Q88">
        <v>19812.953079762199</v>
      </c>
      <c r="R88">
        <v>9906.4765398810905</v>
      </c>
      <c r="S88">
        <v>9906.4765398810905</v>
      </c>
      <c r="T88">
        <v>9747.4550874720408</v>
      </c>
      <c r="U88">
        <v>4105.1015974131997</v>
      </c>
      <c r="V88">
        <v>78130.886126842204</v>
      </c>
      <c r="W88">
        <v>12483.711695767999</v>
      </c>
      <c r="X88">
        <v>0.27074464336923698</v>
      </c>
      <c r="Y88">
        <v>110178.21552204801</v>
      </c>
      <c r="Z88">
        <v>48043.197952925002</v>
      </c>
      <c r="AA88">
        <v>0.80439974815126103</v>
      </c>
      <c r="AB88">
        <v>57320.758874191997</v>
      </c>
      <c r="AC88">
        <v>33625.092306471197</v>
      </c>
      <c r="AD88">
        <v>46108.804002239202</v>
      </c>
      <c r="AE88">
        <v>-91744.627188503597</v>
      </c>
      <c r="AF88">
        <v>-4991.8980611913103</v>
      </c>
      <c r="AG88">
        <v>5.5594999999999999E-2</v>
      </c>
      <c r="AH88">
        <v>-286669.11988161597</v>
      </c>
      <c r="AI88">
        <v>126174.084079767</v>
      </c>
      <c r="AJ88">
        <v>0.06</v>
      </c>
      <c r="AK88">
        <v>0.05</v>
      </c>
      <c r="AL88">
        <v>8.8099999999999998E-2</v>
      </c>
      <c r="AM88">
        <v>3.8100000000000002E-2</v>
      </c>
      <c r="AN88">
        <v>0.89</v>
      </c>
      <c r="AO88">
        <v>0.66</v>
      </c>
      <c r="AP88">
        <v>0.42970000000000003</v>
      </c>
      <c r="AQ88">
        <v>0.57030000000000003</v>
      </c>
      <c r="AR88">
        <v>8.9999999999999993E-3</v>
      </c>
      <c r="AS88">
        <v>0.5</v>
      </c>
      <c r="AT88">
        <v>1.82</v>
      </c>
      <c r="AU88">
        <v>6.3545217126973294E-2</v>
      </c>
      <c r="AV88">
        <v>0.7893</v>
      </c>
      <c r="AW88">
        <v>3</v>
      </c>
      <c r="AX88">
        <v>0.05</v>
      </c>
      <c r="AY88">
        <v>1</v>
      </c>
      <c r="AZ88">
        <v>1</v>
      </c>
      <c r="BA88" s="2">
        <f>modelo_tese_H__2[[#This Row],[Vw]]+modelo_tese_H__2[[#This Row],[Vr]]+modelo_tese_H__2[[#This Row],[K]]-modelo_tese_H__2[[#This Row],[E]]</f>
        <v>-98360.018232725968</v>
      </c>
      <c r="BB88" s="2">
        <f>modelo_tese_H__2[[#This Row],[K]]-modelo_tese_H__2[[#This Row],[Coluna1]]</f>
        <v>208538.23375477397</v>
      </c>
      <c r="BC88">
        <f>modelo_tese_H__2[[#This Row],[Coluna2]]/modelo_tese_H__2[[#This Row],[Coluna1]]</f>
        <v>-2.1201524511855969</v>
      </c>
      <c r="BD88" s="8">
        <f>modelo_tese_H__2[[#This Row],[D]]-modelo_tese_H__2[[#This Row],[Dw]]-modelo_tese_H__2[[#This Row],[Dr]]</f>
        <v>2.0372681319713593E-10</v>
      </c>
    </row>
    <row r="89" spans="1:56" x14ac:dyDescent="0.25">
      <c r="A89">
        <v>88</v>
      </c>
      <c r="B89">
        <v>88</v>
      </c>
      <c r="C89">
        <v>27769.511304583801</v>
      </c>
      <c r="D89">
        <v>12210.5221818338</v>
      </c>
      <c r="E89">
        <v>10867.364741832</v>
      </c>
      <c r="F89">
        <v>1510.9973583410299</v>
      </c>
      <c r="G89">
        <v>41087.311908652599</v>
      </c>
      <c r="H89">
        <v>9433.5773567995093</v>
      </c>
      <c r="I89">
        <v>21811.939456972599</v>
      </c>
      <c r="J89">
        <v>17021.954763043701</v>
      </c>
      <c r="K89">
        <v>106266.390108192</v>
      </c>
      <c r="L89">
        <v>-9601.4172751388305</v>
      </c>
      <c r="M89">
        <v>123288.344871236</v>
      </c>
      <c r="N89">
        <v>-179476.93059048499</v>
      </c>
      <c r="O89">
        <v>20751.167630632601</v>
      </c>
      <c r="P89">
        <v>13695.770636217499</v>
      </c>
      <c r="Q89">
        <v>20923.301784288298</v>
      </c>
      <c r="R89">
        <v>10461.6508921442</v>
      </c>
      <c r="S89">
        <v>10461.6508921442</v>
      </c>
      <c r="T89">
        <v>10289.516738488401</v>
      </c>
      <c r="U89">
        <v>4331.9448908772601</v>
      </c>
      <c r="V89">
        <v>82462.831017719407</v>
      </c>
      <c r="W89">
        <v>13185.102995682</v>
      </c>
      <c r="X89">
        <v>0.27078129521121502</v>
      </c>
      <c r="Y89">
        <v>116362.019889719</v>
      </c>
      <c r="Z89">
        <v>50766.6500564628</v>
      </c>
      <c r="AA89">
        <v>0.80434157879433799</v>
      </c>
      <c r="AB89">
        <v>60537.481056070501</v>
      </c>
      <c r="AC89">
        <v>35507.7100931901</v>
      </c>
      <c r="AD89">
        <v>48692.813088872099</v>
      </c>
      <c r="AE89">
        <v>-97014.099572765204</v>
      </c>
      <c r="AF89">
        <v>-5269.4723842615704</v>
      </c>
      <c r="AG89">
        <v>5.5594999999999999E-2</v>
      </c>
      <c r="AH89">
        <v>-302765.275461721</v>
      </c>
      <c r="AI89">
        <v>133229.481074182</v>
      </c>
      <c r="AJ89">
        <v>0.06</v>
      </c>
      <c r="AK89">
        <v>0.05</v>
      </c>
      <c r="AL89">
        <v>8.8099999999999998E-2</v>
      </c>
      <c r="AM89">
        <v>3.8100000000000002E-2</v>
      </c>
      <c r="AN89">
        <v>0.89</v>
      </c>
      <c r="AO89">
        <v>0.66</v>
      </c>
      <c r="AP89">
        <v>0.42970000000000003</v>
      </c>
      <c r="AQ89">
        <v>0.57030000000000003</v>
      </c>
      <c r="AR89">
        <v>8.9999999999999993E-3</v>
      </c>
      <c r="AS89">
        <v>0.5</v>
      </c>
      <c r="AT89">
        <v>1.82</v>
      </c>
      <c r="AU89">
        <v>6.3545217126973294E-2</v>
      </c>
      <c r="AV89">
        <v>0.7893</v>
      </c>
      <c r="AW89">
        <v>3</v>
      </c>
      <c r="AX89">
        <v>0.05</v>
      </c>
      <c r="AY89">
        <v>1</v>
      </c>
      <c r="AZ89">
        <v>1</v>
      </c>
      <c r="BA89" s="2">
        <f>modelo_tese_H__2[[#This Row],[Vw]]+modelo_tese_H__2[[#This Row],[Vr]]+modelo_tese_H__2[[#This Row],[K]]-modelo_tese_H__2[[#This Row],[E]]</f>
        <v>-103940.4245542828</v>
      </c>
      <c r="BB89" s="2">
        <f>modelo_tese_H__2[[#This Row],[K]]-modelo_tese_H__2[[#This Row],[Coluna1]]</f>
        <v>220302.4444440018</v>
      </c>
      <c r="BC89">
        <f>modelo_tese_H__2[[#This Row],[Coluna2]]/modelo_tese_H__2[[#This Row],[Coluna1]]</f>
        <v>-2.1195068751037192</v>
      </c>
      <c r="BD89" s="8">
        <f>modelo_tese_H__2[[#This Row],[D]]-modelo_tese_H__2[[#This Row],[Dw]]-modelo_tese_H__2[[#This Row],[Dr]]</f>
        <v>3.7834979593753815E-10</v>
      </c>
    </row>
    <row r="90" spans="1:56" x14ac:dyDescent="0.25">
      <c r="A90">
        <v>89</v>
      </c>
      <c r="B90">
        <v>89</v>
      </c>
      <c r="C90">
        <v>29325.767371498299</v>
      </c>
      <c r="D90">
        <v>12901.5907766702</v>
      </c>
      <c r="E90">
        <v>11482.415791236501</v>
      </c>
      <c r="F90">
        <v>1594.93404836015</v>
      </c>
      <c r="G90">
        <v>43381.096758439497</v>
      </c>
      <c r="H90">
        <v>9958.0370899507798</v>
      </c>
      <c r="I90">
        <v>23035.3869295474</v>
      </c>
      <c r="J90">
        <v>17968.3523349319</v>
      </c>
      <c r="K90">
        <v>112175.677735021</v>
      </c>
      <c r="L90">
        <v>-10133.796152877199</v>
      </c>
      <c r="M90">
        <v>130144.03006995301</v>
      </c>
      <c r="N90">
        <v>-189610.726743362</v>
      </c>
      <c r="O90">
        <v>21909.6448274947</v>
      </c>
      <c r="P90">
        <v>14460.365586146499</v>
      </c>
      <c r="Q90">
        <v>22095.8832886776</v>
      </c>
      <c r="R90">
        <v>11047.9416443388</v>
      </c>
      <c r="S90">
        <v>11047.9416443388</v>
      </c>
      <c r="T90">
        <v>10861.7031831559</v>
      </c>
      <c r="U90">
        <v>4571.3227412050401</v>
      </c>
      <c r="V90">
        <v>87034.153758924498</v>
      </c>
      <c r="W90">
        <v>13925.8981444819</v>
      </c>
      <c r="X90">
        <v>0.27081779689479002</v>
      </c>
      <c r="Y90">
        <v>122893.668214976</v>
      </c>
      <c r="Z90">
        <v>53644.606556605999</v>
      </c>
      <c r="AA90">
        <v>0.80427792754213501</v>
      </c>
      <c r="AB90">
        <v>63935.175763582003</v>
      </c>
      <c r="AC90">
        <v>37495.752515693901</v>
      </c>
      <c r="AD90">
        <v>51421.650660175903</v>
      </c>
      <c r="AE90">
        <v>-102576.57298443701</v>
      </c>
      <c r="AF90">
        <v>-5562.4734116721702</v>
      </c>
      <c r="AG90">
        <v>5.5594999999999999E-2</v>
      </c>
      <c r="AH90">
        <v>-319754.75681331498</v>
      </c>
      <c r="AI90">
        <v>140678.76031553</v>
      </c>
      <c r="AJ90">
        <v>0.06</v>
      </c>
      <c r="AK90">
        <v>0.05</v>
      </c>
      <c r="AL90">
        <v>8.8099999999999998E-2</v>
      </c>
      <c r="AM90">
        <v>3.8100000000000002E-2</v>
      </c>
      <c r="AN90">
        <v>0.89</v>
      </c>
      <c r="AO90">
        <v>0.66</v>
      </c>
      <c r="AP90">
        <v>0.42970000000000003</v>
      </c>
      <c r="AQ90">
        <v>0.57030000000000003</v>
      </c>
      <c r="AR90">
        <v>8.9999999999999993E-3</v>
      </c>
      <c r="AS90">
        <v>0.5</v>
      </c>
      <c r="AT90">
        <v>1.82</v>
      </c>
      <c r="AU90">
        <v>6.3545217126973294E-2</v>
      </c>
      <c r="AV90">
        <v>0.7893</v>
      </c>
      <c r="AW90">
        <v>3</v>
      </c>
      <c r="AX90">
        <v>0.05</v>
      </c>
      <c r="AY90">
        <v>1</v>
      </c>
      <c r="AZ90">
        <v>1</v>
      </c>
      <c r="BA90" s="2">
        <f>modelo_tese_H__2[[#This Row],[Vw]]+modelo_tese_H__2[[#This Row],[Vr]]+modelo_tese_H__2[[#This Row],[K]]-modelo_tese_H__2[[#This Row],[E]]</f>
        <v>-109826.93483941497</v>
      </c>
      <c r="BB90" s="2">
        <f>modelo_tese_H__2[[#This Row],[K]]-modelo_tese_H__2[[#This Row],[Coluna1]]</f>
        <v>232720.60305439099</v>
      </c>
      <c r="BC90">
        <f>modelo_tese_H__2[[#This Row],[Coluna2]]/modelo_tese_H__2[[#This Row],[Coluna1]]</f>
        <v>-2.1189756719940038</v>
      </c>
      <c r="BD90" s="8">
        <f>modelo_tese_H__2[[#This Row],[D]]-modelo_tese_H__2[[#This Row],[Dw]]-modelo_tese_H__2[[#This Row],[Dr]]</f>
        <v>4.9476511776447296E-10</v>
      </c>
    </row>
    <row r="91" spans="1:56" x14ac:dyDescent="0.25">
      <c r="A91">
        <v>90</v>
      </c>
      <c r="B91">
        <v>90</v>
      </c>
      <c r="C91">
        <v>30969.239851704198</v>
      </c>
      <c r="D91">
        <v>13631.792101642301</v>
      </c>
      <c r="E91">
        <v>12132.2949704617</v>
      </c>
      <c r="F91">
        <v>1683.53033483786</v>
      </c>
      <c r="G91">
        <v>45802.901667218903</v>
      </c>
      <c r="H91">
        <v>10511.6541619666</v>
      </c>
      <c r="I91">
        <v>24327.479467266101</v>
      </c>
      <c r="J91">
        <v>18967.288445808899</v>
      </c>
      <c r="K91">
        <v>118413.438575283</v>
      </c>
      <c r="L91">
        <v>-10695.6873656238</v>
      </c>
      <c r="M91">
        <v>137380.727021092</v>
      </c>
      <c r="N91">
        <v>-200306.41410898601</v>
      </c>
      <c r="O91">
        <v>23132.778619807501</v>
      </c>
      <c r="P91">
        <v>15267.633889073</v>
      </c>
      <c r="Q91">
        <v>23334.1791412893</v>
      </c>
      <c r="R91">
        <v>11667.089570644701</v>
      </c>
      <c r="S91">
        <v>11667.089570644701</v>
      </c>
      <c r="T91">
        <v>11465.6890491629</v>
      </c>
      <c r="U91">
        <v>4823.92866472481</v>
      </c>
      <c r="V91">
        <v>91858.082423649306</v>
      </c>
      <c r="W91">
        <v>14708.305636654401</v>
      </c>
      <c r="X91">
        <v>0.27085413606374498</v>
      </c>
      <c r="Y91">
        <v>129792.669021379</v>
      </c>
      <c r="Z91">
        <v>56685.822622615698</v>
      </c>
      <c r="AA91">
        <v>0.80420923228007701</v>
      </c>
      <c r="AB91">
        <v>67523.993524712001</v>
      </c>
      <c r="AC91">
        <v>39595.113356339098</v>
      </c>
      <c r="AD91">
        <v>54303.418992993502</v>
      </c>
      <c r="AE91">
        <v>-108448.331685336</v>
      </c>
      <c r="AF91">
        <v>-5871.7587008989804</v>
      </c>
      <c r="AG91">
        <v>5.5594999999999999E-2</v>
      </c>
      <c r="AH91">
        <v>-337687.141130078</v>
      </c>
      <c r="AI91">
        <v>148543.90504626499</v>
      </c>
      <c r="AJ91">
        <v>0.06</v>
      </c>
      <c r="AK91">
        <v>0.05</v>
      </c>
      <c r="AL91">
        <v>8.8099999999999998E-2</v>
      </c>
      <c r="AM91">
        <v>3.8100000000000002E-2</v>
      </c>
      <c r="AN91">
        <v>0.89</v>
      </c>
      <c r="AO91">
        <v>0.66</v>
      </c>
      <c r="AP91">
        <v>0.42970000000000003</v>
      </c>
      <c r="AQ91">
        <v>0.57030000000000003</v>
      </c>
      <c r="AR91">
        <v>8.9999999999999993E-3</v>
      </c>
      <c r="AS91">
        <v>0.5</v>
      </c>
      <c r="AT91">
        <v>1.82</v>
      </c>
      <c r="AU91">
        <v>6.3545217126973294E-2</v>
      </c>
      <c r="AV91">
        <v>0.7893</v>
      </c>
      <c r="AW91">
        <v>3</v>
      </c>
      <c r="AX91">
        <v>0.05</v>
      </c>
      <c r="AY91">
        <v>1</v>
      </c>
      <c r="AZ91">
        <v>1</v>
      </c>
      <c r="BA91" s="2">
        <f>modelo_tese_H__2[[#This Row],[Vw]]+modelo_tese_H__2[[#This Row],[Vr]]+modelo_tese_H__2[[#This Row],[K]]-modelo_tese_H__2[[#This Row],[E]]</f>
        <v>-116036.38968504971</v>
      </c>
      <c r="BB91" s="2">
        <f>modelo_tese_H__2[[#This Row],[K]]-modelo_tese_H__2[[#This Row],[Coluna1]]</f>
        <v>245829.05870642871</v>
      </c>
      <c r="BC91">
        <f>modelo_tese_H__2[[#This Row],[Coluna2]]/modelo_tese_H__2[[#This Row],[Coluna1]]</f>
        <v>-2.1185514248906494</v>
      </c>
      <c r="BD91" s="8">
        <f>modelo_tese_H__2[[#This Row],[D]]-modelo_tese_H__2[[#This Row],[Dw]]-modelo_tese_H__2[[#This Row],[Dr]]</f>
        <v>6.9849193096160889E-10</v>
      </c>
    </row>
    <row r="92" spans="1:56" x14ac:dyDescent="0.25">
      <c r="A92">
        <v>91</v>
      </c>
      <c r="B92">
        <v>91</v>
      </c>
      <c r="C92">
        <v>32704.807701582398</v>
      </c>
      <c r="D92">
        <v>14403.332172722599</v>
      </c>
      <c r="E92">
        <v>12818.965633723101</v>
      </c>
      <c r="F92">
        <v>1777.04502137489</v>
      </c>
      <c r="G92">
        <v>48359.866061220899</v>
      </c>
      <c r="H92">
        <v>11096.0495751011</v>
      </c>
      <c r="I92">
        <v>25692.0602301992</v>
      </c>
      <c r="J92">
        <v>20021.6797773984</v>
      </c>
      <c r="K92">
        <v>124997.936140666</v>
      </c>
      <c r="L92">
        <v>-11288.728057476501</v>
      </c>
      <c r="M92">
        <v>145019.61591806501</v>
      </c>
      <c r="N92">
        <v>-211595.142166462</v>
      </c>
      <c r="O92">
        <v>24424.174778394401</v>
      </c>
      <c r="P92">
        <v>16119.955353740301</v>
      </c>
      <c r="Q92">
        <v>24641.8654556724</v>
      </c>
      <c r="R92">
        <v>12320.9327278362</v>
      </c>
      <c r="S92">
        <v>12320.9327278362</v>
      </c>
      <c r="T92">
        <v>12103.242050558199</v>
      </c>
      <c r="U92">
        <v>5090.4945791749897</v>
      </c>
      <c r="V92">
        <v>96948.577002824299</v>
      </c>
      <c r="W92">
        <v>15534.6575733153</v>
      </c>
      <c r="X92">
        <v>0.27089030135570302</v>
      </c>
      <c r="Y92">
        <v>137079.62326024199</v>
      </c>
      <c r="Z92">
        <v>59899.547468094803</v>
      </c>
      <c r="AA92">
        <v>0.80413590330754203</v>
      </c>
      <c r="AB92">
        <v>71314.653308450201</v>
      </c>
      <c r="AC92">
        <v>41812.015583939501</v>
      </c>
      <c r="AD92">
        <v>57346.673157254801</v>
      </c>
      <c r="AE92">
        <v>-114646.56516363801</v>
      </c>
      <c r="AF92">
        <v>-6198.2334783015403</v>
      </c>
      <c r="AG92">
        <v>5.5594999999999999E-2</v>
      </c>
      <c r="AH92">
        <v>-356614.75808452698</v>
      </c>
      <c r="AI92">
        <v>156848.12447091899</v>
      </c>
      <c r="AJ92">
        <v>0.06</v>
      </c>
      <c r="AK92">
        <v>0.05</v>
      </c>
      <c r="AL92">
        <v>8.8099999999999998E-2</v>
      </c>
      <c r="AM92">
        <v>3.8100000000000002E-2</v>
      </c>
      <c r="AN92">
        <v>0.89</v>
      </c>
      <c r="AO92">
        <v>0.66</v>
      </c>
      <c r="AP92">
        <v>0.42970000000000003</v>
      </c>
      <c r="AQ92">
        <v>0.57030000000000003</v>
      </c>
      <c r="AR92">
        <v>8.9999999999999993E-3</v>
      </c>
      <c r="AS92">
        <v>0.5</v>
      </c>
      <c r="AT92">
        <v>1.82</v>
      </c>
      <c r="AU92">
        <v>6.3545217126973294E-2</v>
      </c>
      <c r="AV92">
        <v>0.7893</v>
      </c>
      <c r="AW92">
        <v>3</v>
      </c>
      <c r="AX92">
        <v>0.05</v>
      </c>
      <c r="AY92">
        <v>1</v>
      </c>
      <c r="AZ92">
        <v>1</v>
      </c>
      <c r="BA92" s="2">
        <f>modelo_tese_H__2[[#This Row],[Vw]]+modelo_tese_H__2[[#This Row],[Vr]]+modelo_tese_H__2[[#This Row],[K]]-modelo_tese_H__2[[#This Row],[E]]</f>
        <v>-122586.5578214608</v>
      </c>
      <c r="BB92" s="2">
        <f>modelo_tese_H__2[[#This Row],[K]]-modelo_tese_H__2[[#This Row],[Coluna1]]</f>
        <v>259666.18108170279</v>
      </c>
      <c r="BC92">
        <f>modelo_tese_H__2[[#This Row],[Coluna2]]/modelo_tese_H__2[[#This Row],[Coluna1]]</f>
        <v>-2.1182271995914053</v>
      </c>
      <c r="BD92" s="8">
        <f>modelo_tese_H__2[[#This Row],[D]]-modelo_tese_H__2[[#This Row],[Dw]]-modelo_tese_H__2[[#This Row],[Dr]]</f>
        <v>-3.0559021979570389E-10</v>
      </c>
    </row>
    <row r="93" spans="1:56" x14ac:dyDescent="0.25">
      <c r="A93">
        <v>92</v>
      </c>
      <c r="B93">
        <v>92</v>
      </c>
      <c r="C93">
        <v>34537.6225224675</v>
      </c>
      <c r="D93">
        <v>15218.541071068699</v>
      </c>
      <c r="E93">
        <v>13544.501553251101</v>
      </c>
      <c r="F93">
        <v>1875.75128719081</v>
      </c>
      <c r="G93">
        <v>51059.527297067201</v>
      </c>
      <c r="H93">
        <v>11712.934451228901</v>
      </c>
      <c r="I93">
        <v>27133.187291670802</v>
      </c>
      <c r="J93">
        <v>21134.605065070398</v>
      </c>
      <c r="K93">
        <v>131948.44922493599</v>
      </c>
      <c r="L93">
        <v>-11914.646220602101</v>
      </c>
      <c r="M93">
        <v>153083.054290006</v>
      </c>
      <c r="N93">
        <v>-223509.78838706401</v>
      </c>
      <c r="O93">
        <v>25787.640049023899</v>
      </c>
      <c r="P93">
        <v>17019.842432355701</v>
      </c>
      <c r="Q93">
        <v>26022.823773284701</v>
      </c>
      <c r="R93">
        <v>13011.4118866424</v>
      </c>
      <c r="S93">
        <v>13011.4118866424</v>
      </c>
      <c r="T93">
        <v>12776.2281623815</v>
      </c>
      <c r="U93">
        <v>5371.7929315848496</v>
      </c>
      <c r="V93">
        <v>102320.369934409</v>
      </c>
      <c r="W93">
        <v>16407.4165717256</v>
      </c>
      <c r="X93">
        <v>0.27092628233944999</v>
      </c>
      <c r="Y93">
        <v>144776.28540821199</v>
      </c>
      <c r="Z93">
        <v>63295.552153178098</v>
      </c>
      <c r="AA93">
        <v>0.80405832491251805</v>
      </c>
      <c r="AB93">
        <v>75318.4743188141</v>
      </c>
      <c r="AC93">
        <v>44153.029724026601</v>
      </c>
      <c r="AD93">
        <v>60560.446295752197</v>
      </c>
      <c r="AE93">
        <v>-121189.41845265499</v>
      </c>
      <c r="AF93">
        <v>-6542.8532890172701</v>
      </c>
      <c r="AG93">
        <v>5.5594999999999999E-2</v>
      </c>
      <c r="AH93">
        <v>-376592.84267707</v>
      </c>
      <c r="AI93">
        <v>165615.92208758701</v>
      </c>
      <c r="AJ93">
        <v>0.06</v>
      </c>
      <c r="AK93">
        <v>0.05</v>
      </c>
      <c r="AL93">
        <v>8.8099999999999998E-2</v>
      </c>
      <c r="AM93">
        <v>3.8100000000000002E-2</v>
      </c>
      <c r="AN93">
        <v>0.89</v>
      </c>
      <c r="AO93">
        <v>0.66</v>
      </c>
      <c r="AP93">
        <v>0.42970000000000003</v>
      </c>
      <c r="AQ93">
        <v>0.57030000000000003</v>
      </c>
      <c r="AR93">
        <v>8.9999999999999993E-3</v>
      </c>
      <c r="AS93">
        <v>0.5</v>
      </c>
      <c r="AT93">
        <v>1.82</v>
      </c>
      <c r="AU93">
        <v>6.3545217126973294E-2</v>
      </c>
      <c r="AV93">
        <v>0.7893</v>
      </c>
      <c r="AW93">
        <v>3</v>
      </c>
      <c r="AX93">
        <v>0.05</v>
      </c>
      <c r="AY93">
        <v>1</v>
      </c>
      <c r="AZ93">
        <v>1</v>
      </c>
      <c r="BA93" s="2">
        <f>modelo_tese_H__2[[#This Row],[Vw]]+modelo_tese_H__2[[#This Row],[Vr]]+modelo_tese_H__2[[#This Row],[K]]-modelo_tese_H__2[[#This Row],[E]]</f>
        <v>-129496.1873344491</v>
      </c>
      <c r="BB93" s="2">
        <f>modelo_tese_H__2[[#This Row],[K]]-modelo_tese_H__2[[#This Row],[Coluna1]]</f>
        <v>274272.47274266108</v>
      </c>
      <c r="BC93">
        <f>modelo_tese_H__2[[#This Row],[Coluna2]]/modelo_tese_H__2[[#This Row],[Coluna1]]</f>
        <v>-2.1179965093049344</v>
      </c>
      <c r="BD93" s="8">
        <f>modelo_tese_H__2[[#This Row],[D]]-modelo_tese_H__2[[#This Row],[Dw]]-modelo_tese_H__2[[#This Row],[Dr]]</f>
        <v>0</v>
      </c>
    </row>
    <row r="94" spans="1:56" x14ac:dyDescent="0.25">
      <c r="A94">
        <v>93</v>
      </c>
      <c r="B94">
        <v>93</v>
      </c>
      <c r="C94">
        <v>36473.123781968803</v>
      </c>
      <c r="D94">
        <v>16079.879904855599</v>
      </c>
      <c r="E94">
        <v>14311.093115321501</v>
      </c>
      <c r="F94">
        <v>1979.9374857896901</v>
      </c>
      <c r="G94">
        <v>53909.842831115202</v>
      </c>
      <c r="H94">
        <v>12364.115042044899</v>
      </c>
      <c r="I94">
        <v>28655.145643156098</v>
      </c>
      <c r="J94">
        <v>22309.314097880899</v>
      </c>
      <c r="K94">
        <v>139285.32835151101</v>
      </c>
      <c r="L94">
        <v>-12575.265738300501</v>
      </c>
      <c r="M94">
        <v>161594.64244939201</v>
      </c>
      <c r="N94">
        <v>-236085.05412536499</v>
      </c>
      <c r="O94">
        <v>27227.193349048099</v>
      </c>
      <c r="P94">
        <v>17969.947610371699</v>
      </c>
      <c r="Q94">
        <v>27481.152532197098</v>
      </c>
      <c r="R94">
        <v>13740.5762660985</v>
      </c>
      <c r="S94">
        <v>13740.5762660985</v>
      </c>
      <c r="T94">
        <v>13486.6170829495</v>
      </c>
      <c r="U94">
        <v>5668.6389441368401</v>
      </c>
      <c r="V94">
        <v>107989.008878546</v>
      </c>
      <c r="W94">
        <v>17329.183060638101</v>
      </c>
      <c r="X94">
        <v>0.27096206945586399</v>
      </c>
      <c r="Y94">
        <v>152905.62797774799</v>
      </c>
      <c r="Z94">
        <v>66884.158947717602</v>
      </c>
      <c r="AA94">
        <v>0.80397685686982001</v>
      </c>
      <c r="AB94">
        <v>79547.409564951406</v>
      </c>
      <c r="AC94">
        <v>46625.093253527899</v>
      </c>
      <c r="AD94">
        <v>63954.276314165902</v>
      </c>
      <c r="AE94">
        <v>-128096.04524681901</v>
      </c>
      <c r="AF94">
        <v>-6906.6267941636697</v>
      </c>
      <c r="AG94">
        <v>5.5594999999999999E-2</v>
      </c>
      <c r="AH94">
        <v>-397679.696574756</v>
      </c>
      <c r="AI94">
        <v>174873.16782626399</v>
      </c>
      <c r="AJ94">
        <v>0.06</v>
      </c>
      <c r="AK94">
        <v>0.05</v>
      </c>
      <c r="AL94">
        <v>8.8099999999999998E-2</v>
      </c>
      <c r="AM94">
        <v>3.8100000000000002E-2</v>
      </c>
      <c r="AN94">
        <v>0.89</v>
      </c>
      <c r="AO94">
        <v>0.66</v>
      </c>
      <c r="AP94">
        <v>0.42970000000000003</v>
      </c>
      <c r="AQ94">
        <v>0.57030000000000003</v>
      </c>
      <c r="AR94">
        <v>8.9999999999999993E-3</v>
      </c>
      <c r="AS94">
        <v>0.5</v>
      </c>
      <c r="AT94">
        <v>1.82</v>
      </c>
      <c r="AU94">
        <v>6.3545217126973294E-2</v>
      </c>
      <c r="AV94">
        <v>0.7893</v>
      </c>
      <c r="AW94">
        <v>3</v>
      </c>
      <c r="AX94">
        <v>0.05</v>
      </c>
      <c r="AY94">
        <v>1</v>
      </c>
      <c r="AZ94">
        <v>1</v>
      </c>
      <c r="BA94" s="2">
        <f>modelo_tese_H__2[[#This Row],[Vw]]+modelo_tese_H__2[[#This Row],[Vr]]+modelo_tese_H__2[[#This Row],[K]]-modelo_tese_H__2[[#This Row],[E]]</f>
        <v>-136785.05971846162</v>
      </c>
      <c r="BB94" s="2">
        <f>modelo_tese_H__2[[#This Row],[K]]-modelo_tese_H__2[[#This Row],[Coluna1]]</f>
        <v>289690.68769620964</v>
      </c>
      <c r="BC94">
        <f>modelo_tese_H__2[[#This Row],[Coluna2]]/modelo_tese_H__2[[#This Row],[Coluna1]]</f>
        <v>-2.1178532823136287</v>
      </c>
      <c r="BD94" s="8">
        <f>modelo_tese_H__2[[#This Row],[D]]-modelo_tese_H__2[[#This Row],[Dw]]-modelo_tese_H__2[[#This Row],[Dr]]</f>
        <v>0</v>
      </c>
    </row>
    <row r="95" spans="1:56" x14ac:dyDescent="0.25">
      <c r="A95">
        <v>94</v>
      </c>
      <c r="B95">
        <v>94</v>
      </c>
      <c r="C95">
        <v>38517.054884395497</v>
      </c>
      <c r="D95">
        <v>16989.948161067099</v>
      </c>
      <c r="E95">
        <v>15121.0538633497</v>
      </c>
      <c r="F95">
        <v>2089.9079880023301</v>
      </c>
      <c r="G95">
        <v>56919.213623396397</v>
      </c>
      <c r="H95">
        <v>13051.4980178074</v>
      </c>
      <c r="I95">
        <v>30262.459869159498</v>
      </c>
      <c r="J95">
        <v>23549.2372187539</v>
      </c>
      <c r="K95">
        <v>147030.05535912601</v>
      </c>
      <c r="L95">
        <v>-13272.511708092399</v>
      </c>
      <c r="M95">
        <v>170579.29257787901</v>
      </c>
      <c r="N95">
        <v>-249357.56583345699</v>
      </c>
      <c r="O95">
        <v>28747.077587573898</v>
      </c>
      <c r="P95">
        <v>18973.071207798799</v>
      </c>
      <c r="Q95">
        <v>29021.179175565099</v>
      </c>
      <c r="R95">
        <v>14510.589587782501</v>
      </c>
      <c r="S95">
        <v>14510.589587782501</v>
      </c>
      <c r="T95">
        <v>14236.487999791399</v>
      </c>
      <c r="U95">
        <v>5981.8929845553803</v>
      </c>
      <c r="V95">
        <v>113970.901863101</v>
      </c>
      <c r="W95">
        <v>18302.702983002298</v>
      </c>
      <c r="X95">
        <v>0.27099765396225201</v>
      </c>
      <c r="Y95">
        <v>161491.909630968</v>
      </c>
      <c r="Z95">
        <v>70676.272342937402</v>
      </c>
      <c r="AA95">
        <v>0.80389183586503599</v>
      </c>
      <c r="AB95">
        <v>84014.081306455002</v>
      </c>
      <c r="AC95">
        <v>49235.531076958301</v>
      </c>
      <c r="AD95">
        <v>67538.234059960596</v>
      </c>
      <c r="AE95">
        <v>-135386.66397035599</v>
      </c>
      <c r="AF95">
        <v>-7290.6187235369998</v>
      </c>
      <c r="AG95">
        <v>5.5594999999999999E-2</v>
      </c>
      <c r="AH95">
        <v>-419936.85841133702</v>
      </c>
      <c r="AI95">
        <v>184647.174206039</v>
      </c>
      <c r="AJ95">
        <v>0.06</v>
      </c>
      <c r="AK95">
        <v>0.05</v>
      </c>
      <c r="AL95">
        <v>8.8099999999999998E-2</v>
      </c>
      <c r="AM95">
        <v>3.8100000000000002E-2</v>
      </c>
      <c r="AN95">
        <v>0.89</v>
      </c>
      <c r="AO95">
        <v>0.66</v>
      </c>
      <c r="AP95">
        <v>0.42970000000000003</v>
      </c>
      <c r="AQ95">
        <v>0.57030000000000003</v>
      </c>
      <c r="AR95">
        <v>8.9999999999999993E-3</v>
      </c>
      <c r="AS95">
        <v>0.5</v>
      </c>
      <c r="AT95">
        <v>1.82</v>
      </c>
      <c r="AU95">
        <v>6.3545217126973294E-2</v>
      </c>
      <c r="AV95">
        <v>0.7893</v>
      </c>
      <c r="AW95">
        <v>3</v>
      </c>
      <c r="AX95">
        <v>0.05</v>
      </c>
      <c r="AY95">
        <v>1</v>
      </c>
      <c r="AZ95">
        <v>1</v>
      </c>
      <c r="BA95" s="2">
        <f>modelo_tese_H__2[[#This Row],[Vw]]+modelo_tese_H__2[[#This Row],[Vr]]+modelo_tese_H__2[[#This Row],[K]]-modelo_tese_H__2[[#This Row],[E]]</f>
        <v>-144474.04691726743</v>
      </c>
      <c r="BB95" s="2">
        <f>modelo_tese_H__2[[#This Row],[K]]-modelo_tese_H__2[[#This Row],[Coluna1]]</f>
        <v>305965.95654823544</v>
      </c>
      <c r="BC95">
        <f>modelo_tese_H__2[[#This Row],[Coluna2]]/modelo_tese_H__2[[#This Row],[Coluna1]]</f>
        <v>-2.1177918323520473</v>
      </c>
      <c r="BD95" s="8">
        <f>modelo_tese_H__2[[#This Row],[D]]-modelo_tese_H__2[[#This Row],[Dw]]-modelo_tese_H__2[[#This Row],[Dr]]</f>
        <v>0</v>
      </c>
    </row>
    <row r="96" spans="1:56" x14ac:dyDescent="0.25">
      <c r="A96">
        <v>95</v>
      </c>
      <c r="B96">
        <v>95</v>
      </c>
      <c r="C96">
        <v>40675.480137620601</v>
      </c>
      <c r="D96">
        <v>17951.491469057299</v>
      </c>
      <c r="E96">
        <v>15976.827407461</v>
      </c>
      <c r="F96">
        <v>2205.9840718709302</v>
      </c>
      <c r="G96">
        <v>60096.508844879703</v>
      </c>
      <c r="H96">
        <v>13777.096050107401</v>
      </c>
      <c r="I96">
        <v>31959.907529439399</v>
      </c>
      <c r="J96">
        <v>24857.9953525903</v>
      </c>
      <c r="K96">
        <v>155205.30630005</v>
      </c>
      <c r="L96">
        <v>-14008.4160603821</v>
      </c>
      <c r="M96">
        <v>180063.30165264101</v>
      </c>
      <c r="N96">
        <v>-263365.98189383902</v>
      </c>
      <c r="O96">
        <v>30351.772143878599</v>
      </c>
      <c r="P96">
        <v>20032.169614959901</v>
      </c>
      <c r="Q96">
        <v>30647.472935534901</v>
      </c>
      <c r="R96">
        <v>15323.7364677675</v>
      </c>
      <c r="S96">
        <v>15323.7364677675</v>
      </c>
      <c r="T96">
        <v>15028.0356761112</v>
      </c>
      <c r="U96">
        <v>6312.4630679299898</v>
      </c>
      <c r="V96">
        <v>120283.364931031</v>
      </c>
      <c r="W96">
        <v>19330.875928756199</v>
      </c>
      <c r="X96">
        <v>0.27103302787994699</v>
      </c>
      <c r="Y96">
        <v>170560.74709797499</v>
      </c>
      <c r="Z96">
        <v>74683.411803926094</v>
      </c>
      <c r="AA96">
        <v>0.80380357684649395</v>
      </c>
      <c r="AB96">
        <v>88731.818478554007</v>
      </c>
      <c r="AC96">
        <v>51992.0771443993</v>
      </c>
      <c r="AD96">
        <v>71322.953073155499</v>
      </c>
      <c r="AE96">
        <v>-143082.61696280801</v>
      </c>
      <c r="AF96">
        <v>-7695.9529924520803</v>
      </c>
      <c r="AG96">
        <v>5.5594999999999999E-2</v>
      </c>
      <c r="AH96">
        <v>-443429.28354648</v>
      </c>
      <c r="AI96">
        <v>194966.77673495701</v>
      </c>
      <c r="AJ96">
        <v>0.06</v>
      </c>
      <c r="AK96">
        <v>0.05</v>
      </c>
      <c r="AL96">
        <v>8.8099999999999998E-2</v>
      </c>
      <c r="AM96">
        <v>3.8100000000000002E-2</v>
      </c>
      <c r="AN96">
        <v>0.89</v>
      </c>
      <c r="AO96">
        <v>0.66</v>
      </c>
      <c r="AP96">
        <v>0.42970000000000003</v>
      </c>
      <c r="AQ96">
        <v>0.57030000000000003</v>
      </c>
      <c r="AR96">
        <v>8.9999999999999993E-3</v>
      </c>
      <c r="AS96">
        <v>0.5</v>
      </c>
      <c r="AT96">
        <v>1.82</v>
      </c>
      <c r="AU96">
        <v>6.3545217126973294E-2</v>
      </c>
      <c r="AV96">
        <v>0.7893</v>
      </c>
      <c r="AW96">
        <v>3</v>
      </c>
      <c r="AX96">
        <v>0.05</v>
      </c>
      <c r="AY96">
        <v>1</v>
      </c>
      <c r="AZ96">
        <v>1</v>
      </c>
      <c r="BA96" s="2">
        <f>modelo_tese_H__2[[#This Row],[Vw]]+modelo_tese_H__2[[#This Row],[Vr]]+modelo_tese_H__2[[#This Row],[K]]-modelo_tese_H__2[[#This Row],[E]]</f>
        <v>-152585.17151747411</v>
      </c>
      <c r="BB96" s="2">
        <f>modelo_tese_H__2[[#This Row],[K]]-modelo_tese_H__2[[#This Row],[Coluna1]]</f>
        <v>323145.9186154491</v>
      </c>
      <c r="BC96">
        <f>modelo_tese_H__2[[#This Row],[Coluna2]]/modelo_tese_H__2[[#This Row],[Coluna1]]</f>
        <v>-2.1178068314354013</v>
      </c>
      <c r="BD96" s="8">
        <f>modelo_tese_H__2[[#This Row],[D]]-modelo_tese_H__2[[#This Row],[Dw]]-modelo_tese_H__2[[#This Row],[Dr]]</f>
        <v>0</v>
      </c>
    </row>
    <row r="97" spans="1:56" x14ac:dyDescent="0.25">
      <c r="A97">
        <v>96</v>
      </c>
      <c r="B97">
        <v>96</v>
      </c>
      <c r="C97">
        <v>42954.802666358002</v>
      </c>
      <c r="D97">
        <v>18967.409798912598</v>
      </c>
      <c r="E97">
        <v>16880.994721032199</v>
      </c>
      <c r="F97">
        <v>2328.5048619792801</v>
      </c>
      <c r="G97">
        <v>63451.091960617799</v>
      </c>
      <c r="H97">
        <v>14543.0337050132</v>
      </c>
      <c r="I97">
        <v>33752.533288024599</v>
      </c>
      <c r="J97">
        <v>26239.4105916359</v>
      </c>
      <c r="K97">
        <v>163835.01783503199</v>
      </c>
      <c r="L97">
        <v>-14785.1234891121</v>
      </c>
      <c r="M97">
        <v>190074.428426667</v>
      </c>
      <c r="N97">
        <v>-278151.10538295098</v>
      </c>
      <c r="O97">
        <v>32046.006040716002</v>
      </c>
      <c r="P97">
        <v>21150.363986872599</v>
      </c>
      <c r="Q97">
        <v>32364.858330236799</v>
      </c>
      <c r="R97">
        <v>16182.429165118399</v>
      </c>
      <c r="S97">
        <v>16182.429165118399</v>
      </c>
      <c r="T97">
        <v>15863.576875597601</v>
      </c>
      <c r="U97">
        <v>6661.3074972642598</v>
      </c>
      <c r="V97">
        <v>126944.67242829601</v>
      </c>
      <c r="W97">
        <v>20416.7637216976</v>
      </c>
      <c r="X97">
        <v>0.27106818394497501</v>
      </c>
      <c r="Y97">
        <v>180139.19111199299</v>
      </c>
      <c r="Z97">
        <v>78917.746360505305</v>
      </c>
      <c r="AA97">
        <v>0.80371237430766396</v>
      </c>
      <c r="AB97">
        <v>93714.6962076786</v>
      </c>
      <c r="AC97">
        <v>54902.897274897201</v>
      </c>
      <c r="AD97">
        <v>75319.660996594801</v>
      </c>
      <c r="AE97">
        <v>-151206.43295465599</v>
      </c>
      <c r="AF97">
        <v>-8123.8159918477904</v>
      </c>
      <c r="AG97">
        <v>5.5594999999999999E-2</v>
      </c>
      <c r="AH97">
        <v>-468225.53380961902</v>
      </c>
      <c r="AI97">
        <v>205862.41878880101</v>
      </c>
      <c r="AJ97">
        <v>0.06</v>
      </c>
      <c r="AK97">
        <v>0.05</v>
      </c>
      <c r="AL97">
        <v>8.8099999999999998E-2</v>
      </c>
      <c r="AM97">
        <v>3.8100000000000002E-2</v>
      </c>
      <c r="AN97">
        <v>0.89</v>
      </c>
      <c r="AO97">
        <v>0.66</v>
      </c>
      <c r="AP97">
        <v>0.42970000000000003</v>
      </c>
      <c r="AQ97">
        <v>0.57030000000000003</v>
      </c>
      <c r="AR97">
        <v>8.9999999999999993E-3</v>
      </c>
      <c r="AS97">
        <v>0.5</v>
      </c>
      <c r="AT97">
        <v>1.82</v>
      </c>
      <c r="AU97">
        <v>6.3545217126973294E-2</v>
      </c>
      <c r="AV97">
        <v>0.7893</v>
      </c>
      <c r="AW97">
        <v>3</v>
      </c>
      <c r="AX97">
        <v>0.05</v>
      </c>
      <c r="AY97">
        <v>1</v>
      </c>
      <c r="AZ97">
        <v>1</v>
      </c>
      <c r="BA97" s="2">
        <f>modelo_tese_H__2[[#This Row],[Vw]]+modelo_tese_H__2[[#This Row],[Vr]]+modelo_tese_H__2[[#This Row],[K]]-modelo_tese_H__2[[#This Row],[E]]</f>
        <v>-161141.67026933032</v>
      </c>
      <c r="BB97" s="2">
        <f>modelo_tese_H__2[[#This Row],[K]]-modelo_tese_H__2[[#This Row],[Coluna1]]</f>
        <v>341280.86138132331</v>
      </c>
      <c r="BC97">
        <f>modelo_tese_H__2[[#This Row],[Coluna2]]/modelo_tese_H__2[[#This Row],[Coluna1]]</f>
        <v>-2.1178932849021015</v>
      </c>
      <c r="BD97" s="8">
        <f>modelo_tese_H__2[[#This Row],[D]]-modelo_tese_H__2[[#This Row],[Dw]]-modelo_tese_H__2[[#This Row],[Dr]]</f>
        <v>-1.0186340659856796E-9</v>
      </c>
    </row>
    <row r="98" spans="1:56" x14ac:dyDescent="0.25">
      <c r="A98">
        <v>97</v>
      </c>
      <c r="B98">
        <v>97</v>
      </c>
      <c r="C98">
        <v>45361.783324612501</v>
      </c>
      <c r="D98">
        <v>20040.766118932501</v>
      </c>
      <c r="E98">
        <v>17836.281845849899</v>
      </c>
      <c r="F98">
        <v>2457.8283209761098</v>
      </c>
      <c r="G98">
        <v>66992.848265372202</v>
      </c>
      <c r="H98">
        <v>15351.5536638434</v>
      </c>
      <c r="I98">
        <v>35645.6638306694</v>
      </c>
      <c r="J98">
        <v>27697.517369070702</v>
      </c>
      <c r="K98">
        <v>172944.45731935999</v>
      </c>
      <c r="L98">
        <v>-15604.8977117369</v>
      </c>
      <c r="M98">
        <v>200641.97468843099</v>
      </c>
      <c r="N98">
        <v>-293756.003094688</v>
      </c>
      <c r="O98">
        <v>33834.7718511981</v>
      </c>
      <c r="P98">
        <v>22330.949421790701</v>
      </c>
      <c r="Q98">
        <v>34178.429413617399</v>
      </c>
      <c r="R98">
        <v>17089.2147068087</v>
      </c>
      <c r="S98">
        <v>17089.2147068087</v>
      </c>
      <c r="T98">
        <v>16745.5571443894</v>
      </c>
      <c r="U98">
        <v>7029.4376504463398</v>
      </c>
      <c r="V98">
        <v>133974.110078742</v>
      </c>
      <c r="W98">
        <v>21563.599485769701</v>
      </c>
      <c r="X98">
        <v>0.27110311556164601</v>
      </c>
      <c r="Y98">
        <v>190255.806585474</v>
      </c>
      <c r="Z98">
        <v>83392.131139466306</v>
      </c>
      <c r="AA98">
        <v>0.80361850350254205</v>
      </c>
      <c r="AB98">
        <v>98977.577534062104</v>
      </c>
      <c r="AC98">
        <v>57976.613252460098</v>
      </c>
      <c r="AD98">
        <v>79540.212738229806</v>
      </c>
      <c r="AE98">
        <v>-159781.893015946</v>
      </c>
      <c r="AF98">
        <v>-8575.4600612905706</v>
      </c>
      <c r="AG98">
        <v>5.5594999999999999E-2</v>
      </c>
      <c r="AH98">
        <v>-494397.97778311901</v>
      </c>
      <c r="AI98">
        <v>217366.24121820799</v>
      </c>
      <c r="AJ98">
        <v>0.06</v>
      </c>
      <c r="AK98">
        <v>0.05</v>
      </c>
      <c r="AL98">
        <v>8.8099999999999998E-2</v>
      </c>
      <c r="AM98">
        <v>3.8100000000000002E-2</v>
      </c>
      <c r="AN98">
        <v>0.89</v>
      </c>
      <c r="AO98">
        <v>0.66</v>
      </c>
      <c r="AP98">
        <v>0.42970000000000003</v>
      </c>
      <c r="AQ98">
        <v>0.57030000000000003</v>
      </c>
      <c r="AR98">
        <v>8.9999999999999993E-3</v>
      </c>
      <c r="AS98">
        <v>0.5</v>
      </c>
      <c r="AT98">
        <v>1.82</v>
      </c>
      <c r="AU98">
        <v>6.3545217126973294E-2</v>
      </c>
      <c r="AV98">
        <v>0.7893</v>
      </c>
      <c r="AW98">
        <v>3</v>
      </c>
      <c r="AX98">
        <v>0.05</v>
      </c>
      <c r="AY98">
        <v>1</v>
      </c>
      <c r="AZ98">
        <v>1</v>
      </c>
      <c r="BA98" s="2">
        <f>modelo_tese_H__2[[#This Row],[Vw]]+modelo_tese_H__2[[#This Row],[Vr]]+modelo_tese_H__2[[#This Row],[K]]-modelo_tese_H__2[[#This Row],[E]]</f>
        <v>-170168.06111890334</v>
      </c>
      <c r="BB98" s="2">
        <f>modelo_tese_H__2[[#This Row],[K]]-modelo_tese_H__2[[#This Row],[Coluna1]]</f>
        <v>360423.86770437734</v>
      </c>
      <c r="BC98">
        <f>modelo_tese_H__2[[#This Row],[Coluna2]]/modelo_tese_H__2[[#This Row],[Coluna1]]</f>
        <v>-2.1180465084604481</v>
      </c>
      <c r="BD98" s="8">
        <f>modelo_tese_H__2[[#This Row],[D]]-modelo_tese_H__2[[#This Row],[Dw]]-modelo_tese_H__2[[#This Row],[Dr]]</f>
        <v>0</v>
      </c>
    </row>
    <row r="99" spans="1:56" x14ac:dyDescent="0.25">
      <c r="A99">
        <v>98</v>
      </c>
      <c r="B99">
        <v>98</v>
      </c>
      <c r="C99">
        <v>47903.560662997603</v>
      </c>
      <c r="D99">
        <v>21174.795537903701</v>
      </c>
      <c r="E99">
        <v>18845.568028734298</v>
      </c>
      <c r="F99">
        <v>2594.3322961921299</v>
      </c>
      <c r="G99">
        <v>70732.213952577004</v>
      </c>
      <c r="H99">
        <v>16205.0232897847</v>
      </c>
      <c r="I99">
        <v>37644.923614711202</v>
      </c>
      <c r="J99">
        <v>29236.574253501301</v>
      </c>
      <c r="K99">
        <v>182560.29678527699</v>
      </c>
      <c r="L99">
        <v>-16470.128076807501</v>
      </c>
      <c r="M99">
        <v>211796.87103877901</v>
      </c>
      <c r="N99">
        <v>-310226.131171496</v>
      </c>
      <c r="O99">
        <v>35723.340380089401</v>
      </c>
      <c r="P99">
        <v>23577.404650859</v>
      </c>
      <c r="Q99">
        <v>36093.564820077299</v>
      </c>
      <c r="R99">
        <v>18046.782410038599</v>
      </c>
      <c r="S99">
        <v>18046.782410038599</v>
      </c>
      <c r="T99">
        <v>17676.557970050799</v>
      </c>
      <c r="U99">
        <v>7417.9209217643702</v>
      </c>
      <c r="V99">
        <v>141392.03100050599</v>
      </c>
      <c r="W99">
        <v>22774.7972175047</v>
      </c>
      <c r="X99">
        <v>0.27113781675891202</v>
      </c>
      <c r="Y99">
        <v>200940.757263837</v>
      </c>
      <c r="Z99">
        <v>88120.145946932302</v>
      </c>
      <c r="AA99">
        <v>0.80352222159651199</v>
      </c>
      <c r="AB99">
        <v>104536.15746454601</v>
      </c>
      <c r="AC99">
        <v>61222.328265570199</v>
      </c>
      <c r="AD99">
        <v>83997.125483074895</v>
      </c>
      <c r="AE99">
        <v>-168834.100170989</v>
      </c>
      <c r="AF99">
        <v>-9052.2071550430901</v>
      </c>
      <c r="AG99">
        <v>5.5594999999999999E-2</v>
      </c>
      <c r="AH99">
        <v>-522023.00221027399</v>
      </c>
      <c r="AI99">
        <v>229512.176947439</v>
      </c>
      <c r="AJ99">
        <v>0.06</v>
      </c>
      <c r="AK99">
        <v>0.05</v>
      </c>
      <c r="AL99">
        <v>8.8099999999999998E-2</v>
      </c>
      <c r="AM99">
        <v>3.8100000000000002E-2</v>
      </c>
      <c r="AN99">
        <v>0.89</v>
      </c>
      <c r="AO99">
        <v>0.66</v>
      </c>
      <c r="AP99">
        <v>0.42970000000000003</v>
      </c>
      <c r="AQ99">
        <v>0.57030000000000003</v>
      </c>
      <c r="AR99">
        <v>8.9999999999999993E-3</v>
      </c>
      <c r="AS99">
        <v>0.5</v>
      </c>
      <c r="AT99">
        <v>1.82</v>
      </c>
      <c r="AU99">
        <v>6.3545217126973294E-2</v>
      </c>
      <c r="AV99">
        <v>0.7893</v>
      </c>
      <c r="AW99">
        <v>3</v>
      </c>
      <c r="AX99">
        <v>0.05</v>
      </c>
      <c r="AY99">
        <v>1</v>
      </c>
      <c r="AZ99">
        <v>1</v>
      </c>
      <c r="BA99" s="2">
        <f>modelo_tese_H__2[[#This Row],[Vw]]+modelo_tese_H__2[[#This Row],[Vr]]+modelo_tese_H__2[[#This Row],[K]]-modelo_tese_H__2[[#This Row],[E]]</f>
        <v>-179690.2139459303</v>
      </c>
      <c r="BB99" s="2">
        <f>modelo_tese_H__2[[#This Row],[K]]-modelo_tese_H__2[[#This Row],[Coluna1]]</f>
        <v>380630.97120976727</v>
      </c>
      <c r="BC99">
        <f>modelo_tese_H__2[[#This Row],[Coluna2]]/modelo_tese_H__2[[#This Row],[Coluna1]]</f>
        <v>-2.1182621070522019</v>
      </c>
      <c r="BD99" s="8">
        <f>modelo_tese_H__2[[#This Row],[D]]-modelo_tese_H__2[[#This Row],[Dw]]-modelo_tese_H__2[[#This Row],[Dr]]</f>
        <v>1.0186340659856796E-9</v>
      </c>
    </row>
    <row r="100" spans="1:56" x14ac:dyDescent="0.25">
      <c r="A100">
        <v>99</v>
      </c>
      <c r="B100">
        <v>99</v>
      </c>
      <c r="C100">
        <v>50587.672009725997</v>
      </c>
      <c r="D100">
        <v>22372.914959278402</v>
      </c>
      <c r="E100">
        <v>19911.894313757799</v>
      </c>
      <c r="F100">
        <v>2738.41562441207</v>
      </c>
      <c r="G100">
        <v>74680.2068019992</v>
      </c>
      <c r="H100">
        <v>17105.9415595803</v>
      </c>
      <c r="I100">
        <v>39756.251497750098</v>
      </c>
      <c r="J100">
        <v>30861.076398854901</v>
      </c>
      <c r="K100">
        <v>192710.69103733901</v>
      </c>
      <c r="L100">
        <v>-17383.336538471802</v>
      </c>
      <c r="M100">
        <v>223571.767436194</v>
      </c>
      <c r="N100">
        <v>-327609.46770996699</v>
      </c>
      <c r="O100">
        <v>37717.276162625902</v>
      </c>
      <c r="P100">
        <v>24893.402267333098</v>
      </c>
      <c r="Q100">
        <v>38115.943648218898</v>
      </c>
      <c r="R100">
        <v>19057.9718241095</v>
      </c>
      <c r="S100">
        <v>19057.9718241095</v>
      </c>
      <c r="T100">
        <v>18659.304338516398</v>
      </c>
      <c r="U100">
        <v>7827.8838265405502</v>
      </c>
      <c r="V100">
        <v>149219.914827047</v>
      </c>
      <c r="W100">
        <v>24053.961892861698</v>
      </c>
      <c r="X100">
        <v>0.27117228214933398</v>
      </c>
      <c r="Y100">
        <v>212225.89510671</v>
      </c>
      <c r="Z100">
        <v>93116.136015684606</v>
      </c>
      <c r="AA100">
        <v>0.80342376875531896</v>
      </c>
      <c r="AB100">
        <v>110407.00948562501</v>
      </c>
      <c r="AC100">
        <v>64649.653765083203</v>
      </c>
      <c r="AD100">
        <v>88703.615657944902</v>
      </c>
      <c r="AE100">
        <v>-178389.55288292101</v>
      </c>
      <c r="AF100">
        <v>-9555.4527119312297</v>
      </c>
      <c r="AG100">
        <v>5.5594999999999999E-2</v>
      </c>
      <c r="AH100">
        <v>-551181.23514616105</v>
      </c>
      <c r="AI100">
        <v>242336.050842731</v>
      </c>
      <c r="AJ100">
        <v>0.06</v>
      </c>
      <c r="AK100">
        <v>0.05</v>
      </c>
      <c r="AL100">
        <v>8.8099999999999998E-2</v>
      </c>
      <c r="AM100">
        <v>3.8100000000000002E-2</v>
      </c>
      <c r="AN100">
        <v>0.89</v>
      </c>
      <c r="AO100">
        <v>0.66</v>
      </c>
      <c r="AP100">
        <v>0.42970000000000003</v>
      </c>
      <c r="AQ100">
        <v>0.57030000000000003</v>
      </c>
      <c r="AR100">
        <v>8.9999999999999993E-3</v>
      </c>
      <c r="AS100">
        <v>0.5</v>
      </c>
      <c r="AT100">
        <v>1.82</v>
      </c>
      <c r="AU100">
        <v>6.3545217126973294E-2</v>
      </c>
      <c r="AV100">
        <v>0.7893</v>
      </c>
      <c r="AW100">
        <v>3</v>
      </c>
      <c r="AX100">
        <v>0.05</v>
      </c>
      <c r="AY100">
        <v>1</v>
      </c>
      <c r="AZ100">
        <v>1</v>
      </c>
      <c r="BA100" s="2">
        <f>modelo_tese_H__2[[#This Row],[Vw]]+modelo_tese_H__2[[#This Row],[Vr]]+modelo_tese_H__2[[#This Row],[K]]-modelo_tese_H__2[[#This Row],[E]]</f>
        <v>-189735.42521240463</v>
      </c>
      <c r="BB100" s="2">
        <f>modelo_tese_H__2[[#This Row],[K]]-modelo_tese_H__2[[#This Row],[Coluna1]]</f>
        <v>401961.3203191146</v>
      </c>
      <c r="BC100">
        <f>modelo_tese_H__2[[#This Row],[Coluna2]]/modelo_tese_H__2[[#This Row],[Coluna1]]</f>
        <v>-2.1185359553658878</v>
      </c>
      <c r="BD100" s="8">
        <f>modelo_tese_H__2[[#This Row],[D]]-modelo_tese_H__2[[#This Row],[Dw]]-modelo_tese_H__2[[#This Row],[Dr]]</f>
        <v>-1.0186340659856796E-9</v>
      </c>
    </row>
    <row r="101" spans="1:56" x14ac:dyDescent="0.25">
      <c r="A101">
        <v>100</v>
      </c>
      <c r="B101">
        <v>100</v>
      </c>
      <c r="C101">
        <v>53422.075727345502</v>
      </c>
      <c r="D101">
        <v>23638.733275878301</v>
      </c>
      <c r="E101">
        <v>21038.4726155317</v>
      </c>
      <c r="F101">
        <v>2890.4992980337101</v>
      </c>
      <c r="G101">
        <v>78848.458576205798</v>
      </c>
      <c r="H101">
        <v>18056.946380585199</v>
      </c>
      <c r="I101">
        <v>41985.918294150499</v>
      </c>
      <c r="J101">
        <v>32575.768686092299</v>
      </c>
      <c r="K101">
        <v>203425.36008940099</v>
      </c>
      <c r="L101">
        <v>-18347.185018272299</v>
      </c>
      <c r="M101">
        <v>236001.12877549301</v>
      </c>
      <c r="N101">
        <v>-345956.65272824001</v>
      </c>
      <c r="O101">
        <v>39822.453826366604</v>
      </c>
      <c r="P101">
        <v>26282.819525401901</v>
      </c>
      <c r="Q101">
        <v>40251.562230475902</v>
      </c>
      <c r="R101">
        <v>20125.7811152379</v>
      </c>
      <c r="S101">
        <v>20125.7811152379</v>
      </c>
      <c r="T101">
        <v>19696.672711128602</v>
      </c>
      <c r="U101">
        <v>8260.5152779336695</v>
      </c>
      <c r="V101">
        <v>157480.430104981</v>
      </c>
      <c r="W101">
        <v>25404.900138268898</v>
      </c>
      <c r="X101">
        <v>0.27120650689053699</v>
      </c>
      <c r="Y101">
        <v>224144.854660457</v>
      </c>
      <c r="Z101">
        <v>98395.255038715506</v>
      </c>
      <c r="AA101">
        <v>0.80332336917468306</v>
      </c>
      <c r="AB101">
        <v>116607.63467401599</v>
      </c>
      <c r="AC101">
        <v>68268.737819552494</v>
      </c>
      <c r="AD101">
        <v>93673.637957821396</v>
      </c>
      <c r="AE101">
        <v>-188476.222623259</v>
      </c>
      <c r="AF101">
        <v>-10086.669740338601</v>
      </c>
      <c r="AG101">
        <v>5.5594999999999999E-2</v>
      </c>
      <c r="AH101">
        <v>-581957.78150373301</v>
      </c>
      <c r="AI101">
        <v>255875.685143696</v>
      </c>
      <c r="AJ101">
        <v>0.06</v>
      </c>
      <c r="AK101">
        <v>0.05</v>
      </c>
      <c r="AL101">
        <v>8.8099999999999998E-2</v>
      </c>
      <c r="AM101">
        <v>3.8100000000000002E-2</v>
      </c>
      <c r="AN101">
        <v>0.89</v>
      </c>
      <c r="AO101">
        <v>0.66</v>
      </c>
      <c r="AP101">
        <v>0.42970000000000003</v>
      </c>
      <c r="AQ101">
        <v>0.57030000000000003</v>
      </c>
      <c r="AR101">
        <v>8.9999999999999993E-3</v>
      </c>
      <c r="AS101">
        <v>0.5</v>
      </c>
      <c r="AT101">
        <v>1.82</v>
      </c>
      <c r="AU101">
        <v>6.3545217126973294E-2</v>
      </c>
      <c r="AV101">
        <v>0.7893</v>
      </c>
      <c r="AW101">
        <v>3</v>
      </c>
      <c r="AX101">
        <v>0.05</v>
      </c>
      <c r="AY101">
        <v>1</v>
      </c>
      <c r="AZ101">
        <v>1</v>
      </c>
      <c r="BA101" s="2">
        <f>modelo_tese_H__2[[#This Row],[Vw]]+modelo_tese_H__2[[#This Row],[Vr]]+modelo_tese_H__2[[#This Row],[K]]-modelo_tese_H__2[[#This Row],[E]]</f>
        <v>-200332.49673829548</v>
      </c>
      <c r="BB101" s="2">
        <f>modelo_tese_H__2[[#This Row],[K]]-modelo_tese_H__2[[#This Row],[Coluna1]]</f>
        <v>424477.35139875248</v>
      </c>
      <c r="BC101">
        <f>modelo_tese_H__2[[#This Row],[Coluna2]]/modelo_tese_H__2[[#This Row],[Coluna1]]</f>
        <v>-2.1188641798503056</v>
      </c>
      <c r="BD101" s="8">
        <f>modelo_tese_H__2[[#This Row],[D]]-modelo_tese_H__2[[#This Row],[Dw]]-modelo_tese_H__2[[#This Row],[Dr]]</f>
        <v>0</v>
      </c>
    </row>
    <row r="102" spans="1:56" x14ac:dyDescent="0.25">
      <c r="A102">
        <v>101</v>
      </c>
      <c r="B102">
        <v>101</v>
      </c>
      <c r="C102">
        <v>56415.174710759798</v>
      </c>
      <c r="D102">
        <v>24976.0621353508</v>
      </c>
      <c r="E102">
        <v>22228.695300462201</v>
      </c>
      <c r="F102">
        <v>3051.0276960250499</v>
      </c>
      <c r="G102">
        <v>83249.249220963204</v>
      </c>
      <c r="H102">
        <v>19060.822314613801</v>
      </c>
      <c r="I102">
        <v>44340.545311101101</v>
      </c>
      <c r="J102">
        <v>34385.659595177203</v>
      </c>
      <c r="K102">
        <v>214735.67618460901</v>
      </c>
      <c r="L102">
        <v>-19364.483175750302</v>
      </c>
      <c r="M102">
        <v>249121.33577978599</v>
      </c>
      <c r="N102">
        <v>-365321.13590399001</v>
      </c>
      <c r="O102">
        <v>42045.0753641228</v>
      </c>
      <c r="P102">
        <v>27749.749740321098</v>
      </c>
      <c r="Q102">
        <v>42506.751838003598</v>
      </c>
      <c r="R102">
        <v>21253.375919001799</v>
      </c>
      <c r="S102">
        <v>21253.375919001799</v>
      </c>
      <c r="T102">
        <v>20791.699445121001</v>
      </c>
      <c r="U102">
        <v>8717.0700454622602</v>
      </c>
      <c r="V102">
        <v>166197.500150443</v>
      </c>
      <c r="W102">
        <v>26831.631497341299</v>
      </c>
      <c r="X102">
        <v>0.27124048664898798</v>
      </c>
      <c r="Y102">
        <v>236733.15270050499</v>
      </c>
      <c r="Z102">
        <v>103973.510617055</v>
      </c>
      <c r="AA102">
        <v>0.80322123205316498</v>
      </c>
      <c r="AB102">
        <v>123156.51354970101</v>
      </c>
      <c r="AC102">
        <v>72090.295051422101</v>
      </c>
      <c r="AD102">
        <v>98921.926548763397</v>
      </c>
      <c r="AE102">
        <v>-199123.63575354699</v>
      </c>
      <c r="AF102">
        <v>-10647.413130288</v>
      </c>
      <c r="AG102">
        <v>5.5594999999999999E-2</v>
      </c>
      <c r="AH102">
        <v>-614442.47168377601</v>
      </c>
      <c r="AI102">
        <v>270171.010767498</v>
      </c>
      <c r="AJ102">
        <v>0.06</v>
      </c>
      <c r="AK102">
        <v>0.05</v>
      </c>
      <c r="AL102">
        <v>8.8099999999999998E-2</v>
      </c>
      <c r="AM102">
        <v>3.8100000000000002E-2</v>
      </c>
      <c r="AN102">
        <v>0.89</v>
      </c>
      <c r="AO102">
        <v>0.66</v>
      </c>
      <c r="AP102">
        <v>0.42970000000000003</v>
      </c>
      <c r="AQ102">
        <v>0.57030000000000003</v>
      </c>
      <c r="AR102">
        <v>8.9999999999999993E-3</v>
      </c>
      <c r="AS102">
        <v>0.5</v>
      </c>
      <c r="AT102">
        <v>1.82</v>
      </c>
      <c r="AU102">
        <v>6.3545217126973294E-2</v>
      </c>
      <c r="AV102">
        <v>0.7893</v>
      </c>
      <c r="AW102">
        <v>3</v>
      </c>
      <c r="AX102">
        <v>0.05</v>
      </c>
      <c r="AY102">
        <v>1</v>
      </c>
      <c r="AZ102">
        <v>1</v>
      </c>
      <c r="BA102" s="2">
        <f>modelo_tese_H__2[[#This Row],[Vw]]+modelo_tese_H__2[[#This Row],[Vr]]+modelo_tese_H__2[[#This Row],[K]]-modelo_tese_H__2[[#This Row],[E]]</f>
        <v>-211511.81883282802</v>
      </c>
      <c r="BB102" s="2">
        <f>modelo_tese_H__2[[#This Row],[K]]-modelo_tese_H__2[[#This Row],[Coluna1]]</f>
        <v>448244.97153333301</v>
      </c>
      <c r="BC102">
        <f>modelo_tese_H__2[[#This Row],[Coluna2]]/modelo_tese_H__2[[#This Row],[Coluna1]]</f>
        <v>-2.1192431420941591</v>
      </c>
      <c r="BD102" s="8">
        <f>modelo_tese_H__2[[#This Row],[D]]-modelo_tese_H__2[[#This Row],[Dw]]-modelo_tese_H__2[[#This Row],[Dr]]</f>
        <v>0</v>
      </c>
    </row>
    <row r="103" spans="1:56" x14ac:dyDescent="0.25">
      <c r="A103">
        <v>102</v>
      </c>
      <c r="B103">
        <v>102</v>
      </c>
      <c r="C103">
        <v>59575.841195718502</v>
      </c>
      <c r="D103">
        <v>26388.927308285802</v>
      </c>
      <c r="E103">
        <v>23486.1453043744</v>
      </c>
      <c r="F103">
        <v>3220.4698832806198</v>
      </c>
      <c r="G103">
        <v>87895.542969986695</v>
      </c>
      <c r="H103">
        <v>20120.508731194801</v>
      </c>
      <c r="I103">
        <v>46827.1239188498</v>
      </c>
      <c r="J103">
        <v>36296.035847881598</v>
      </c>
      <c r="K103">
        <v>226674.75565317</v>
      </c>
      <c r="L103">
        <v>-20438.1966105639</v>
      </c>
      <c r="M103">
        <v>262970.79150105198</v>
      </c>
      <c r="N103">
        <v>-385759.33251455397</v>
      </c>
      <c r="O103">
        <v>44391.688368680203</v>
      </c>
      <c r="P103">
        <v>29298.514323328902</v>
      </c>
      <c r="Q103">
        <v>44888.197372962102</v>
      </c>
      <c r="R103">
        <v>22444.098686481</v>
      </c>
      <c r="S103">
        <v>22444.098686481</v>
      </c>
      <c r="T103">
        <v>21947.589682199101</v>
      </c>
      <c r="U103">
        <v>9198.8724053303995</v>
      </c>
      <c r="V103">
        <v>175396.37255577301</v>
      </c>
      <c r="W103">
        <v>28338.400326501898</v>
      </c>
      <c r="X103">
        <v>0.27127421756599401</v>
      </c>
      <c r="Y103">
        <v>250028.29343750101</v>
      </c>
      <c r="Z103">
        <v>109867.812257076</v>
      </c>
      <c r="AA103">
        <v>0.80311755251081396</v>
      </c>
      <c r="AB103">
        <v>130073.16082445301</v>
      </c>
      <c r="AC103">
        <v>76125.638242178698</v>
      </c>
      <c r="AD103">
        <v>104464.038568681</v>
      </c>
      <c r="AE103">
        <v>-210362.95995878099</v>
      </c>
      <c r="AF103">
        <v>-11239.324205233501</v>
      </c>
      <c r="AG103">
        <v>5.5594999999999999E-2</v>
      </c>
      <c r="AH103">
        <v>-648730.12401560601</v>
      </c>
      <c r="AI103">
        <v>285264.18481284898</v>
      </c>
      <c r="AJ103">
        <v>0.06</v>
      </c>
      <c r="AK103">
        <v>0.05</v>
      </c>
      <c r="AL103">
        <v>8.8099999999999998E-2</v>
      </c>
      <c r="AM103">
        <v>3.8100000000000002E-2</v>
      </c>
      <c r="AN103">
        <v>0.89</v>
      </c>
      <c r="AO103">
        <v>0.66</v>
      </c>
      <c r="AP103">
        <v>0.42970000000000003</v>
      </c>
      <c r="AQ103">
        <v>0.57030000000000003</v>
      </c>
      <c r="AR103">
        <v>8.9999999999999993E-3</v>
      </c>
      <c r="AS103">
        <v>0.5</v>
      </c>
      <c r="AT103">
        <v>1.82</v>
      </c>
      <c r="AU103">
        <v>6.3545217126973294E-2</v>
      </c>
      <c r="AV103">
        <v>0.7893</v>
      </c>
      <c r="AW103">
        <v>3</v>
      </c>
      <c r="AX103">
        <v>0.05</v>
      </c>
      <c r="AY103">
        <v>1</v>
      </c>
      <c r="AZ103">
        <v>1</v>
      </c>
      <c r="BA103" s="2">
        <f>modelo_tese_H__2[[#This Row],[Vw]]+modelo_tese_H__2[[#This Row],[Vr]]+modelo_tese_H__2[[#This Row],[K]]-modelo_tese_H__2[[#This Row],[E]]</f>
        <v>-223305.45802233202</v>
      </c>
      <c r="BB103" s="2">
        <f>modelo_tese_H__2[[#This Row],[K]]-modelo_tese_H__2[[#This Row],[Coluna1]]</f>
        <v>473333.751459833</v>
      </c>
      <c r="BC103">
        <f>modelo_tese_H__2[[#This Row],[Coluna2]]/modelo_tese_H__2[[#This Row],[Coluna1]]</f>
        <v>-2.1196694234517839</v>
      </c>
      <c r="BD103" s="8">
        <f>modelo_tese_H__2[[#This Row],[D]]-modelo_tese_H__2[[#This Row],[Dw]]-modelo_tese_H__2[[#This Row],[Dr]]</f>
        <v>0</v>
      </c>
    </row>
    <row r="104" spans="1:56" x14ac:dyDescent="0.25">
      <c r="A104">
        <v>103</v>
      </c>
      <c r="B104">
        <v>103</v>
      </c>
      <c r="C104">
        <v>62913.442950818302</v>
      </c>
      <c r="D104">
        <v>27881.580692685799</v>
      </c>
      <c r="E104">
        <v>24814.606816490301</v>
      </c>
      <c r="F104">
        <v>3399.3209821779201</v>
      </c>
      <c r="G104">
        <v>92801.026460048597</v>
      </c>
      <c r="H104">
        <v>21239.108414105602</v>
      </c>
      <c r="I104">
        <v>49453.036212773797</v>
      </c>
      <c r="J104">
        <v>38312.477864255197</v>
      </c>
      <c r="K104">
        <v>239277.55587688999</v>
      </c>
      <c r="L104">
        <v>-21571.455520087999</v>
      </c>
      <c r="M104">
        <v>277590.03374114499</v>
      </c>
      <c r="N104">
        <v>-407330.788034642</v>
      </c>
      <c r="O104">
        <v>46869.205282852898</v>
      </c>
      <c r="P104">
        <v>30933.6754866829</v>
      </c>
      <c r="Q104">
        <v>47402.957103220397</v>
      </c>
      <c r="R104">
        <v>23701.478551610198</v>
      </c>
      <c r="S104">
        <v>23701.478551610198</v>
      </c>
      <c r="T104">
        <v>23167.726731242601</v>
      </c>
      <c r="U104">
        <v>9707.3199931981799</v>
      </c>
      <c r="V104">
        <v>185103.69254897101</v>
      </c>
      <c r="W104">
        <v>29929.688354581998</v>
      </c>
      <c r="X104">
        <v>0.27130769622577999</v>
      </c>
      <c r="Y104">
        <v>264069.87959770998</v>
      </c>
      <c r="Z104">
        <v>116096.022060048</v>
      </c>
      <c r="AA104">
        <v>0.80301251245606797</v>
      </c>
      <c r="AB104">
        <v>137378.18320741801</v>
      </c>
      <c r="AC104">
        <v>80386.711699456704</v>
      </c>
      <c r="AD104">
        <v>110316.400054039</v>
      </c>
      <c r="AE104">
        <v>-222227.09548567099</v>
      </c>
      <c r="AF104">
        <v>-11864.135526889901</v>
      </c>
      <c r="AG104">
        <v>5.5594999999999999E-2</v>
      </c>
      <c r="AH104">
        <v>-684920.82177578704</v>
      </c>
      <c r="AI104">
        <v>301199.71460901899</v>
      </c>
      <c r="AJ104">
        <v>0.06</v>
      </c>
      <c r="AK104">
        <v>0.05</v>
      </c>
      <c r="AL104">
        <v>8.8099999999999998E-2</v>
      </c>
      <c r="AM104">
        <v>3.8100000000000002E-2</v>
      </c>
      <c r="AN104">
        <v>0.89</v>
      </c>
      <c r="AO104">
        <v>0.66</v>
      </c>
      <c r="AP104">
        <v>0.42970000000000003</v>
      </c>
      <c r="AQ104">
        <v>0.57030000000000003</v>
      </c>
      <c r="AR104">
        <v>8.9999999999999993E-3</v>
      </c>
      <c r="AS104">
        <v>0.5</v>
      </c>
      <c r="AT104">
        <v>1.82</v>
      </c>
      <c r="AU104">
        <v>6.3545217126973294E-2</v>
      </c>
      <c r="AV104">
        <v>0.7893</v>
      </c>
      <c r="AW104">
        <v>3</v>
      </c>
      <c r="AX104">
        <v>0.05</v>
      </c>
      <c r="AY104">
        <v>1</v>
      </c>
      <c r="AZ104">
        <v>1</v>
      </c>
      <c r="BA104" s="2">
        <f>modelo_tese_H__2[[#This Row],[Vw]]+modelo_tese_H__2[[#This Row],[Vr]]+modelo_tese_H__2[[#This Row],[K]]-modelo_tese_H__2[[#This Row],[E]]</f>
        <v>-235747.24962910608</v>
      </c>
      <c r="BB104" s="2">
        <f>modelo_tese_H__2[[#This Row],[K]]-modelo_tese_H__2[[#This Row],[Coluna1]]</f>
        <v>499817.12922681606</v>
      </c>
      <c r="BC104">
        <f>modelo_tese_H__2[[#This Row],[Coluna2]]/modelo_tese_H__2[[#This Row],[Coluna1]]</f>
        <v>-2.1201398108065441</v>
      </c>
      <c r="BD104" s="8">
        <f>modelo_tese_H__2[[#This Row],[D]]-modelo_tese_H__2[[#This Row],[Dw]]-modelo_tese_H__2[[#This Row],[Dr]]</f>
        <v>0</v>
      </c>
    </row>
    <row r="105" spans="1:56" x14ac:dyDescent="0.25">
      <c r="A105">
        <v>104</v>
      </c>
      <c r="B105">
        <v>104</v>
      </c>
      <c r="C105">
        <v>66437.870930124904</v>
      </c>
      <c r="D105">
        <v>29458.5129903655</v>
      </c>
      <c r="E105">
        <v>26218.0765614253</v>
      </c>
      <c r="F105">
        <v>3588.10362034626</v>
      </c>
      <c r="G105">
        <v>97980.148968350404</v>
      </c>
      <c r="H105">
        <v>22419.896646387799</v>
      </c>
      <c r="I105">
        <v>52226.076828159297</v>
      </c>
      <c r="J105">
        <v>40440.876077973298</v>
      </c>
      <c r="K105">
        <v>252580.97764436799</v>
      </c>
      <c r="L105">
        <v>-22767.563837793801</v>
      </c>
      <c r="M105">
        <v>293021.85372234101</v>
      </c>
      <c r="N105">
        <v>-430098.351872436</v>
      </c>
      <c r="O105">
        <v>49484.923721389103</v>
      </c>
      <c r="P105">
        <v>32660.0496561168</v>
      </c>
      <c r="Q105">
        <v>50058.483497588502</v>
      </c>
      <c r="R105">
        <v>25029.2417487942</v>
      </c>
      <c r="S105">
        <v>25029.2417487942</v>
      </c>
      <c r="T105">
        <v>24455.681972594899</v>
      </c>
      <c r="U105">
        <v>10243.8878706292</v>
      </c>
      <c r="V105">
        <v>195347.580419601</v>
      </c>
      <c r="W105">
        <v>31610.227943437301</v>
      </c>
      <c r="X105">
        <v>0.27134091962553603</v>
      </c>
      <c r="Y105">
        <v>278899.729705417</v>
      </c>
      <c r="Z105">
        <v>122677.008254691</v>
      </c>
      <c r="AA105">
        <v>0.80290628140339004</v>
      </c>
      <c r="AB105">
        <v>145093.340438302</v>
      </c>
      <c r="AC105">
        <v>84886.126484276101</v>
      </c>
      <c r="AD105">
        <v>116496.354427713</v>
      </c>
      <c r="AE105">
        <v>-234750.771452835</v>
      </c>
      <c r="AF105">
        <v>-12523.6759671646</v>
      </c>
      <c r="AG105">
        <v>5.5594999999999999E-2</v>
      </c>
      <c r="AH105">
        <v>-723120.20559477701</v>
      </c>
      <c r="AI105">
        <v>318024.58867429098</v>
      </c>
      <c r="AJ105">
        <v>0.06</v>
      </c>
      <c r="AK105">
        <v>0.05</v>
      </c>
      <c r="AL105">
        <v>8.8099999999999998E-2</v>
      </c>
      <c r="AM105">
        <v>3.8100000000000002E-2</v>
      </c>
      <c r="AN105">
        <v>0.89</v>
      </c>
      <c r="AO105">
        <v>0.66</v>
      </c>
      <c r="AP105">
        <v>0.42970000000000003</v>
      </c>
      <c r="AQ105">
        <v>0.57030000000000003</v>
      </c>
      <c r="AR105">
        <v>8.9999999999999993E-3</v>
      </c>
      <c r="AS105">
        <v>0.5</v>
      </c>
      <c r="AT105">
        <v>1.82</v>
      </c>
      <c r="AU105">
        <v>6.3545217126973294E-2</v>
      </c>
      <c r="AV105">
        <v>0.7893</v>
      </c>
      <c r="AW105">
        <v>3</v>
      </c>
      <c r="AX105">
        <v>0.05</v>
      </c>
      <c r="AY105">
        <v>1</v>
      </c>
      <c r="AZ105">
        <v>1</v>
      </c>
      <c r="BA105" s="2">
        <f>modelo_tese_H__2[[#This Row],[Vw]]+modelo_tese_H__2[[#This Row],[Vr]]+modelo_tese_H__2[[#This Row],[K]]-modelo_tese_H__2[[#This Row],[E]]</f>
        <v>-248872.89546976003</v>
      </c>
      <c r="BB105" s="2">
        <f>modelo_tese_H__2[[#This Row],[K]]-modelo_tese_H__2[[#This Row],[Coluna1]]</f>
        <v>527772.625175177</v>
      </c>
      <c r="BC105">
        <f>modelo_tese_H__2[[#This Row],[Coluna2]]/modelo_tese_H__2[[#This Row],[Coluna1]]</f>
        <v>-2.1206512833749125</v>
      </c>
      <c r="BD105" s="8">
        <f>modelo_tese_H__2[[#This Row],[D]]-modelo_tese_H__2[[#This Row],[Dw]]-modelo_tese_H__2[[#This Row],[Dr]]</f>
        <v>0</v>
      </c>
    </row>
    <row r="106" spans="1:56" x14ac:dyDescent="0.25">
      <c r="A106">
        <v>105</v>
      </c>
      <c r="B106">
        <v>105</v>
      </c>
      <c r="C106">
        <v>70159.568467823396</v>
      </c>
      <c r="D106">
        <v>31124.4670928417</v>
      </c>
      <c r="E106">
        <v>27700.7757126291</v>
      </c>
      <c r="F106">
        <v>3787.36945888332</v>
      </c>
      <c r="G106">
        <v>103448.164890295</v>
      </c>
      <c r="H106">
        <v>23666.330800443699</v>
      </c>
      <c r="I106">
        <v>55154.475971956097</v>
      </c>
      <c r="J106">
        <v>42687.448158285901</v>
      </c>
      <c r="K106">
        <v>266623.97319656098</v>
      </c>
      <c r="L106">
        <v>-24030.008879114401</v>
      </c>
      <c r="M106">
        <v>309311.42135484703</v>
      </c>
      <c r="N106">
        <v>-454128.36075155</v>
      </c>
      <c r="O106">
        <v>52246.5479243917</v>
      </c>
      <c r="P106">
        <v>34482.721630098502</v>
      </c>
      <c r="Q106">
        <v>52862.645222906802</v>
      </c>
      <c r="R106">
        <v>26431.322611453401</v>
      </c>
      <c r="S106">
        <v>26431.322611453401</v>
      </c>
      <c r="T106">
        <v>25815.225312938299</v>
      </c>
      <c r="U106">
        <v>10810.1328170709</v>
      </c>
      <c r="V106">
        <v>206157.713236671</v>
      </c>
      <c r="W106">
        <v>33385.016088675598</v>
      </c>
      <c r="X106">
        <v>0.27137388514731298</v>
      </c>
      <c r="Y106">
        <v>294562.00191330799</v>
      </c>
      <c r="Z106">
        <v>129630.701731913</v>
      </c>
      <c r="AA106">
        <v>0.80279901724401004</v>
      </c>
      <c r="AB106">
        <v>153241.609728251</v>
      </c>
      <c r="AC106">
        <v>89637.197602054599</v>
      </c>
      <c r="AD106">
        <v>123022.21369073</v>
      </c>
      <c r="AE106">
        <v>-247970.64751487901</v>
      </c>
      <c r="AF106">
        <v>-13219.8760620435</v>
      </c>
      <c r="AG106">
        <v>5.5594999999999999E-2</v>
      </c>
      <c r="AH106">
        <v>-763439.78210639697</v>
      </c>
      <c r="AI106">
        <v>335788.41496858402</v>
      </c>
      <c r="AJ106">
        <v>0.06</v>
      </c>
      <c r="AK106">
        <v>0.05</v>
      </c>
      <c r="AL106">
        <v>8.8099999999999998E-2</v>
      </c>
      <c r="AM106">
        <v>3.8100000000000002E-2</v>
      </c>
      <c r="AN106">
        <v>0.89</v>
      </c>
      <c r="AO106">
        <v>0.66</v>
      </c>
      <c r="AP106">
        <v>0.42970000000000003</v>
      </c>
      <c r="AQ106">
        <v>0.57030000000000003</v>
      </c>
      <c r="AR106">
        <v>8.9999999999999993E-3</v>
      </c>
      <c r="AS106">
        <v>0.5</v>
      </c>
      <c r="AT106">
        <v>1.82</v>
      </c>
      <c r="AU106">
        <v>6.3545217126973294E-2</v>
      </c>
      <c r="AV106">
        <v>0.7893</v>
      </c>
      <c r="AW106">
        <v>3</v>
      </c>
      <c r="AX106">
        <v>0.05</v>
      </c>
      <c r="AY106">
        <v>1</v>
      </c>
      <c r="AZ106">
        <v>1</v>
      </c>
      <c r="BA106" s="2">
        <f>modelo_tese_H__2[[#This Row],[Vw]]+modelo_tese_H__2[[#This Row],[Vr]]+modelo_tese_H__2[[#This Row],[K]]-modelo_tese_H__2[[#This Row],[E]]</f>
        <v>-262720.06695641798</v>
      </c>
      <c r="BB106" s="2">
        <f>modelo_tese_H__2[[#This Row],[K]]-modelo_tese_H__2[[#This Row],[Coluna1]]</f>
        <v>557282.06886972603</v>
      </c>
      <c r="BC106">
        <f>modelo_tese_H__2[[#This Row],[Coluna2]]/modelo_tese_H__2[[#This Row],[Coluna1]]</f>
        <v>-2.1212010004632509</v>
      </c>
      <c r="BD106" s="8">
        <f>modelo_tese_H__2[[#This Row],[D]]-modelo_tese_H__2[[#This Row],[Dw]]-modelo_tese_H__2[[#This Row],[Dr]]</f>
        <v>0</v>
      </c>
    </row>
    <row r="107" spans="1:56" x14ac:dyDescent="0.25">
      <c r="A107">
        <v>106</v>
      </c>
      <c r="B107">
        <v>106</v>
      </c>
      <c r="C107">
        <v>74089.562100834795</v>
      </c>
      <c r="D107">
        <v>32884.452216371697</v>
      </c>
      <c r="E107">
        <v>29267.162472570799</v>
      </c>
      <c r="F107">
        <v>3997.7008054900002</v>
      </c>
      <c r="G107">
        <v>109221.17858237099</v>
      </c>
      <c r="H107">
        <v>24982.060461294299</v>
      </c>
      <c r="I107">
        <v>58246.923739355101</v>
      </c>
      <c r="J107">
        <v>45058.757188945201</v>
      </c>
      <c r="K107">
        <v>281447.660279067</v>
      </c>
      <c r="L107">
        <v>-25362.471522983498</v>
      </c>
      <c r="M107">
        <v>326506.41746801202</v>
      </c>
      <c r="N107">
        <v>-479490.83227453398</v>
      </c>
      <c r="O107">
        <v>55162.211405237802</v>
      </c>
      <c r="P107">
        <v>36407.059527456899</v>
      </c>
      <c r="Q107">
        <v>55823.750367751498</v>
      </c>
      <c r="R107">
        <v>27911.8751838758</v>
      </c>
      <c r="S107">
        <v>27911.8751838758</v>
      </c>
      <c r="T107">
        <v>27250.336221361998</v>
      </c>
      <c r="U107">
        <v>11407.697859882401</v>
      </c>
      <c r="V107">
        <v>217565.41109655399</v>
      </c>
      <c r="W107">
        <v>35259.329201774199</v>
      </c>
      <c r="X107">
        <v>0.27140659053167399</v>
      </c>
      <c r="Y107">
        <v>311103.32474614499</v>
      </c>
      <c r="Z107">
        <v>136978.15574981101</v>
      </c>
      <c r="AA107">
        <v>0.80269086697208802</v>
      </c>
      <c r="AB107">
        <v>161847.25379852101</v>
      </c>
      <c r="AC107">
        <v>94653.983266812094</v>
      </c>
      <c r="AD107">
        <v>129913.31246858599</v>
      </c>
      <c r="AE107">
        <v>-261925.42117798</v>
      </c>
      <c r="AF107">
        <v>-13954.773663101099</v>
      </c>
      <c r="AG107">
        <v>5.5594999999999999E-2</v>
      </c>
      <c r="AH107">
        <v>-805997.24974254495</v>
      </c>
      <c r="AI107">
        <v>354543.56684636499</v>
      </c>
      <c r="AJ107">
        <v>0.06</v>
      </c>
      <c r="AK107">
        <v>0.05</v>
      </c>
      <c r="AL107">
        <v>8.8099999999999998E-2</v>
      </c>
      <c r="AM107">
        <v>3.8100000000000002E-2</v>
      </c>
      <c r="AN107">
        <v>0.89</v>
      </c>
      <c r="AO107">
        <v>0.66</v>
      </c>
      <c r="AP107">
        <v>0.42970000000000003</v>
      </c>
      <c r="AQ107">
        <v>0.57030000000000003</v>
      </c>
      <c r="AR107">
        <v>8.9999999999999993E-3</v>
      </c>
      <c r="AS107">
        <v>0.5</v>
      </c>
      <c r="AT107">
        <v>1.82</v>
      </c>
      <c r="AU107">
        <v>6.3545217126973294E-2</v>
      </c>
      <c r="AV107">
        <v>0.7893</v>
      </c>
      <c r="AW107">
        <v>3</v>
      </c>
      <c r="AX107">
        <v>0.05</v>
      </c>
      <c r="AY107">
        <v>1</v>
      </c>
      <c r="AZ107">
        <v>1</v>
      </c>
      <c r="BA107" s="2">
        <f>modelo_tese_H__2[[#This Row],[Vw]]+modelo_tese_H__2[[#This Row],[Vr]]+modelo_tese_H__2[[#This Row],[K]]-modelo_tese_H__2[[#This Row],[E]]</f>
        <v>-277328.513899846</v>
      </c>
      <c r="BB107" s="2">
        <f>modelo_tese_H__2[[#This Row],[K]]-modelo_tese_H__2[[#This Row],[Coluna1]]</f>
        <v>588431.83864599094</v>
      </c>
      <c r="BC107">
        <f>modelo_tese_H__2[[#This Row],[Coluna2]]/modelo_tese_H__2[[#This Row],[Coluna1]]</f>
        <v>-2.1217862900981626</v>
      </c>
      <c r="BD107" s="8">
        <f>modelo_tese_H__2[[#This Row],[D]]-modelo_tese_H__2[[#This Row],[Dw]]-modelo_tese_H__2[[#This Row],[Dr]]</f>
        <v>0</v>
      </c>
    </row>
    <row r="108" spans="1:56" x14ac:dyDescent="0.25">
      <c r="A108">
        <v>107</v>
      </c>
      <c r="B108">
        <v>107</v>
      </c>
      <c r="C108">
        <v>78239.494110128493</v>
      </c>
      <c r="D108">
        <v>34743.7588280122</v>
      </c>
      <c r="E108">
        <v>30921.945356930901</v>
      </c>
      <c r="F108">
        <v>4219.71231724276</v>
      </c>
      <c r="G108">
        <v>115316.191701786</v>
      </c>
      <c r="H108">
        <v>26370.93811264</v>
      </c>
      <c r="I108">
        <v>61512.595786813603</v>
      </c>
      <c r="J108">
        <v>47561.730857289098</v>
      </c>
      <c r="K108">
        <v>297095.44253507402</v>
      </c>
      <c r="L108">
        <v>-26768.836958801399</v>
      </c>
      <c r="M108">
        <v>344657.17339236301</v>
      </c>
      <c r="N108">
        <v>-506259.66923333501</v>
      </c>
      <c r="O108">
        <v>58240.500859487896</v>
      </c>
      <c r="P108">
        <v>38438.730567261999</v>
      </c>
      <c r="Q108">
        <v>58950.570961112098</v>
      </c>
      <c r="R108">
        <v>29475.285480555998</v>
      </c>
      <c r="S108">
        <v>29475.285480555998</v>
      </c>
      <c r="T108">
        <v>28765.2153789318</v>
      </c>
      <c r="U108">
        <v>12038.317055617001</v>
      </c>
      <c r="V108">
        <v>229603.72815217101</v>
      </c>
      <c r="W108">
        <v>37238.738717164902</v>
      </c>
      <c r="X108">
        <v>0.27143903385298601</v>
      </c>
      <c r="Y108">
        <v>328572.935143393</v>
      </c>
      <c r="Z108">
        <v>144741.60898642</v>
      </c>
      <c r="AA108">
        <v>0.80258196736854903</v>
      </c>
      <c r="AB108">
        <v>170935.89271766201</v>
      </c>
      <c r="AC108">
        <v>99951.326354075602</v>
      </c>
      <c r="AD108">
        <v>137190.065071241</v>
      </c>
      <c r="AE108">
        <v>-276655.941081164</v>
      </c>
      <c r="AF108">
        <v>-14730.5199031844</v>
      </c>
      <c r="AG108">
        <v>5.5594999999999999E-2</v>
      </c>
      <c r="AH108">
        <v>-850916.84262569796</v>
      </c>
      <c r="AI108">
        <v>374345.33713859098</v>
      </c>
      <c r="AJ108">
        <v>0.06</v>
      </c>
      <c r="AK108">
        <v>0.05</v>
      </c>
      <c r="AL108">
        <v>8.8099999999999998E-2</v>
      </c>
      <c r="AM108">
        <v>3.8100000000000002E-2</v>
      </c>
      <c r="AN108">
        <v>0.89</v>
      </c>
      <c r="AO108">
        <v>0.66</v>
      </c>
      <c r="AP108">
        <v>0.42970000000000003</v>
      </c>
      <c r="AQ108">
        <v>0.57030000000000003</v>
      </c>
      <c r="AR108">
        <v>8.9999999999999993E-3</v>
      </c>
      <c r="AS108">
        <v>0.5</v>
      </c>
      <c r="AT108">
        <v>1.82</v>
      </c>
      <c r="AU108">
        <v>6.3545217126973294E-2</v>
      </c>
      <c r="AV108">
        <v>0.7893</v>
      </c>
      <c r="AW108">
        <v>3</v>
      </c>
      <c r="AX108">
        <v>0.05</v>
      </c>
      <c r="AY108">
        <v>1</v>
      </c>
      <c r="AZ108">
        <v>1</v>
      </c>
      <c r="BA108" s="2">
        <f>modelo_tese_H__2[[#This Row],[Vw]]+modelo_tese_H__2[[#This Row],[Vr]]+modelo_tese_H__2[[#This Row],[K]]-modelo_tese_H__2[[#This Row],[E]]</f>
        <v>-292740.17933013395</v>
      </c>
      <c r="BB108" s="2">
        <f>modelo_tese_H__2[[#This Row],[K]]-modelo_tese_H__2[[#This Row],[Coluna1]]</f>
        <v>621313.11447352695</v>
      </c>
      <c r="BC108">
        <f>modelo_tese_H__2[[#This Row],[Coluna2]]/modelo_tese_H__2[[#This Row],[Coluna1]]</f>
        <v>-2.1224046384587649</v>
      </c>
      <c r="BD108" s="8">
        <f>modelo_tese_H__2[[#This Row],[D]]-modelo_tese_H__2[[#This Row],[Dw]]-modelo_tese_H__2[[#This Row],[Dr]]</f>
        <v>0</v>
      </c>
    </row>
    <row r="109" spans="1:56" x14ac:dyDescent="0.25">
      <c r="A109">
        <v>108</v>
      </c>
      <c r="B109">
        <v>108</v>
      </c>
      <c r="C109">
        <v>82621.656876514797</v>
      </c>
      <c r="D109">
        <v>36707.974406914604</v>
      </c>
      <c r="E109">
        <v>32670.097222154</v>
      </c>
      <c r="F109">
        <v>4454.0527979846602</v>
      </c>
      <c r="G109">
        <v>121751.153181847</v>
      </c>
      <c r="H109">
        <v>27837.0304170122</v>
      </c>
      <c r="I109">
        <v>64961.180437150899</v>
      </c>
      <c r="J109">
        <v>50203.681709611097</v>
      </c>
      <c r="K109">
        <v>313613.13659150002</v>
      </c>
      <c r="L109">
        <v>-28253.206030236299</v>
      </c>
      <c r="M109">
        <v>363816.81830111099</v>
      </c>
      <c r="N109">
        <v>-534512.87526357104</v>
      </c>
      <c r="O109">
        <v>61490.481404973303</v>
      </c>
      <c r="P109">
        <v>40583.717727282397</v>
      </c>
      <c r="Q109">
        <v>62252.368858212198</v>
      </c>
      <c r="R109">
        <v>31126.184429106099</v>
      </c>
      <c r="S109">
        <v>31126.184429106099</v>
      </c>
      <c r="T109">
        <v>30364.296975867201</v>
      </c>
      <c r="U109">
        <v>12703.820536503301</v>
      </c>
      <c r="V109">
        <v>242307.548688674</v>
      </c>
      <c r="W109">
        <v>39329.1275702938</v>
      </c>
      <c r="X109">
        <v>0.27147121349626002</v>
      </c>
      <c r="Y109">
        <v>347022.824207953</v>
      </c>
      <c r="Z109">
        <v>152944.55212760801</v>
      </c>
      <c r="AA109">
        <v>0.80247244564478304</v>
      </c>
      <c r="AB109">
        <v>180534.57974911699</v>
      </c>
      <c r="AC109">
        <v>105544.89816443301</v>
      </c>
      <c r="AD109">
        <v>144874.02573472701</v>
      </c>
      <c r="AE109">
        <v>-292205.32657489699</v>
      </c>
      <c r="AF109">
        <v>-15549.385493733</v>
      </c>
      <c r="AG109">
        <v>5.5594999999999999E-2</v>
      </c>
      <c r="AH109">
        <v>-898329.69356468297</v>
      </c>
      <c r="AI109">
        <v>395252.10081628198</v>
      </c>
      <c r="AJ109">
        <v>0.06</v>
      </c>
      <c r="AK109">
        <v>0.05</v>
      </c>
      <c r="AL109">
        <v>8.8099999999999998E-2</v>
      </c>
      <c r="AM109">
        <v>3.8100000000000002E-2</v>
      </c>
      <c r="AN109">
        <v>0.89</v>
      </c>
      <c r="AO109">
        <v>0.66</v>
      </c>
      <c r="AP109">
        <v>0.42970000000000003</v>
      </c>
      <c r="AQ109">
        <v>0.57030000000000003</v>
      </c>
      <c r="AR109">
        <v>8.9999999999999993E-3</v>
      </c>
      <c r="AS109">
        <v>0.5</v>
      </c>
      <c r="AT109">
        <v>1.82</v>
      </c>
      <c r="AU109">
        <v>6.3545217126973294E-2</v>
      </c>
      <c r="AV109">
        <v>0.7893</v>
      </c>
      <c r="AW109">
        <v>3</v>
      </c>
      <c r="AX109">
        <v>0.05</v>
      </c>
      <c r="AY109">
        <v>1</v>
      </c>
      <c r="AZ109">
        <v>1</v>
      </c>
      <c r="BA109" s="2">
        <f>modelo_tese_H__2[[#This Row],[Vw]]+modelo_tese_H__2[[#This Row],[Vr]]+modelo_tese_H__2[[#This Row],[K]]-modelo_tese_H__2[[#This Row],[E]]</f>
        <v>-308999.32066805603</v>
      </c>
      <c r="BB109" s="2">
        <f>modelo_tese_H__2[[#This Row],[K]]-modelo_tese_H__2[[#This Row],[Coluna1]]</f>
        <v>656022.14487600909</v>
      </c>
      <c r="BC109">
        <f>modelo_tese_H__2[[#This Row],[Coluna2]]/modelo_tese_H__2[[#This Row],[Coluna1]]</f>
        <v>-2.1230536800459312</v>
      </c>
      <c r="BD109" s="8">
        <f>modelo_tese_H__2[[#This Row],[D]]-modelo_tese_H__2[[#This Row],[Dw]]-modelo_tese_H__2[[#This Row],[Dr]]</f>
        <v>0</v>
      </c>
    </row>
    <row r="110" spans="1:56" x14ac:dyDescent="0.25">
      <c r="A110">
        <v>109</v>
      </c>
      <c r="B110">
        <v>109</v>
      </c>
      <c r="C110">
        <v>87249.029152030605</v>
      </c>
      <c r="D110">
        <v>38783.000087529799</v>
      </c>
      <c r="E110">
        <v>34516.870077901498</v>
      </c>
      <c r="F110">
        <v>4701.4070955935904</v>
      </c>
      <c r="G110">
        <v>128545.011989773</v>
      </c>
      <c r="H110">
        <v>29384.630123046001</v>
      </c>
      <c r="I110">
        <v>68602.907296541103</v>
      </c>
      <c r="J110">
        <v>52992.328532068503</v>
      </c>
      <c r="K110">
        <v>331049.10621041001</v>
      </c>
      <c r="L110">
        <v>-29819.9072090113</v>
      </c>
      <c r="M110">
        <v>384041.43474247801</v>
      </c>
      <c r="N110">
        <v>-564332.782472583</v>
      </c>
      <c r="O110">
        <v>64921.723227158298</v>
      </c>
      <c r="P110">
        <v>42848.337329924499</v>
      </c>
      <c r="Q110">
        <v>65738.923069660799</v>
      </c>
      <c r="R110">
        <v>32869.4615348304</v>
      </c>
      <c r="S110">
        <v>32869.4615348304</v>
      </c>
      <c r="T110">
        <v>32052.261692327898</v>
      </c>
      <c r="U110">
        <v>13406.1398368385</v>
      </c>
      <c r="V110">
        <v>255713.68852551299</v>
      </c>
      <c r="W110">
        <v>41536.707595225802</v>
      </c>
      <c r="X110">
        <v>0.27150312813545502</v>
      </c>
      <c r="Y110">
        <v>366507.89109086897</v>
      </c>
      <c r="Z110">
        <v>161611.79818800301</v>
      </c>
      <c r="AA110">
        <v>0.80236242004826996</v>
      </c>
      <c r="AB110">
        <v>190671.88143294101</v>
      </c>
      <c r="AC110">
        <v>111451.244626466</v>
      </c>
      <c r="AD110">
        <v>152987.952221691</v>
      </c>
      <c r="AE110">
        <v>-308619.09394707001</v>
      </c>
      <c r="AF110">
        <v>-16413.767372172901</v>
      </c>
      <c r="AG110">
        <v>5.5594999999999999E-2</v>
      </c>
      <c r="AH110">
        <v>-948374.21721506095</v>
      </c>
      <c r="AI110">
        <v>417325.486713516</v>
      </c>
      <c r="AJ110">
        <v>0.06</v>
      </c>
      <c r="AK110">
        <v>0.05</v>
      </c>
      <c r="AL110">
        <v>8.8099999999999998E-2</v>
      </c>
      <c r="AM110">
        <v>3.8100000000000002E-2</v>
      </c>
      <c r="AN110">
        <v>0.89</v>
      </c>
      <c r="AO110">
        <v>0.66</v>
      </c>
      <c r="AP110">
        <v>0.42970000000000003</v>
      </c>
      <c r="AQ110">
        <v>0.57030000000000003</v>
      </c>
      <c r="AR110">
        <v>8.9999999999999993E-3</v>
      </c>
      <c r="AS110">
        <v>0.5</v>
      </c>
      <c r="AT110">
        <v>1.82</v>
      </c>
      <c r="AU110">
        <v>6.3545217126973294E-2</v>
      </c>
      <c r="AV110">
        <v>0.7893</v>
      </c>
      <c r="AW110">
        <v>3</v>
      </c>
      <c r="AX110">
        <v>0.05</v>
      </c>
      <c r="AY110">
        <v>1</v>
      </c>
      <c r="AZ110">
        <v>1</v>
      </c>
      <c r="BA110" s="2">
        <f>modelo_tese_H__2[[#This Row],[Vw]]+modelo_tese_H__2[[#This Row],[Vr]]+modelo_tese_H__2[[#This Row],[K]]-modelo_tese_H__2[[#This Row],[E]]</f>
        <v>-326152.63759867894</v>
      </c>
      <c r="BB110" s="2">
        <f>modelo_tese_H__2[[#This Row],[K]]-modelo_tese_H__2[[#This Row],[Coluna1]]</f>
        <v>692660.52868954791</v>
      </c>
      <c r="BC110">
        <f>modelo_tese_H__2[[#This Row],[Coluna2]]/modelo_tese_H__2[[#This Row],[Coluna1]]</f>
        <v>-2.1237311885297276</v>
      </c>
      <c r="BD110" s="8">
        <f>modelo_tese_H__2[[#This Row],[D]]-modelo_tese_H__2[[#This Row],[Dw]]-modelo_tese_H__2[[#This Row],[Dr]]</f>
        <v>0</v>
      </c>
    </row>
    <row r="111" spans="1:56" x14ac:dyDescent="0.25">
      <c r="A111">
        <v>110</v>
      </c>
      <c r="B111">
        <v>110</v>
      </c>
      <c r="C111">
        <v>92135.314353672395</v>
      </c>
      <c r="D111">
        <v>40975.068234015002</v>
      </c>
      <c r="E111">
        <v>36467.810728273398</v>
      </c>
      <c r="F111">
        <v>4962.4981046778803</v>
      </c>
      <c r="G111">
        <v>135717.77282183099</v>
      </c>
      <c r="H111">
        <v>31018.2686347368</v>
      </c>
      <c r="I111">
        <v>72448.577467687996</v>
      </c>
      <c r="J111">
        <v>55935.818919674501</v>
      </c>
      <c r="K111">
        <v>349454.40389853</v>
      </c>
      <c r="L111">
        <v>-31473.509233673001</v>
      </c>
      <c r="M111">
        <v>405390.22281820502</v>
      </c>
      <c r="N111">
        <v>-595806.29170625599</v>
      </c>
      <c r="O111">
        <v>68544.329707995494</v>
      </c>
      <c r="P111">
        <v>45239.257607277003</v>
      </c>
      <c r="Q111">
        <v>69420.558614366193</v>
      </c>
      <c r="R111">
        <v>34710.279307183097</v>
      </c>
      <c r="S111">
        <v>34710.279307183097</v>
      </c>
      <c r="T111">
        <v>33834.050400812303</v>
      </c>
      <c r="U111">
        <v>14147.3135148279</v>
      </c>
      <c r="V111">
        <v>269861.00204034097</v>
      </c>
      <c r="W111">
        <v>43868.037893073597</v>
      </c>
      <c r="X111">
        <v>0.27153477671315102</v>
      </c>
      <c r="Y111">
        <v>387086.10546582402</v>
      </c>
      <c r="Z111">
        <v>170769.556773894</v>
      </c>
      <c r="AA111">
        <v>0.80225200043218403</v>
      </c>
      <c r="AB111">
        <v>201377.96213783999</v>
      </c>
      <c r="AC111">
        <v>117687.835074965</v>
      </c>
      <c r="AD111">
        <v>161555.87296803901</v>
      </c>
      <c r="AE111">
        <v>-325945.28966591501</v>
      </c>
      <c r="AF111">
        <v>-17326.195718845102</v>
      </c>
      <c r="AG111">
        <v>5.5594999999999999E-2</v>
      </c>
      <c r="AH111">
        <v>-1001196.51452446</v>
      </c>
      <c r="AI111">
        <v>440630.55881423398</v>
      </c>
      <c r="AJ111">
        <v>0.06</v>
      </c>
      <c r="AK111">
        <v>0.05</v>
      </c>
      <c r="AL111">
        <v>8.8099999999999998E-2</v>
      </c>
      <c r="AM111">
        <v>3.8100000000000002E-2</v>
      </c>
      <c r="AN111">
        <v>0.89</v>
      </c>
      <c r="AO111">
        <v>0.66</v>
      </c>
      <c r="AP111">
        <v>0.42970000000000003</v>
      </c>
      <c r="AQ111">
        <v>0.57030000000000003</v>
      </c>
      <c r="AR111">
        <v>8.9999999999999993E-3</v>
      </c>
      <c r="AS111">
        <v>0.5</v>
      </c>
      <c r="AT111">
        <v>1.82</v>
      </c>
      <c r="AU111">
        <v>6.3545217126973294E-2</v>
      </c>
      <c r="AV111">
        <v>0.7893</v>
      </c>
      <c r="AW111">
        <v>3</v>
      </c>
      <c r="AX111">
        <v>0.05</v>
      </c>
      <c r="AY111">
        <v>1</v>
      </c>
      <c r="AZ111">
        <v>1</v>
      </c>
      <c r="BA111" s="2">
        <f>modelo_tese_H__2[[#This Row],[Vw]]+modelo_tese_H__2[[#This Row],[Vr]]+modelo_tese_H__2[[#This Row],[K]]-modelo_tese_H__2[[#This Row],[E]]</f>
        <v>-344249.40701829595</v>
      </c>
      <c r="BB111" s="2">
        <f>modelo_tese_H__2[[#This Row],[K]]-modelo_tese_H__2[[#This Row],[Coluna1]]</f>
        <v>731335.51248411997</v>
      </c>
      <c r="BC111">
        <f>modelo_tese_H__2[[#This Row],[Coluna2]]/modelo_tese_H__2[[#This Row],[Coluna1]]</f>
        <v>-2.1244350682214868</v>
      </c>
      <c r="BD111" s="8">
        <f>modelo_tese_H__2[[#This Row],[D]]-modelo_tese_H__2[[#This Row],[Dw]]-modelo_tese_H__2[[#This Row],[Dr]]</f>
        <v>0</v>
      </c>
    </row>
    <row r="112" spans="1:56" x14ac:dyDescent="0.25">
      <c r="A112">
        <v>111</v>
      </c>
      <c r="B112">
        <v>111</v>
      </c>
      <c r="C112">
        <v>97294.9809921696</v>
      </c>
      <c r="D112">
        <v>43290.760997873702</v>
      </c>
      <c r="E112">
        <v>38528.777288107602</v>
      </c>
      <c r="F112">
        <v>5238.08888055838</v>
      </c>
      <c r="G112">
        <v>143290.55489927501</v>
      </c>
      <c r="H112">
        <v>32742.729279484902</v>
      </c>
      <c r="I112">
        <v>76509.595448150896</v>
      </c>
      <c r="J112">
        <v>59042.753099393303</v>
      </c>
      <c r="K112">
        <v>368882.92038948101</v>
      </c>
      <c r="L112">
        <v>-33218.834450277202</v>
      </c>
      <c r="M112">
        <v>427925.67348887399</v>
      </c>
      <c r="N112">
        <v>-629025.12615653302</v>
      </c>
      <c r="O112">
        <v>72368.967120846093</v>
      </c>
      <c r="P112">
        <v>47763.518299758398</v>
      </c>
      <c r="Q112">
        <v>73308.176981124503</v>
      </c>
      <c r="R112">
        <v>36654.088490562302</v>
      </c>
      <c r="S112">
        <v>36654.088490562302</v>
      </c>
      <c r="T112">
        <v>35714.878630283798</v>
      </c>
      <c r="U112">
        <v>14929.4930862651</v>
      </c>
      <c r="V112">
        <v>284790.49512660602</v>
      </c>
      <c r="W112">
        <v>46330.044225384801</v>
      </c>
      <c r="X112">
        <v>0.27156615842151199</v>
      </c>
      <c r="Y112">
        <v>408818.67907254898</v>
      </c>
      <c r="Z112">
        <v>180445.512508716</v>
      </c>
      <c r="AA112">
        <v>0.80214128879087199</v>
      </c>
      <c r="AB112">
        <v>212684.67333287001</v>
      </c>
      <c r="AC112">
        <v>124273.113747909</v>
      </c>
      <c r="AD112">
        <v>170603.157973294</v>
      </c>
      <c r="AE112">
        <v>-344234.631029927</v>
      </c>
      <c r="AF112">
        <v>-18289.341364012202</v>
      </c>
      <c r="AG112">
        <v>5.5594999999999999E-2</v>
      </c>
      <c r="AH112">
        <v>-1056950.7996454099</v>
      </c>
      <c r="AI112">
        <v>465236.00763532199</v>
      </c>
      <c r="AJ112">
        <v>0.06</v>
      </c>
      <c r="AK112">
        <v>0.05</v>
      </c>
      <c r="AL112">
        <v>8.8099999999999998E-2</v>
      </c>
      <c r="AM112">
        <v>3.8100000000000002E-2</v>
      </c>
      <c r="AN112">
        <v>0.89</v>
      </c>
      <c r="AO112">
        <v>0.66</v>
      </c>
      <c r="AP112">
        <v>0.42970000000000003</v>
      </c>
      <c r="AQ112">
        <v>0.57030000000000003</v>
      </c>
      <c r="AR112">
        <v>8.9999999999999993E-3</v>
      </c>
      <c r="AS112">
        <v>0.5</v>
      </c>
      <c r="AT112">
        <v>1.82</v>
      </c>
      <c r="AU112">
        <v>6.3545217126973294E-2</v>
      </c>
      <c r="AV112">
        <v>0.7893</v>
      </c>
      <c r="AW112">
        <v>3</v>
      </c>
      <c r="AX112">
        <v>0.05</v>
      </c>
      <c r="AY112">
        <v>1</v>
      </c>
      <c r="AZ112">
        <v>1</v>
      </c>
      <c r="BA112" s="2">
        <f>modelo_tese_H__2[[#This Row],[Vw]]+modelo_tese_H__2[[#This Row],[Vr]]+modelo_tese_H__2[[#This Row],[K]]-modelo_tese_H__2[[#This Row],[E]]</f>
        <v>-363341.62544625497</v>
      </c>
      <c r="BB112" s="2">
        <f>modelo_tese_H__2[[#This Row],[K]]-modelo_tese_H__2[[#This Row],[Coluna1]]</f>
        <v>772160.30451880395</v>
      </c>
      <c r="BC112">
        <f>modelo_tese_H__2[[#This Row],[Coluna2]]/modelo_tese_H__2[[#This Row],[Coluna1]]</f>
        <v>-2.1251633461220947</v>
      </c>
      <c r="BD112" s="8">
        <f>modelo_tese_H__2[[#This Row],[D]]-modelo_tese_H__2[[#This Row],[Dw]]-modelo_tese_H__2[[#This Row],[Dr]]</f>
        <v>0</v>
      </c>
    </row>
    <row r="113" spans="1:56" x14ac:dyDescent="0.25">
      <c r="A113">
        <v>112</v>
      </c>
      <c r="B113">
        <v>112</v>
      </c>
      <c r="C113">
        <v>102743.30535477601</v>
      </c>
      <c r="D113">
        <v>45737.029913778999</v>
      </c>
      <c r="E113">
        <v>40705.956623263301</v>
      </c>
      <c r="F113">
        <v>5528.9848707215597</v>
      </c>
      <c r="G113">
        <v>151285.654037695</v>
      </c>
      <c r="H113">
        <v>34563.0613137779</v>
      </c>
      <c r="I113">
        <v>80798.002807762794</v>
      </c>
      <c r="J113">
        <v>62322.209077027997</v>
      </c>
      <c r="K113">
        <v>389391.54243641999</v>
      </c>
      <c r="L113">
        <v>-35060.972893983802</v>
      </c>
      <c r="M113">
        <v>451713.75151344802</v>
      </c>
      <c r="N113">
        <v>-664086.09905051696</v>
      </c>
      <c r="O113">
        <v>76406.895978633605</v>
      </c>
      <c r="P113">
        <v>50428.551345898202</v>
      </c>
      <c r="Q113">
        <v>77413.288288527605</v>
      </c>
      <c r="R113">
        <v>38706.644144263802</v>
      </c>
      <c r="S113">
        <v>38706.644144263802</v>
      </c>
      <c r="T113">
        <v>37700.251834369803</v>
      </c>
      <c r="U113">
        <v>15754.9492873565</v>
      </c>
      <c r="V113">
        <v>300545.44441396202</v>
      </c>
      <c r="W113">
        <v>48930.039489642702</v>
      </c>
      <c r="X113">
        <v>0.27159727268445999</v>
      </c>
      <c r="Y113">
        <v>431770.24683496403</v>
      </c>
      <c r="Z113">
        <v>190668.90785409501</v>
      </c>
      <c r="AA113">
        <v>0.80203037976311897</v>
      </c>
      <c r="AB113">
        <v>224625.64784205999</v>
      </c>
      <c r="AC113">
        <v>131226.55415366101</v>
      </c>
      <c r="AD113">
        <v>180156.59364330399</v>
      </c>
      <c r="AE113">
        <v>-363540.654636555</v>
      </c>
      <c r="AF113">
        <v>-19306.023606627299</v>
      </c>
      <c r="AG113">
        <v>5.5594999999999999E-2</v>
      </c>
      <c r="AH113">
        <v>-1115799.8505639599</v>
      </c>
      <c r="AI113">
        <v>491214.352268057</v>
      </c>
      <c r="AJ113">
        <v>0.06</v>
      </c>
      <c r="AK113">
        <v>0.05</v>
      </c>
      <c r="AL113">
        <v>8.8099999999999998E-2</v>
      </c>
      <c r="AM113">
        <v>3.8100000000000002E-2</v>
      </c>
      <c r="AN113">
        <v>0.89</v>
      </c>
      <c r="AO113">
        <v>0.66</v>
      </c>
      <c r="AP113">
        <v>0.42970000000000003</v>
      </c>
      <c r="AQ113">
        <v>0.57030000000000003</v>
      </c>
      <c r="AR113">
        <v>8.9999999999999993E-3</v>
      </c>
      <c r="AS113">
        <v>0.5</v>
      </c>
      <c r="AT113">
        <v>1.82</v>
      </c>
      <c r="AU113">
        <v>6.3545217126973294E-2</v>
      </c>
      <c r="AV113">
        <v>0.7893</v>
      </c>
      <c r="AW113">
        <v>3</v>
      </c>
      <c r="AX113">
        <v>0.05</v>
      </c>
      <c r="AY113">
        <v>1</v>
      </c>
      <c r="AZ113">
        <v>1</v>
      </c>
      <c r="BA113" s="2">
        <f>modelo_tese_H__2[[#This Row],[Vw]]+modelo_tese_H__2[[#This Row],[Vr]]+modelo_tese_H__2[[#This Row],[K]]-modelo_tese_H__2[[#This Row],[E]]</f>
        <v>-383484.15931503393</v>
      </c>
      <c r="BB113" s="2">
        <f>modelo_tese_H__2[[#This Row],[K]]-modelo_tese_H__2[[#This Row],[Coluna1]]</f>
        <v>815254.40614999796</v>
      </c>
      <c r="BC113">
        <f>modelo_tese_H__2[[#This Row],[Coluna2]]/modelo_tese_H__2[[#This Row],[Coluna1]]</f>
        <v>-2.1259141645020669</v>
      </c>
      <c r="BD113" s="8">
        <f>modelo_tese_H__2[[#This Row],[D]]-modelo_tese_H__2[[#This Row],[Dw]]-modelo_tese_H__2[[#This Row],[Dr]]</f>
        <v>0</v>
      </c>
    </row>
    <row r="114" spans="1:56" x14ac:dyDescent="0.25">
      <c r="A114">
        <v>113</v>
      </c>
      <c r="B114">
        <v>113</v>
      </c>
      <c r="C114">
        <v>108496.416567671</v>
      </c>
      <c r="D114">
        <v>48321.216591579199</v>
      </c>
      <c r="E114">
        <v>43005.8827665055</v>
      </c>
      <c r="F114">
        <v>5836.0362702719203</v>
      </c>
      <c r="G114">
        <v>159726.60817194401</v>
      </c>
      <c r="H114">
        <v>36484.594707517397</v>
      </c>
      <c r="I114">
        <v>85326.513744294803</v>
      </c>
      <c r="J114">
        <v>65783.769181465104</v>
      </c>
      <c r="K114">
        <v>411040.319377109</v>
      </c>
      <c r="L114">
        <v>-37005.297152715597</v>
      </c>
      <c r="M114">
        <v>476824.08855857502</v>
      </c>
      <c r="N114">
        <v>-701091.396203232</v>
      </c>
      <c r="O114">
        <v>80670.004127244407</v>
      </c>
      <c r="P114">
        <v>53242.202723981303</v>
      </c>
      <c r="Q114">
        <v>81748.0452378193</v>
      </c>
      <c r="R114">
        <v>40874.022618909701</v>
      </c>
      <c r="S114">
        <v>40874.022618909701</v>
      </c>
      <c r="T114">
        <v>39795.981508334698</v>
      </c>
      <c r="U114">
        <v>16626.0786849582</v>
      </c>
      <c r="V114">
        <v>317171.52309892001</v>
      </c>
      <c r="W114">
        <v>51675.745337214503</v>
      </c>
      <c r="X114">
        <v>0.271628119140992</v>
      </c>
      <c r="Y114">
        <v>456009.05808808398</v>
      </c>
      <c r="Z114">
        <v>201470.6305724</v>
      </c>
      <c r="AA114">
        <v>0.80191936110488604</v>
      </c>
      <c r="AB114">
        <v>237236.39935987</v>
      </c>
      <c r="AC114">
        <v>138568.71646827599</v>
      </c>
      <c r="AD114">
        <v>190244.46180549101</v>
      </c>
      <c r="AE114">
        <v>-383919.87310431199</v>
      </c>
      <c r="AF114">
        <v>-20379.218467757401</v>
      </c>
      <c r="AG114">
        <v>5.5594999999999999E-2</v>
      </c>
      <c r="AH114">
        <v>-1177915.4847618099</v>
      </c>
      <c r="AI114">
        <v>518642.15367132099</v>
      </c>
      <c r="AJ114">
        <v>0.06</v>
      </c>
      <c r="AK114">
        <v>0.05</v>
      </c>
      <c r="AL114">
        <v>8.8099999999999998E-2</v>
      </c>
      <c r="AM114">
        <v>3.8100000000000002E-2</v>
      </c>
      <c r="AN114">
        <v>0.89</v>
      </c>
      <c r="AO114">
        <v>0.66</v>
      </c>
      <c r="AP114">
        <v>0.42970000000000003</v>
      </c>
      <c r="AQ114">
        <v>0.57030000000000003</v>
      </c>
      <c r="AR114">
        <v>8.9999999999999993E-3</v>
      </c>
      <c r="AS114">
        <v>0.5</v>
      </c>
      <c r="AT114">
        <v>1.82</v>
      </c>
      <c r="AU114">
        <v>6.3545217126973294E-2</v>
      </c>
      <c r="AV114">
        <v>0.7893</v>
      </c>
      <c r="AW114">
        <v>3</v>
      </c>
      <c r="AX114">
        <v>0.05</v>
      </c>
      <c r="AY114">
        <v>1</v>
      </c>
      <c r="AZ114">
        <v>1</v>
      </c>
      <c r="BA114" s="2">
        <f>modelo_tese_H__2[[#This Row],[Vw]]+modelo_tese_H__2[[#This Row],[Vr]]+modelo_tese_H__2[[#This Row],[K]]-modelo_tese_H__2[[#This Row],[E]]</f>
        <v>-404734.90357480495</v>
      </c>
      <c r="BB114" s="2">
        <f>modelo_tese_H__2[[#This Row],[K]]-modelo_tese_H__2[[#This Row],[Coluna1]]</f>
        <v>860743.96166288899</v>
      </c>
      <c r="BC114">
        <f>modelo_tese_H__2[[#This Row],[Coluna2]]/modelo_tese_H__2[[#This Row],[Coluna1]]</f>
        <v>-2.1266857739730431</v>
      </c>
      <c r="BD114" s="8">
        <f>modelo_tese_H__2[[#This Row],[D]]-modelo_tese_H__2[[#This Row],[Dw]]-modelo_tese_H__2[[#This Row],[Dr]]</f>
        <v>0</v>
      </c>
    </row>
    <row r="115" spans="1:56" x14ac:dyDescent="0.25">
      <c r="A115">
        <v>114</v>
      </c>
      <c r="B115">
        <v>114</v>
      </c>
      <c r="C115">
        <v>114571.344170581</v>
      </c>
      <c r="D115">
        <v>51051.074565748</v>
      </c>
      <c r="E115">
        <v>45435.456363515703</v>
      </c>
      <c r="F115">
        <v>6160.1405082747297</v>
      </c>
      <c r="G115">
        <v>168638.26652901</v>
      </c>
      <c r="H115">
        <v>38512.955750281799</v>
      </c>
      <c r="I115">
        <v>90108.552622072297</v>
      </c>
      <c r="J115">
        <v>69437.548083925998</v>
      </c>
      <c r="K115">
        <v>433892.638959123</v>
      </c>
      <c r="L115">
        <v>-39057.478056324297</v>
      </c>
      <c r="M115">
        <v>503330.18704304902</v>
      </c>
      <c r="N115">
        <v>-740148.87425955699</v>
      </c>
      <c r="O115">
        <v>85170.841681318299</v>
      </c>
      <c r="P115">
        <v>56212.755509670103</v>
      </c>
      <c r="Q115">
        <v>86325.278958615803</v>
      </c>
      <c r="R115">
        <v>43162.639479307902</v>
      </c>
      <c r="S115">
        <v>43162.639479307902</v>
      </c>
      <c r="T115">
        <v>42008.202202010398</v>
      </c>
      <c r="U115">
        <v>17545.4106535018</v>
      </c>
      <c r="V115">
        <v>334716.93375242199</v>
      </c>
      <c r="W115">
        <v>54575.314997454298</v>
      </c>
      <c r="X115">
        <v>0.27165869762956701</v>
      </c>
      <c r="Y115">
        <v>481607.17847746401</v>
      </c>
      <c r="Z115">
        <v>212883.306090547</v>
      </c>
      <c r="AA115">
        <v>0.80180831413333897</v>
      </c>
      <c r="AB115">
        <v>250554.427520925</v>
      </c>
      <c r="AC115">
        <v>146321.308131742</v>
      </c>
      <c r="AD115">
        <v>200896.62312919699</v>
      </c>
      <c r="AE115">
        <v>-405431.940507135</v>
      </c>
      <c r="AF115">
        <v>-21512.0674028225</v>
      </c>
      <c r="AG115">
        <v>5.5594999999999999E-2</v>
      </c>
      <c r="AH115">
        <v>-1243479.06130261</v>
      </c>
      <c r="AI115">
        <v>547600.23984296899</v>
      </c>
      <c r="AJ115">
        <v>0.06</v>
      </c>
      <c r="AK115">
        <v>0.05</v>
      </c>
      <c r="AL115">
        <v>8.8099999999999998E-2</v>
      </c>
      <c r="AM115">
        <v>3.8100000000000002E-2</v>
      </c>
      <c r="AN115">
        <v>0.89</v>
      </c>
      <c r="AO115">
        <v>0.66</v>
      </c>
      <c r="AP115">
        <v>0.42970000000000003</v>
      </c>
      <c r="AQ115">
        <v>0.57030000000000003</v>
      </c>
      <c r="AR115">
        <v>8.9999999999999993E-3</v>
      </c>
      <c r="AS115">
        <v>0.5</v>
      </c>
      <c r="AT115">
        <v>1.82</v>
      </c>
      <c r="AU115">
        <v>6.3545217126973294E-2</v>
      </c>
      <c r="AV115">
        <v>0.7893</v>
      </c>
      <c r="AW115">
        <v>3</v>
      </c>
      <c r="AX115">
        <v>0.05</v>
      </c>
      <c r="AY115">
        <v>1</v>
      </c>
      <c r="AZ115">
        <v>1</v>
      </c>
      <c r="BA115" s="2">
        <f>modelo_tese_H__2[[#This Row],[Vw]]+modelo_tese_H__2[[#This Row],[Vr]]+modelo_tese_H__2[[#This Row],[K]]-modelo_tese_H__2[[#This Row],[E]]</f>
        <v>-427154.94907272398</v>
      </c>
      <c r="BB115" s="2">
        <f>modelo_tese_H__2[[#This Row],[K]]-modelo_tese_H__2[[#This Row],[Coluna1]]</f>
        <v>908762.12755018799</v>
      </c>
      <c r="BC115">
        <f>modelo_tese_H__2[[#This Row],[Coluna2]]/modelo_tese_H__2[[#This Row],[Coluna1]]</f>
        <v>-2.1274765270142511</v>
      </c>
      <c r="BD115" s="8">
        <f>modelo_tese_H__2[[#This Row],[D]]-modelo_tese_H__2[[#This Row],[Dw]]-modelo_tese_H__2[[#This Row],[Dr]]</f>
        <v>0</v>
      </c>
    </row>
    <row r="116" spans="1:56" x14ac:dyDescent="0.25">
      <c r="A116">
        <v>115</v>
      </c>
      <c r="B116">
        <v>115</v>
      </c>
      <c r="C116">
        <v>120986.068343582</v>
      </c>
      <c r="D116">
        <v>53934.792366930698</v>
      </c>
      <c r="E116">
        <v>48001.965206568297</v>
      </c>
      <c r="F116">
        <v>6502.2448722633499</v>
      </c>
      <c r="G116">
        <v>178046.86265183499</v>
      </c>
      <c r="H116">
        <v>40654.083525218703</v>
      </c>
      <c r="I116">
        <v>95158.293604050399</v>
      </c>
      <c r="J116">
        <v>73294.222374191799</v>
      </c>
      <c r="K116">
        <v>458015.41294000001</v>
      </c>
      <c r="L116">
        <v>-41223.501237119701</v>
      </c>
      <c r="M116">
        <v>531309.63531419099</v>
      </c>
      <c r="N116">
        <v>-781372.37549667596</v>
      </c>
      <c r="O116">
        <v>89922.657904967302</v>
      </c>
      <c r="P116">
        <v>59348.954217278399</v>
      </c>
      <c r="Q116">
        <v>91158.536852949401</v>
      </c>
      <c r="R116">
        <v>45579.2684264747</v>
      </c>
      <c r="S116">
        <v>45579.2684264747</v>
      </c>
      <c r="T116">
        <v>44343.389478492703</v>
      </c>
      <c r="U116">
        <v>18515.614738961402</v>
      </c>
      <c r="V116">
        <v>353232.54849138402</v>
      </c>
      <c r="W116">
        <v>57637.357375202198</v>
      </c>
      <c r="X116">
        <v>0.271689008173496</v>
      </c>
      <c r="Y116">
        <v>508640.703126407</v>
      </c>
      <c r="Z116">
        <v>224941.39503927401</v>
      </c>
      <c r="AA116">
        <v>0.80169731414365397</v>
      </c>
      <c r="AB116">
        <v>264619.328833771</v>
      </c>
      <c r="AC116">
        <v>154507.24782132899</v>
      </c>
      <c r="AD116">
        <v>212144.60519653099</v>
      </c>
      <c r="AE116">
        <v>-428139.82700529299</v>
      </c>
      <c r="AF116">
        <v>-22707.886498158299</v>
      </c>
      <c r="AG116">
        <v>5.5594999999999999E-2</v>
      </c>
      <c r="AH116">
        <v>-1312682.01081087</v>
      </c>
      <c r="AI116">
        <v>578173.94353065803</v>
      </c>
      <c r="AJ116">
        <v>0.06</v>
      </c>
      <c r="AK116">
        <v>0.05</v>
      </c>
      <c r="AL116">
        <v>8.8099999999999998E-2</v>
      </c>
      <c r="AM116">
        <v>3.8100000000000002E-2</v>
      </c>
      <c r="AN116">
        <v>0.89</v>
      </c>
      <c r="AO116">
        <v>0.66</v>
      </c>
      <c r="AP116">
        <v>0.42970000000000003</v>
      </c>
      <c r="AQ116">
        <v>0.57030000000000003</v>
      </c>
      <c r="AR116">
        <v>8.9999999999999993E-3</v>
      </c>
      <c r="AS116">
        <v>0.5</v>
      </c>
      <c r="AT116">
        <v>1.82</v>
      </c>
      <c r="AU116">
        <v>6.3545217126973294E-2</v>
      </c>
      <c r="AV116">
        <v>0.7893</v>
      </c>
      <c r="AW116">
        <v>3</v>
      </c>
      <c r="AX116">
        <v>0.05</v>
      </c>
      <c r="AY116">
        <v>1</v>
      </c>
      <c r="AZ116">
        <v>1</v>
      </c>
      <c r="BA116" s="2">
        <f>modelo_tese_H__2[[#This Row],[Vw]]+modelo_tese_H__2[[#This Row],[Vr]]+modelo_tese_H__2[[#This Row],[K]]-modelo_tese_H__2[[#This Row],[E]]</f>
        <v>-450808.75919307896</v>
      </c>
      <c r="BB116" s="2">
        <f>modelo_tese_H__2[[#This Row],[K]]-modelo_tese_H__2[[#This Row],[Coluna1]]</f>
        <v>959449.46231948596</v>
      </c>
      <c r="BC116">
        <f>modelo_tese_H__2[[#This Row],[Coluna2]]/modelo_tese_H__2[[#This Row],[Coluna1]]</f>
        <v>-2.1282848719196226</v>
      </c>
      <c r="BD116" s="8">
        <f>modelo_tese_H__2[[#This Row],[D]]-modelo_tese_H__2[[#This Row],[Dw]]-modelo_tese_H__2[[#This Row],[Dr]]</f>
        <v>-1.0477378964424133E-9</v>
      </c>
    </row>
    <row r="117" spans="1:56" x14ac:dyDescent="0.25">
      <c r="A117">
        <v>116</v>
      </c>
      <c r="B117">
        <v>116</v>
      </c>
      <c r="C117">
        <v>127759.572933883</v>
      </c>
      <c r="D117">
        <v>56981.017883875298</v>
      </c>
      <c r="E117">
        <v>50713.105916649001</v>
      </c>
      <c r="F117">
        <v>6863.3492785894396</v>
      </c>
      <c r="G117">
        <v>187980.09148843799</v>
      </c>
      <c r="H117">
        <v>42914.247298803297</v>
      </c>
      <c r="I117">
        <v>100490.70249404199</v>
      </c>
      <c r="J117">
        <v>77365.061780324599</v>
      </c>
      <c r="K117">
        <v>483479.27300578897</v>
      </c>
      <c r="L117">
        <v>-43509.684610166398</v>
      </c>
      <c r="M117">
        <v>560844.334786113</v>
      </c>
      <c r="N117">
        <v>-824882.06010684301</v>
      </c>
      <c r="O117">
        <v>94939.440145675704</v>
      </c>
      <c r="P117">
        <v>62660.030496145897</v>
      </c>
      <c r="Q117">
        <v>96262.122548990796</v>
      </c>
      <c r="R117">
        <v>48131.061274495398</v>
      </c>
      <c r="S117">
        <v>48131.061274495398</v>
      </c>
      <c r="T117">
        <v>46808.378871180299</v>
      </c>
      <c r="U117">
        <v>19539.5084313392</v>
      </c>
      <c r="V117">
        <v>372772.05692272302</v>
      </c>
      <c r="W117">
        <v>60870.962492685903</v>
      </c>
      <c r="X117">
        <v>0.271719050967279</v>
      </c>
      <c r="Y117">
        <v>537189.98169930896</v>
      </c>
      <c r="Z117">
        <v>237681.296257465</v>
      </c>
      <c r="AA117">
        <v>0.80158643080025804</v>
      </c>
      <c r="AB117">
        <v>279472.91380571801</v>
      </c>
      <c r="AC117">
        <v>163150.732990188</v>
      </c>
      <c r="AD117">
        <v>224021.695482874</v>
      </c>
      <c r="AE117">
        <v>-452110.00318412</v>
      </c>
      <c r="AF117">
        <v>-23970.176178827202</v>
      </c>
      <c r="AG117">
        <v>5.5594999999999999E-2</v>
      </c>
      <c r="AH117">
        <v>-1385726.3948929601</v>
      </c>
      <c r="AI117">
        <v>610453.35318018706</v>
      </c>
      <c r="AJ117">
        <v>0.06</v>
      </c>
      <c r="AK117">
        <v>0.05</v>
      </c>
      <c r="AL117">
        <v>8.8099999999999998E-2</v>
      </c>
      <c r="AM117">
        <v>3.8100000000000002E-2</v>
      </c>
      <c r="AN117">
        <v>0.89</v>
      </c>
      <c r="AO117">
        <v>0.66</v>
      </c>
      <c r="AP117">
        <v>0.42970000000000003</v>
      </c>
      <c r="AQ117">
        <v>0.57030000000000003</v>
      </c>
      <c r="AR117">
        <v>8.9999999999999993E-3</v>
      </c>
      <c r="AS117">
        <v>0.5</v>
      </c>
      <c r="AT117">
        <v>1.82</v>
      </c>
      <c r="AU117">
        <v>6.3545217126973294E-2</v>
      </c>
      <c r="AV117">
        <v>0.7893</v>
      </c>
      <c r="AW117">
        <v>3</v>
      </c>
      <c r="AX117">
        <v>0.05</v>
      </c>
      <c r="AY117">
        <v>1</v>
      </c>
      <c r="AZ117">
        <v>1</v>
      </c>
      <c r="BA117" s="2">
        <f>modelo_tese_H__2[[#This Row],[Vw]]+modelo_tese_H__2[[#This Row],[Vr]]+modelo_tese_H__2[[#This Row],[K]]-modelo_tese_H__2[[#This Row],[E]]</f>
        <v>-475764.3562709291</v>
      </c>
      <c r="BB117" s="2">
        <f>modelo_tese_H__2[[#This Row],[K]]-modelo_tese_H__2[[#This Row],[Coluna1]]</f>
        <v>1012954.3379702381</v>
      </c>
      <c r="BC117">
        <f>modelo_tese_H__2[[#This Row],[Coluna2]]/modelo_tese_H__2[[#This Row],[Coluna1]]</f>
        <v>-2.1291093471352873</v>
      </c>
      <c r="BD117" s="8">
        <f>modelo_tese_H__2[[#This Row],[D]]-modelo_tese_H__2[[#This Row],[Dw]]-modelo_tese_H__2[[#This Row],[Dr]]</f>
        <v>0</v>
      </c>
    </row>
    <row r="118" spans="1:56" x14ac:dyDescent="0.25">
      <c r="A118">
        <v>117</v>
      </c>
      <c r="B118">
        <v>117</v>
      </c>
      <c r="C118">
        <v>134911.90143858001</v>
      </c>
      <c r="D118">
        <v>60198.884087826496</v>
      </c>
      <c r="E118">
        <v>53577.006838165602</v>
      </c>
      <c r="F118">
        <v>7244.5091967211501</v>
      </c>
      <c r="G118">
        <v>198467.19077258901</v>
      </c>
      <c r="H118">
        <v>45300.064877380297</v>
      </c>
      <c r="I118">
        <v>106121.580912267</v>
      </c>
      <c r="J118">
        <v>81661.9621232153</v>
      </c>
      <c r="K118">
        <v>510358.77758164803</v>
      </c>
      <c r="L118">
        <v>-45922.6968244405</v>
      </c>
      <c r="M118">
        <v>592020.73970486398</v>
      </c>
      <c r="N118">
        <v>-870804.75693128305</v>
      </c>
      <c r="O118">
        <v>100235.954935651</v>
      </c>
      <c r="P118">
        <v>66155.730257529503</v>
      </c>
      <c r="Q118">
        <v>101651.138081988</v>
      </c>
      <c r="R118">
        <v>50825.569040994204</v>
      </c>
      <c r="S118">
        <v>50825.569040994204</v>
      </c>
      <c r="T118">
        <v>49410.385894656603</v>
      </c>
      <c r="U118">
        <v>20620.065368343301</v>
      </c>
      <c r="V118">
        <v>393392.12229106599</v>
      </c>
      <c r="W118">
        <v>64285.728350772202</v>
      </c>
      <c r="X118">
        <v>0.27174882636382403</v>
      </c>
      <c r="Y118">
        <v>567339.85602456401</v>
      </c>
      <c r="Z118">
        <v>251141.45556724301</v>
      </c>
      <c r="AA118">
        <v>0.80147572850387205</v>
      </c>
      <c r="AB118">
        <v>295159.33060401602</v>
      </c>
      <c r="AC118">
        <v>172277.311169797</v>
      </c>
      <c r="AD118">
        <v>236563.039520569</v>
      </c>
      <c r="AE118">
        <v>-477412.634640217</v>
      </c>
      <c r="AF118">
        <v>-25302.631456097199</v>
      </c>
      <c r="AG118">
        <v>5.5594999999999999E-2</v>
      </c>
      <c r="AH118">
        <v>-1462825.4966361499</v>
      </c>
      <c r="AI118">
        <v>644533.57785830903</v>
      </c>
      <c r="AJ118">
        <v>0.06</v>
      </c>
      <c r="AK118">
        <v>0.05</v>
      </c>
      <c r="AL118">
        <v>8.8099999999999998E-2</v>
      </c>
      <c r="AM118">
        <v>3.8100000000000002E-2</v>
      </c>
      <c r="AN118">
        <v>0.89</v>
      </c>
      <c r="AO118">
        <v>0.66</v>
      </c>
      <c r="AP118">
        <v>0.42970000000000003</v>
      </c>
      <c r="AQ118">
        <v>0.57030000000000003</v>
      </c>
      <c r="AR118">
        <v>8.9999999999999993E-3</v>
      </c>
      <c r="AS118">
        <v>0.5</v>
      </c>
      <c r="AT118">
        <v>1.82</v>
      </c>
      <c r="AU118">
        <v>6.3545217126973294E-2</v>
      </c>
      <c r="AV118">
        <v>0.7893</v>
      </c>
      <c r="AW118">
        <v>3</v>
      </c>
      <c r="AX118">
        <v>0.05</v>
      </c>
      <c r="AY118">
        <v>1</v>
      </c>
      <c r="AZ118">
        <v>1</v>
      </c>
      <c r="BA118" s="2">
        <f>modelo_tese_H__2[[#This Row],[Vw]]+modelo_tese_H__2[[#This Row],[Vr]]+modelo_tese_H__2[[#This Row],[K]]-modelo_tese_H__2[[#This Row],[E]]</f>
        <v>-502093.51832051994</v>
      </c>
      <c r="BB118" s="2">
        <f>modelo_tese_H__2[[#This Row],[K]]-modelo_tese_H__2[[#This Row],[Coluna1]]</f>
        <v>1069433.374345084</v>
      </c>
      <c r="BC118">
        <f>modelo_tese_H__2[[#This Row],[Coluna2]]/modelo_tese_H__2[[#This Row],[Coluna1]]</f>
        <v>-2.1299485759590966</v>
      </c>
      <c r="BD118" s="8">
        <f>modelo_tese_H__2[[#This Row],[D]]-modelo_tese_H__2[[#This Row],[Dw]]-modelo_tese_H__2[[#This Row],[Dr]]</f>
        <v>0</v>
      </c>
    </row>
    <row r="119" spans="1:56" x14ac:dyDescent="0.25">
      <c r="A119">
        <v>118</v>
      </c>
      <c r="B119">
        <v>118</v>
      </c>
      <c r="C119">
        <v>142464.21610809001</v>
      </c>
      <c r="D119">
        <v>63598.036195499699</v>
      </c>
      <c r="E119">
        <v>56602.252213994798</v>
      </c>
      <c r="F119">
        <v>7646.8387360450097</v>
      </c>
      <c r="G119">
        <v>209539.026934895</v>
      </c>
      <c r="H119">
        <v>47818.521984238199</v>
      </c>
      <c r="I119">
        <v>112067.612934278</v>
      </c>
      <c r="J119">
        <v>86197.480102365793</v>
      </c>
      <c r="K119">
        <v>538732.63014002598</v>
      </c>
      <c r="L119">
        <v>-48469.576738778203</v>
      </c>
      <c r="M119">
        <v>624930.11024239205</v>
      </c>
      <c r="N119">
        <v>-919274.33367006201</v>
      </c>
      <c r="O119">
        <v>105827.79138126</v>
      </c>
      <c r="P119">
        <v>69846.342311631597</v>
      </c>
      <c r="Q119">
        <v>107341.528426523</v>
      </c>
      <c r="R119">
        <v>53670.7642132615</v>
      </c>
      <c r="S119">
        <v>53670.7642132615</v>
      </c>
      <c r="T119">
        <v>52157.027167998502</v>
      </c>
      <c r="U119">
        <v>21760.423994186898</v>
      </c>
      <c r="V119">
        <v>415152.54628525302</v>
      </c>
      <c r="W119">
        <v>67891.789288703003</v>
      </c>
      <c r="X119">
        <v>0.27177833486250103</v>
      </c>
      <c r="Y119">
        <v>599179.91097740002</v>
      </c>
      <c r="Z119">
        <v>265362.48064268398</v>
      </c>
      <c r="AA119">
        <v>0.80136526673583497</v>
      </c>
      <c r="AB119">
        <v>311725.19561789202</v>
      </c>
      <c r="AC119">
        <v>181913.95524591001</v>
      </c>
      <c r="AD119">
        <v>249805.74453461301</v>
      </c>
      <c r="AE119">
        <v>-504121.78738480899</v>
      </c>
      <c r="AF119">
        <v>-26709.152744591302</v>
      </c>
      <c r="AG119">
        <v>5.5594999999999999E-2</v>
      </c>
      <c r="AH119">
        <v>-1544204.44391245</v>
      </c>
      <c r="AI119">
        <v>680515.02692793706</v>
      </c>
      <c r="AJ119">
        <v>0.06</v>
      </c>
      <c r="AK119">
        <v>0.05</v>
      </c>
      <c r="AL119">
        <v>8.8099999999999998E-2</v>
      </c>
      <c r="AM119">
        <v>3.8100000000000002E-2</v>
      </c>
      <c r="AN119">
        <v>0.89</v>
      </c>
      <c r="AO119">
        <v>0.66</v>
      </c>
      <c r="AP119">
        <v>0.42970000000000003</v>
      </c>
      <c r="AQ119">
        <v>0.57030000000000003</v>
      </c>
      <c r="AR119">
        <v>8.9999999999999993E-3</v>
      </c>
      <c r="AS119">
        <v>0.5</v>
      </c>
      <c r="AT119">
        <v>1.82</v>
      </c>
      <c r="AU119">
        <v>6.3545217126973294E-2</v>
      </c>
      <c r="AV119">
        <v>0.7893</v>
      </c>
      <c r="AW119">
        <v>3</v>
      </c>
      <c r="AX119">
        <v>0.05</v>
      </c>
      <c r="AY119">
        <v>1</v>
      </c>
      <c r="AZ119">
        <v>1</v>
      </c>
      <c r="BA119" s="2">
        <f>modelo_tese_H__2[[#This Row],[Vw]]+modelo_tese_H__2[[#This Row],[Vr]]+modelo_tese_H__2[[#This Row],[K]]-modelo_tese_H__2[[#This Row],[E]]</f>
        <v>-529871.98664979683</v>
      </c>
      <c r="BB119" s="2">
        <f>modelo_tese_H__2[[#This Row],[K]]-modelo_tese_H__2[[#This Row],[Coluna1]]</f>
        <v>1129051.8976271967</v>
      </c>
      <c r="BC119">
        <f>modelo_tese_H__2[[#This Row],[Coluna2]]/modelo_tese_H__2[[#This Row],[Coluna1]]</f>
        <v>-2.1308012615760532</v>
      </c>
      <c r="BD119" s="8">
        <f>modelo_tese_H__2[[#This Row],[D]]-modelo_tese_H__2[[#This Row],[Dw]]-modelo_tese_H__2[[#This Row],[Dr]]</f>
        <v>0</v>
      </c>
    </row>
    <row r="120" spans="1:56" x14ac:dyDescent="0.25">
      <c r="A120">
        <v>119</v>
      </c>
      <c r="B120">
        <v>119</v>
      </c>
      <c r="C120">
        <v>150438.86034412001</v>
      </c>
      <c r="D120">
        <v>67188.660350989201</v>
      </c>
      <c r="E120">
        <v>59797.907712380402</v>
      </c>
      <c r="F120">
        <v>8071.5139042025203</v>
      </c>
      <c r="G120">
        <v>221228.185796431</v>
      </c>
      <c r="H120">
        <v>50476.992713951899</v>
      </c>
      <c r="I120">
        <v>118346.414330535</v>
      </c>
      <c r="J120">
        <v>90984.870014668195</v>
      </c>
      <c r="K120">
        <v>568683.90964564297</v>
      </c>
      <c r="L120">
        <v>-51157.753979545603</v>
      </c>
      <c r="M120">
        <v>659668.77966031095</v>
      </c>
      <c r="N120">
        <v>-970432.08764960698</v>
      </c>
      <c r="O120">
        <v>111731.406967894</v>
      </c>
      <c r="P120">
        <v>73742.728598810296</v>
      </c>
      <c r="Q120">
        <v>113350.128511079</v>
      </c>
      <c r="R120">
        <v>56675.064255539699</v>
      </c>
      <c r="S120">
        <v>56675.064255539699</v>
      </c>
      <c r="T120">
        <v>55056.342712354701</v>
      </c>
      <c r="U120">
        <v>22963.896698769098</v>
      </c>
      <c r="V120">
        <v>438116.44298402203</v>
      </c>
      <c r="W120">
        <v>71699.845925854694</v>
      </c>
      <c r="X120">
        <v>0.27180757709797299</v>
      </c>
      <c r="Y120">
        <v>632804.73936207499</v>
      </c>
      <c r="Z120">
        <v>280387.262312999</v>
      </c>
      <c r="AA120">
        <v>0.80125510038098102</v>
      </c>
      <c r="AB120">
        <v>329219.731306264</v>
      </c>
      <c r="AC120">
        <v>192089.14292934499</v>
      </c>
      <c r="AD120">
        <v>263788.9888552</v>
      </c>
      <c r="AE120">
        <v>-532315.64466558502</v>
      </c>
      <c r="AF120">
        <v>-28193.8572807766</v>
      </c>
      <c r="AG120">
        <v>5.5594999999999999E-2</v>
      </c>
      <c r="AH120">
        <v>-1630100.86730992</v>
      </c>
      <c r="AI120">
        <v>718503.70529702096</v>
      </c>
      <c r="AJ120">
        <v>0.06</v>
      </c>
      <c r="AK120">
        <v>0.05</v>
      </c>
      <c r="AL120">
        <v>8.8099999999999998E-2</v>
      </c>
      <c r="AM120">
        <v>3.8100000000000002E-2</v>
      </c>
      <c r="AN120">
        <v>0.89</v>
      </c>
      <c r="AO120">
        <v>0.66</v>
      </c>
      <c r="AP120">
        <v>0.42970000000000003</v>
      </c>
      <c r="AQ120">
        <v>0.57030000000000003</v>
      </c>
      <c r="AR120">
        <v>8.9999999999999993E-3</v>
      </c>
      <c r="AS120">
        <v>0.5</v>
      </c>
      <c r="AT120">
        <v>1.82</v>
      </c>
      <c r="AU120">
        <v>6.3545217126973294E-2</v>
      </c>
      <c r="AV120">
        <v>0.7893</v>
      </c>
      <c r="AW120">
        <v>3</v>
      </c>
      <c r="AX120">
        <v>0.05</v>
      </c>
      <c r="AY120">
        <v>1</v>
      </c>
      <c r="AZ120">
        <v>1</v>
      </c>
      <c r="BA120" s="2">
        <f>modelo_tese_H__2[[#This Row],[Vw]]+modelo_tese_H__2[[#This Row],[Vr]]+modelo_tese_H__2[[#This Row],[K]]-modelo_tese_H__2[[#This Row],[E]]</f>
        <v>-559179.68496382306</v>
      </c>
      <c r="BB120" s="2">
        <f>modelo_tese_H__2[[#This Row],[K]]-modelo_tese_H__2[[#This Row],[Coluna1]]</f>
        <v>1191984.4243258981</v>
      </c>
      <c r="BC120">
        <f>modelo_tese_H__2[[#This Row],[Coluna2]]/modelo_tese_H__2[[#This Row],[Coluna1]]</f>
        <v>-2.1316661824061351</v>
      </c>
      <c r="BD120" s="8">
        <f>modelo_tese_H__2[[#This Row],[D]]-modelo_tese_H__2[[#This Row],[Dw]]-modelo_tese_H__2[[#This Row],[Dr]]</f>
        <v>0</v>
      </c>
    </row>
    <row r="121" spans="1:56" x14ac:dyDescent="0.25">
      <c r="A121">
        <v>120</v>
      </c>
      <c r="B121">
        <v>120</v>
      </c>
      <c r="C121">
        <v>158859.424575749</v>
      </c>
      <c r="D121">
        <v>70981.513911454196</v>
      </c>
      <c r="E121">
        <v>63173.547381194199</v>
      </c>
      <c r="F121">
        <v>8519.7760464946405</v>
      </c>
      <c r="G121">
        <v>233569.068311087</v>
      </c>
      <c r="H121">
        <v>53283.261123884098</v>
      </c>
      <c r="I121">
        <v>124976.584551573</v>
      </c>
      <c r="J121">
        <v>96038.122513604001</v>
      </c>
      <c r="K121">
        <v>600300.31381202803</v>
      </c>
      <c r="L121">
        <v>-53995.0706401188</v>
      </c>
      <c r="M121">
        <v>696338.43632563204</v>
      </c>
      <c r="N121">
        <v>-1024427.15828973</v>
      </c>
      <c r="O121">
        <v>117964.17591469</v>
      </c>
      <c r="P121">
        <v>77856.356103695696</v>
      </c>
      <c r="Q121">
        <v>119694.712853234</v>
      </c>
      <c r="R121">
        <v>59847.356426617</v>
      </c>
      <c r="S121">
        <v>59847.356426617</v>
      </c>
      <c r="T121">
        <v>58116.819488073401</v>
      </c>
      <c r="U121">
        <v>24233.979463897402</v>
      </c>
      <c r="V121">
        <v>462350.42244791897</v>
      </c>
      <c r="W121">
        <v>75721.196773714299</v>
      </c>
      <c r="X121">
        <v>0.27183655382975902</v>
      </c>
      <c r="Y121">
        <v>668314.22157404898</v>
      </c>
      <c r="Z121">
        <v>296261.10266009602</v>
      </c>
      <c r="AA121">
        <v>0.80114528003032903</v>
      </c>
      <c r="AB121">
        <v>347694.91173740401</v>
      </c>
      <c r="AC121">
        <v>202832.94065526899</v>
      </c>
      <c r="AD121">
        <v>278554.137428983</v>
      </c>
      <c r="AE121">
        <v>-562076.73584180698</v>
      </c>
      <c r="AF121">
        <v>-29761.091176221398</v>
      </c>
      <c r="AG121">
        <v>5.5594999999999999E-2</v>
      </c>
      <c r="AH121">
        <v>-1720765.59461536</v>
      </c>
      <c r="AI121">
        <v>758611.52510801598</v>
      </c>
      <c r="AJ121">
        <v>0.06</v>
      </c>
      <c r="AK121">
        <v>0.05</v>
      </c>
      <c r="AL121">
        <v>8.8099999999999998E-2</v>
      </c>
      <c r="AM121">
        <v>3.8100000000000002E-2</v>
      </c>
      <c r="AN121">
        <v>0.89</v>
      </c>
      <c r="AO121">
        <v>0.66</v>
      </c>
      <c r="AP121">
        <v>0.42970000000000003</v>
      </c>
      <c r="AQ121">
        <v>0.57030000000000003</v>
      </c>
      <c r="AR121">
        <v>8.9999999999999993E-3</v>
      </c>
      <c r="AS121">
        <v>0.5</v>
      </c>
      <c r="AT121">
        <v>1.82</v>
      </c>
      <c r="AU121">
        <v>6.3545217126973294E-2</v>
      </c>
      <c r="AV121">
        <v>0.7893</v>
      </c>
      <c r="AW121">
        <v>3</v>
      </c>
      <c r="AX121">
        <v>0.05</v>
      </c>
      <c r="AY121">
        <v>1</v>
      </c>
      <c r="AZ121">
        <v>1</v>
      </c>
      <c r="BA121" s="2">
        <f>modelo_tese_H__2[[#This Row],[Vw]]+modelo_tese_H__2[[#This Row],[Vr]]+modelo_tese_H__2[[#This Row],[K]]-modelo_tese_H__2[[#This Row],[E]]</f>
        <v>-590100.95059339108</v>
      </c>
      <c r="BB121" s="2">
        <f>modelo_tese_H__2[[#This Row],[K]]-modelo_tese_H__2[[#This Row],[Coluna1]]</f>
        <v>1258415.1721674399</v>
      </c>
      <c r="BC121">
        <f>modelo_tese_H__2[[#This Row],[Coluna2]]/modelo_tese_H__2[[#This Row],[Coluna1]]</f>
        <v>-2.1325421877426369</v>
      </c>
      <c r="BD121" s="8">
        <f>modelo_tese_H__2[[#This Row],[D]]-modelo_tese_H__2[[#This Row],[Dw]]-modelo_tese_H__2[[#This Row],[Dr]]</f>
        <v>4.0163286030292511E-9</v>
      </c>
    </row>
    <row r="122" spans="1:56" x14ac:dyDescent="0.25">
      <c r="A122">
        <v>121</v>
      </c>
      <c r="B122">
        <v>121</v>
      </c>
      <c r="C122">
        <v>167750.81580735999</v>
      </c>
      <c r="D122">
        <v>74987.957426161694</v>
      </c>
      <c r="E122">
        <v>66739.282109284002</v>
      </c>
      <c r="F122">
        <v>8992.9354764167801</v>
      </c>
      <c r="G122">
        <v>246597.99163762</v>
      </c>
      <c r="H122">
        <v>56245.544026066404</v>
      </c>
      <c r="I122">
        <v>131977.761611767</v>
      </c>
      <c r="J122">
        <v>101372.005522252</v>
      </c>
      <c r="K122">
        <v>633674.415881856</v>
      </c>
      <c r="L122">
        <v>-56989.804185605397</v>
      </c>
      <c r="M122">
        <v>735046.42140410899</v>
      </c>
      <c r="N122">
        <v>-1081416.9624753301</v>
      </c>
      <c r="O122">
        <v>124544.44022102001</v>
      </c>
      <c r="P122">
        <v>82199.330545873207</v>
      </c>
      <c r="Q122">
        <v>126394.04796146401</v>
      </c>
      <c r="R122">
        <v>63197.023980731799</v>
      </c>
      <c r="S122">
        <v>63197.023980731799</v>
      </c>
      <c r="T122">
        <v>61347.416240288199</v>
      </c>
      <c r="U122">
        <v>25574.362044695099</v>
      </c>
      <c r="V122">
        <v>487924.78449261398</v>
      </c>
      <c r="W122">
        <v>79967.771611183503</v>
      </c>
      <c r="X122">
        <v>0.271865265932482</v>
      </c>
      <c r="Y122">
        <v>705813.82086626498</v>
      </c>
      <c r="Z122">
        <v>313031.850290548</v>
      </c>
      <c r="AA122">
        <v>0.801035852264807</v>
      </c>
      <c r="AB122">
        <v>367205.61624947703</v>
      </c>
      <c r="AC122">
        <v>214177.09215764</v>
      </c>
      <c r="AD122">
        <v>294144.86376882403</v>
      </c>
      <c r="AE122">
        <v>-593492.17798271705</v>
      </c>
      <c r="AF122">
        <v>-31415.442140910302</v>
      </c>
      <c r="AG122">
        <v>5.5594999999999999E-2</v>
      </c>
      <c r="AH122">
        <v>-1816463.3838794399</v>
      </c>
      <c r="AI122">
        <v>800956.63478316297</v>
      </c>
      <c r="AJ122">
        <v>0.06</v>
      </c>
      <c r="AK122">
        <v>0.05</v>
      </c>
      <c r="AL122">
        <v>8.8099999999999998E-2</v>
      </c>
      <c r="AM122">
        <v>3.8100000000000002E-2</v>
      </c>
      <c r="AN122">
        <v>0.89</v>
      </c>
      <c r="AO122">
        <v>0.66</v>
      </c>
      <c r="AP122">
        <v>0.42970000000000003</v>
      </c>
      <c r="AQ122">
        <v>0.57030000000000003</v>
      </c>
      <c r="AR122">
        <v>8.9999999999999993E-3</v>
      </c>
      <c r="AS122">
        <v>0.5</v>
      </c>
      <c r="AT122">
        <v>1.82</v>
      </c>
      <c r="AU122">
        <v>6.3545217126973294E-2</v>
      </c>
      <c r="AV122">
        <v>0.7893</v>
      </c>
      <c r="AW122">
        <v>3</v>
      </c>
      <c r="AX122">
        <v>0.05</v>
      </c>
      <c r="AY122">
        <v>1</v>
      </c>
      <c r="AZ122">
        <v>1</v>
      </c>
      <c r="BA122" s="2">
        <f>modelo_tese_H__2[[#This Row],[Vw]]+modelo_tese_H__2[[#This Row],[Vr]]+modelo_tese_H__2[[#This Row],[K]]-modelo_tese_H__2[[#This Row],[E]]</f>
        <v>-622724.77852055989</v>
      </c>
      <c r="BB122" s="2">
        <f>modelo_tese_H__2[[#This Row],[K]]-modelo_tese_H__2[[#This Row],[Coluna1]]</f>
        <v>1328538.5993868248</v>
      </c>
      <c r="BC122">
        <f>modelo_tese_H__2[[#This Row],[Coluna2]]/modelo_tese_H__2[[#This Row],[Coluna1]]</f>
        <v>-2.1334281936606154</v>
      </c>
      <c r="BD122" s="8">
        <f>modelo_tese_H__2[[#This Row],[D]]-modelo_tese_H__2[[#This Row],[Dw]]-modelo_tese_H__2[[#This Row],[Dr]]</f>
        <v>-9.3132257461547852E-10</v>
      </c>
    </row>
    <row r="123" spans="1:56" x14ac:dyDescent="0.25">
      <c r="A123">
        <v>122</v>
      </c>
      <c r="B123">
        <v>122</v>
      </c>
      <c r="C123">
        <v>177139.33104302801</v>
      </c>
      <c r="D123">
        <v>79219.988403460098</v>
      </c>
      <c r="E123">
        <v>70505.789679079506</v>
      </c>
      <c r="F123">
        <v>9492.3753079469097</v>
      </c>
      <c r="G123">
        <v>260353.29583801801</v>
      </c>
      <c r="H123">
        <v>59372.5150461956</v>
      </c>
      <c r="I123">
        <v>139370.68003322199</v>
      </c>
      <c r="J123">
        <v>107002.10741980201</v>
      </c>
      <c r="K123">
        <v>668903.93568295299</v>
      </c>
      <c r="L123">
        <v>-60150.691629761903</v>
      </c>
      <c r="M123">
        <v>775906.04310275498</v>
      </c>
      <c r="N123">
        <v>-1141567.6541050901</v>
      </c>
      <c r="O123">
        <v>131491.56355455401</v>
      </c>
      <c r="P123">
        <v>86784.431946005905</v>
      </c>
      <c r="Q123">
        <v>133467.94765770499</v>
      </c>
      <c r="R123">
        <v>66733.973828852395</v>
      </c>
      <c r="S123">
        <v>66733.973828852395</v>
      </c>
      <c r="T123">
        <v>64757.589725701997</v>
      </c>
      <c r="U123">
        <v>26988.938715896202</v>
      </c>
      <c r="V123">
        <v>514913.72320851102</v>
      </c>
      <c r="W123">
        <v>84452.166721504705</v>
      </c>
      <c r="X123">
        <v>0.27189371438676202</v>
      </c>
      <c r="Y123">
        <v>745414.89508960396</v>
      </c>
      <c r="Z123">
        <v>330750.0431832</v>
      </c>
      <c r="AA123">
        <v>0.80092685992110202</v>
      </c>
      <c r="AB123">
        <v>387809.791684761</v>
      </c>
      <c r="AC123">
        <v>226155.11197922801</v>
      </c>
      <c r="AD123">
        <v>310607.27870073298</v>
      </c>
      <c r="AE123">
        <v>-626653.93089658301</v>
      </c>
      <c r="AF123">
        <v>-33161.752913865697</v>
      </c>
      <c r="AG123">
        <v>5.5594999999999999E-2</v>
      </c>
      <c r="AH123">
        <v>-1917473.6972078499</v>
      </c>
      <c r="AI123">
        <v>845663.76639171096</v>
      </c>
      <c r="AJ123">
        <v>0.06</v>
      </c>
      <c r="AK123">
        <v>0.05</v>
      </c>
      <c r="AL123">
        <v>8.8099999999999998E-2</v>
      </c>
      <c r="AM123">
        <v>3.8100000000000002E-2</v>
      </c>
      <c r="AN123">
        <v>0.89</v>
      </c>
      <c r="AO123">
        <v>0.66</v>
      </c>
      <c r="AP123">
        <v>0.42970000000000003</v>
      </c>
      <c r="AQ123">
        <v>0.57030000000000003</v>
      </c>
      <c r="AR123">
        <v>8.9999999999999993E-3</v>
      </c>
      <c r="AS123">
        <v>0.5</v>
      </c>
      <c r="AT123">
        <v>1.82</v>
      </c>
      <c r="AU123">
        <v>6.3545217126973294E-2</v>
      </c>
      <c r="AV123">
        <v>0.7893</v>
      </c>
      <c r="AW123">
        <v>3</v>
      </c>
      <c r="AX123">
        <v>0.05</v>
      </c>
      <c r="AY123">
        <v>1</v>
      </c>
      <c r="AZ123">
        <v>1</v>
      </c>
      <c r="BA123" s="2">
        <f>modelo_tese_H__2[[#This Row],[Vw]]+modelo_tese_H__2[[#This Row],[Vr]]+modelo_tese_H__2[[#This Row],[K]]-modelo_tese_H__2[[#This Row],[E]]</f>
        <v>-657145.0789097352</v>
      </c>
      <c r="BB123" s="2">
        <f>modelo_tese_H__2[[#This Row],[K]]-modelo_tese_H__2[[#This Row],[Coluna1]]</f>
        <v>1402559.9739993392</v>
      </c>
      <c r="BC123">
        <f>modelo_tese_H__2[[#This Row],[Coluna2]]/modelo_tese_H__2[[#This Row],[Coluna1]]</f>
        <v>-2.1343231791772932</v>
      </c>
      <c r="BD123" s="8">
        <f>modelo_tese_H__2[[#This Row],[D]]-modelo_tese_H__2[[#This Row],[Dw]]-modelo_tese_H__2[[#This Row],[Dr]]</f>
        <v>-3.9581209421157837E-9</v>
      </c>
    </row>
    <row r="124" spans="1:56" x14ac:dyDescent="0.25">
      <c r="A124">
        <v>123</v>
      </c>
      <c r="B124">
        <v>123</v>
      </c>
      <c r="C124">
        <v>187052.734803292</v>
      </c>
      <c r="D124">
        <v>83690.276965543104</v>
      </c>
      <c r="E124">
        <v>74484.346499333406</v>
      </c>
      <c r="F124">
        <v>10019.5555007988</v>
      </c>
      <c r="G124">
        <v>274875.45651530998</v>
      </c>
      <c r="H124">
        <v>62673.330020188798</v>
      </c>
      <c r="I124">
        <v>147177.23202032101</v>
      </c>
      <c r="J124">
        <v>112944.882627906</v>
      </c>
      <c r="K124">
        <v>706092.02575362101</v>
      </c>
      <c r="L124">
        <v>-63486.9550547779</v>
      </c>
      <c r="M124">
        <v>819036.90838152706</v>
      </c>
      <c r="N124">
        <v>-1205054.6091598701</v>
      </c>
      <c r="O124">
        <v>138825.98813904499</v>
      </c>
      <c r="P124">
        <v>91625.152171769805</v>
      </c>
      <c r="Q124">
        <v>140937.331483385</v>
      </c>
      <c r="R124">
        <v>70468.665741692603</v>
      </c>
      <c r="S124">
        <v>70468.665741692603</v>
      </c>
      <c r="T124">
        <v>68357.322397352706</v>
      </c>
      <c r="U124">
        <v>28481.819614381799</v>
      </c>
      <c r="V124">
        <v>543395.54282289196</v>
      </c>
      <c r="W124">
        <v>89187.682094586096</v>
      </c>
      <c r="X124">
        <v>0.27192190027070601</v>
      </c>
      <c r="Y124">
        <v>787235.02582604205</v>
      </c>
      <c r="Z124">
        <v>349469.05953609402</v>
      </c>
      <c r="AA124">
        <v>0.80081834234073801</v>
      </c>
      <c r="AB124">
        <v>409568.62367560703</v>
      </c>
      <c r="AC124">
        <v>238802.38419209101</v>
      </c>
      <c r="AD124">
        <v>327990.06628667703</v>
      </c>
      <c r="AE124">
        <v>-661659.06633697904</v>
      </c>
      <c r="AF124">
        <v>-35005.135440396101</v>
      </c>
      <c r="AG124">
        <v>5.5594999999999999E-2</v>
      </c>
      <c r="AH124">
        <v>-2024091.5175413999</v>
      </c>
      <c r="AI124">
        <v>892864.60235898604</v>
      </c>
      <c r="AJ124">
        <v>0.06</v>
      </c>
      <c r="AK124">
        <v>0.05</v>
      </c>
      <c r="AL124">
        <v>8.8099999999999998E-2</v>
      </c>
      <c r="AM124">
        <v>3.8100000000000002E-2</v>
      </c>
      <c r="AN124">
        <v>0.89</v>
      </c>
      <c r="AO124">
        <v>0.66</v>
      </c>
      <c r="AP124">
        <v>0.42970000000000003</v>
      </c>
      <c r="AQ124">
        <v>0.57030000000000003</v>
      </c>
      <c r="AR124">
        <v>8.9999999999999993E-3</v>
      </c>
      <c r="AS124">
        <v>0.5</v>
      </c>
      <c r="AT124">
        <v>1.82</v>
      </c>
      <c r="AU124">
        <v>6.3545217126973294E-2</v>
      </c>
      <c r="AV124">
        <v>0.7893</v>
      </c>
      <c r="AW124">
        <v>3</v>
      </c>
      <c r="AX124">
        <v>0.05</v>
      </c>
      <c r="AY124">
        <v>1</v>
      </c>
      <c r="AZ124">
        <v>1</v>
      </c>
      <c r="BA124" s="2">
        <f>modelo_tese_H__2[[#This Row],[Vw]]+modelo_tese_H__2[[#This Row],[Vr]]+modelo_tese_H__2[[#This Row],[K]]-modelo_tese_H__2[[#This Row],[E]]</f>
        <v>-693460.94889246603</v>
      </c>
      <c r="BB124" s="2">
        <f>modelo_tese_H__2[[#This Row],[K]]-modelo_tese_H__2[[#This Row],[Coluna1]]</f>
        <v>1480695.9747185081</v>
      </c>
      <c r="BC124">
        <f>modelo_tese_H__2[[#This Row],[Coluna2]]/modelo_tese_H__2[[#This Row],[Coluna1]]</f>
        <v>-2.1352261826471177</v>
      </c>
      <c r="BD124" s="8">
        <f>modelo_tese_H__2[[#This Row],[D]]-modelo_tese_H__2[[#This Row],[Dw]]-modelo_tese_H__2[[#This Row],[Dr]]</f>
        <v>-9.3132257461547852E-10</v>
      </c>
    </row>
    <row r="125" spans="1:56" x14ac:dyDescent="0.25">
      <c r="A125">
        <v>124</v>
      </c>
      <c r="B125">
        <v>124</v>
      </c>
      <c r="C125">
        <v>197520.34096231099</v>
      </c>
      <c r="D125">
        <v>88412.203496418195</v>
      </c>
      <c r="E125">
        <v>78686.861111812206</v>
      </c>
      <c r="F125">
        <v>10576.017130476699</v>
      </c>
      <c r="G125">
        <v>290207.20372134598</v>
      </c>
      <c r="H125">
        <v>66157.653802661196</v>
      </c>
      <c r="I125">
        <v>155420.53204495</v>
      </c>
      <c r="J125">
        <v>119217.699730259</v>
      </c>
      <c r="K125">
        <v>745347.57337507</v>
      </c>
      <c r="L125">
        <v>-67008.328548531907</v>
      </c>
      <c r="M125">
        <v>864565.27310532902</v>
      </c>
      <c r="N125">
        <v>-1272062.9377084</v>
      </c>
      <c r="O125">
        <v>146569.29480876101</v>
      </c>
      <c r="P125">
        <v>96735.734573782</v>
      </c>
      <c r="Q125">
        <v>148824.28636069599</v>
      </c>
      <c r="R125">
        <v>74412.143180347994</v>
      </c>
      <c r="S125">
        <v>74412.143180347994</v>
      </c>
      <c r="T125">
        <v>72157.151628412597</v>
      </c>
      <c r="U125">
        <v>30057.342711051999</v>
      </c>
      <c r="V125">
        <v>573452.88553394401</v>
      </c>
      <c r="W125">
        <v>94188.360704274601</v>
      </c>
      <c r="X125">
        <v>0.271949824751965</v>
      </c>
      <c r="Y125">
        <v>831398.365884242</v>
      </c>
      <c r="Z125">
        <v>369245.27706002101</v>
      </c>
      <c r="AA125">
        <v>0.80071033560333804</v>
      </c>
      <c r="AB125">
        <v>432546.71748683602</v>
      </c>
      <c r="AC125">
        <v>252156.26661873201</v>
      </c>
      <c r="AD125">
        <v>346344.62732300698</v>
      </c>
      <c r="AE125">
        <v>-698610.05217445898</v>
      </c>
      <c r="AF125">
        <v>-36950.985837479901</v>
      </c>
      <c r="AG125">
        <v>5.5594999999999999E-2</v>
      </c>
      <c r="AH125">
        <v>-2136628.21081373</v>
      </c>
      <c r="AI125">
        <v>942698.16259396495</v>
      </c>
      <c r="AJ125">
        <v>0.06</v>
      </c>
      <c r="AK125">
        <v>0.05</v>
      </c>
      <c r="AL125">
        <v>8.8099999999999998E-2</v>
      </c>
      <c r="AM125">
        <v>3.8100000000000002E-2</v>
      </c>
      <c r="AN125">
        <v>0.89</v>
      </c>
      <c r="AO125">
        <v>0.66</v>
      </c>
      <c r="AP125">
        <v>0.42970000000000003</v>
      </c>
      <c r="AQ125">
        <v>0.57030000000000003</v>
      </c>
      <c r="AR125">
        <v>8.9999999999999993E-3</v>
      </c>
      <c r="AS125">
        <v>0.5</v>
      </c>
      <c r="AT125">
        <v>1.82</v>
      </c>
      <c r="AU125">
        <v>6.3545217126973294E-2</v>
      </c>
      <c r="AV125">
        <v>0.7893</v>
      </c>
      <c r="AW125">
        <v>3</v>
      </c>
      <c r="AX125">
        <v>0.05</v>
      </c>
      <c r="AY125">
        <v>1</v>
      </c>
      <c r="AZ125">
        <v>1</v>
      </c>
      <c r="BA125" s="2">
        <f>modelo_tese_H__2[[#This Row],[Vw]]+modelo_tese_H__2[[#This Row],[Vr]]+modelo_tese_H__2[[#This Row],[K]]-modelo_tese_H__2[[#This Row],[E]]</f>
        <v>-731776.95939554414</v>
      </c>
      <c r="BB125" s="2">
        <f>modelo_tese_H__2[[#This Row],[K]]-modelo_tese_H__2[[#This Row],[Coluna1]]</f>
        <v>1563175.3252797863</v>
      </c>
      <c r="BC125">
        <f>modelo_tese_H__2[[#This Row],[Coluna2]]/modelo_tese_H__2[[#This Row],[Coluna1]]</f>
        <v>-2.1361362983756504</v>
      </c>
      <c r="BD125" s="8">
        <f>modelo_tese_H__2[[#This Row],[D]]-modelo_tese_H__2[[#This Row],[Dw]]-modelo_tese_H__2[[#This Row],[Dr]]</f>
        <v>-3.0267983675003052E-9</v>
      </c>
    </row>
    <row r="126" spans="1:56" x14ac:dyDescent="0.25">
      <c r="A126">
        <v>125</v>
      </c>
      <c r="B126">
        <v>125</v>
      </c>
      <c r="C126">
        <v>208573.09914607799</v>
      </c>
      <c r="D126">
        <v>93399.898394402204</v>
      </c>
      <c r="E126">
        <v>83125.909571017895</v>
      </c>
      <c r="F126">
        <v>11163.3868956243</v>
      </c>
      <c r="G126">
        <v>306393.64748350403</v>
      </c>
      <c r="H126">
        <v>69835.688565820194</v>
      </c>
      <c r="I126">
        <v>164124.98503246199</v>
      </c>
      <c r="J126">
        <v>125838.892266161</v>
      </c>
      <c r="K126">
        <v>786785.51939529995</v>
      </c>
      <c r="L126">
        <v>-70725.086638060195</v>
      </c>
      <c r="M126">
        <v>912624.41166145995</v>
      </c>
      <c r="N126">
        <v>-1342788.0243464599</v>
      </c>
      <c r="O126">
        <v>154744.26640580999</v>
      </c>
      <c r="P126">
        <v>102131.215827835</v>
      </c>
      <c r="Q126">
        <v>157152.13169046101</v>
      </c>
      <c r="R126">
        <v>78576.065845230507</v>
      </c>
      <c r="S126">
        <v>78576.065845230507</v>
      </c>
      <c r="T126">
        <v>76168.200560579498</v>
      </c>
      <c r="U126">
        <v>31720.0864469634</v>
      </c>
      <c r="V126">
        <v>605172.97198090795</v>
      </c>
      <c r="W126">
        <v>99469.029976242498</v>
      </c>
      <c r="X126">
        <v>0.27197748908032499</v>
      </c>
      <c r="Y126">
        <v>878036.00618135999</v>
      </c>
      <c r="Z126">
        <v>390138.24119103298</v>
      </c>
      <c r="AA126">
        <v>0.80060287274509501</v>
      </c>
      <c r="AB126">
        <v>456812.28894738603</v>
      </c>
      <c r="AC126">
        <v>266256.20086029702</v>
      </c>
      <c r="AD126">
        <v>365725.23083653999</v>
      </c>
      <c r="AE126">
        <v>-737615.05236555601</v>
      </c>
      <c r="AF126">
        <v>-39005.000191096799</v>
      </c>
      <c r="AG126">
        <v>5.5594999999999999E-2</v>
      </c>
      <c r="AH126">
        <v>-2255412.4360079202</v>
      </c>
      <c r="AI126">
        <v>995311.21317193995</v>
      </c>
      <c r="AJ126">
        <v>0.06</v>
      </c>
      <c r="AK126">
        <v>0.05</v>
      </c>
      <c r="AL126">
        <v>8.8099999999999998E-2</v>
      </c>
      <c r="AM126">
        <v>3.8100000000000002E-2</v>
      </c>
      <c r="AN126">
        <v>0.89</v>
      </c>
      <c r="AO126">
        <v>0.66</v>
      </c>
      <c r="AP126">
        <v>0.42970000000000003</v>
      </c>
      <c r="AQ126">
        <v>0.57030000000000003</v>
      </c>
      <c r="AR126">
        <v>8.9999999999999993E-3</v>
      </c>
      <c r="AS126">
        <v>0.5</v>
      </c>
      <c r="AT126">
        <v>1.82</v>
      </c>
      <c r="AU126">
        <v>6.3545217126973294E-2</v>
      </c>
      <c r="AV126">
        <v>0.7893</v>
      </c>
      <c r="AW126">
        <v>3</v>
      </c>
      <c r="AX126">
        <v>0.05</v>
      </c>
      <c r="AY126">
        <v>1</v>
      </c>
      <c r="AZ126">
        <v>1</v>
      </c>
      <c r="BA126" s="2">
        <f>modelo_tese_H__2[[#This Row],[Vw]]+modelo_tese_H__2[[#This Row],[Vr]]+modelo_tese_H__2[[#This Row],[K]]-modelo_tese_H__2[[#This Row],[E]]</f>
        <v>-772203.45784565341</v>
      </c>
      <c r="BB126" s="2">
        <f>modelo_tese_H__2[[#This Row],[K]]-modelo_tese_H__2[[#This Row],[Coluna1]]</f>
        <v>1650239.4640270134</v>
      </c>
      <c r="BC126">
        <f>modelo_tese_H__2[[#This Row],[Coluna2]]/modelo_tese_H__2[[#This Row],[Coluna1]]</f>
        <v>-2.1370526734378599</v>
      </c>
      <c r="BD126" s="8">
        <f>modelo_tese_H__2[[#This Row],[D]]-modelo_tese_H__2[[#This Row],[Dw]]-modelo_tese_H__2[[#This Row],[Dr]]</f>
        <v>-4.0745362639427185E-9</v>
      </c>
    </row>
    <row r="127" spans="1:56" x14ac:dyDescent="0.25">
      <c r="A127">
        <v>126</v>
      </c>
      <c r="B127">
        <v>126</v>
      </c>
      <c r="C127">
        <v>220243.68594578499</v>
      </c>
      <c r="D127">
        <v>98668.284046654095</v>
      </c>
      <c r="E127">
        <v>87814.772801522093</v>
      </c>
      <c r="F127">
        <v>11783.3818758568</v>
      </c>
      <c r="G127">
        <v>323482.410318657</v>
      </c>
      <c r="H127">
        <v>73718.203671636904</v>
      </c>
      <c r="I127">
        <v>173316.35834901599</v>
      </c>
      <c r="J127">
        <v>132827.812346677</v>
      </c>
      <c r="K127">
        <v>830527.19477797602</v>
      </c>
      <c r="L127">
        <v>-74648.074302361696</v>
      </c>
      <c r="M127">
        <v>963355.00712465204</v>
      </c>
      <c r="N127">
        <v>-1417436.0986488301</v>
      </c>
      <c r="O127">
        <v>163374.95470639301</v>
      </c>
      <c r="P127">
        <v>107827.470106219</v>
      </c>
      <c r="Q127">
        <v>165945.488078036</v>
      </c>
      <c r="R127">
        <v>82972.744039017998</v>
      </c>
      <c r="S127">
        <v>82972.744039017998</v>
      </c>
      <c r="T127">
        <v>80402.210667374704</v>
      </c>
      <c r="U127">
        <v>33474.883070605298</v>
      </c>
      <c r="V127">
        <v>638647.85505151295</v>
      </c>
      <c r="W127">
        <v>105045.345568586</v>
      </c>
      <c r="X127">
        <v>0.27200489458078098</v>
      </c>
      <c r="Y127">
        <v>927286.363091851</v>
      </c>
      <c r="Z127">
        <v>412210.84272060101</v>
      </c>
      <c r="AA127">
        <v>0.80049598396330102</v>
      </c>
      <c r="AB127">
        <v>482437.36603371397</v>
      </c>
      <c r="AC127">
        <v>281143.82845523499</v>
      </c>
      <c r="AD127">
        <v>386189.17402382102</v>
      </c>
      <c r="AE127">
        <v>-778788.24359731202</v>
      </c>
      <c r="AF127">
        <v>-41173.191231756398</v>
      </c>
      <c r="AG127">
        <v>5.5594999999999999E-2</v>
      </c>
      <c r="AH127">
        <v>-2380791.1057734801</v>
      </c>
      <c r="AI127">
        <v>1050858.6977721101</v>
      </c>
      <c r="AJ127">
        <v>0.06</v>
      </c>
      <c r="AK127">
        <v>0.05</v>
      </c>
      <c r="AL127">
        <v>8.8099999999999998E-2</v>
      </c>
      <c r="AM127">
        <v>3.8100000000000002E-2</v>
      </c>
      <c r="AN127">
        <v>0.89</v>
      </c>
      <c r="AO127">
        <v>0.66</v>
      </c>
      <c r="AP127">
        <v>0.42970000000000003</v>
      </c>
      <c r="AQ127">
        <v>0.57030000000000003</v>
      </c>
      <c r="AR127">
        <v>8.9999999999999993E-3</v>
      </c>
      <c r="AS127">
        <v>0.5</v>
      </c>
      <c r="AT127">
        <v>1.82</v>
      </c>
      <c r="AU127">
        <v>6.3545217126973294E-2</v>
      </c>
      <c r="AV127">
        <v>0.7893</v>
      </c>
      <c r="AW127">
        <v>3</v>
      </c>
      <c r="AX127">
        <v>0.05</v>
      </c>
      <c r="AY127">
        <v>1</v>
      </c>
      <c r="AZ127">
        <v>1</v>
      </c>
      <c r="BA127" s="2">
        <f>modelo_tese_H__2[[#This Row],[Vw]]+modelo_tese_H__2[[#This Row],[Vr]]+modelo_tese_H__2[[#This Row],[K]]-modelo_tese_H__2[[#This Row],[E]]</f>
        <v>-814856.88763012004</v>
      </c>
      <c r="BB127" s="2">
        <f>modelo_tese_H__2[[#This Row],[K]]-modelo_tese_H__2[[#This Row],[Coluna1]]</f>
        <v>1742143.250721971</v>
      </c>
      <c r="BC127">
        <f>modelo_tese_H__2[[#This Row],[Coluna2]]/modelo_tese_H__2[[#This Row],[Coluna1]]</f>
        <v>-2.1379745046872145</v>
      </c>
      <c r="BD127" s="8">
        <f>modelo_tese_H__2[[#This Row],[D]]-modelo_tese_H__2[[#This Row],[Dw]]-modelo_tese_H__2[[#This Row],[Dr]]</f>
        <v>5.1222741603851318E-9</v>
      </c>
    </row>
    <row r="128" spans="1:56" x14ac:dyDescent="0.25">
      <c r="A128">
        <v>127</v>
      </c>
      <c r="B128">
        <v>127</v>
      </c>
      <c r="C128">
        <v>232566.60121454901</v>
      </c>
      <c r="D128">
        <v>104233.11914982001</v>
      </c>
      <c r="E128">
        <v>92767.4760433396</v>
      </c>
      <c r="F128">
        <v>12437.814553996001</v>
      </c>
      <c r="G128">
        <v>341523.76712325902</v>
      </c>
      <c r="H128">
        <v>77816.567204761595</v>
      </c>
      <c r="I128">
        <v>183021.85780209699</v>
      </c>
      <c r="J128">
        <v>140204.887250264</v>
      </c>
      <c r="K128">
        <v>876700.67586169601</v>
      </c>
      <c r="L128">
        <v>-78788.738652277403</v>
      </c>
      <c r="M128">
        <v>1016905.56311196</v>
      </c>
      <c r="N128">
        <v>-1496224.8373010999</v>
      </c>
      <c r="O128">
        <v>172486.75107235301</v>
      </c>
      <c r="P128">
        <v>113841.25570775299</v>
      </c>
      <c r="Q128">
        <v>175230.349889342</v>
      </c>
      <c r="R128">
        <v>87615.174944671104</v>
      </c>
      <c r="S128">
        <v>87615.174944671104</v>
      </c>
      <c r="T128">
        <v>84871.576127681896</v>
      </c>
      <c r="U128">
        <v>35326.832715229801</v>
      </c>
      <c r="V128">
        <v>673974.68776674301</v>
      </c>
      <c r="W128">
        <v>110933.837594041</v>
      </c>
      <c r="X128">
        <v>0.27203204264708097</v>
      </c>
      <c r="Y128">
        <v>979295.58740433899</v>
      </c>
      <c r="Z128">
        <v>435529.50536997098</v>
      </c>
      <c r="AA128">
        <v>0.80038969680778704</v>
      </c>
      <c r="AB128">
        <v>509498.00169881899</v>
      </c>
      <c r="AC128">
        <v>296863.11350984999</v>
      </c>
      <c r="AD128">
        <v>407796.95110389101</v>
      </c>
      <c r="AE128">
        <v>-822250.14953435899</v>
      </c>
      <c r="AF128">
        <v>-43461.905937047501</v>
      </c>
      <c r="AG128">
        <v>5.5594999999999999E-2</v>
      </c>
      <c r="AH128">
        <v>-2513130.4004130601</v>
      </c>
      <c r="AI128">
        <v>1109504.19313671</v>
      </c>
      <c r="AJ128">
        <v>0.06</v>
      </c>
      <c r="AK128">
        <v>0.05</v>
      </c>
      <c r="AL128">
        <v>8.8099999999999998E-2</v>
      </c>
      <c r="AM128">
        <v>3.8100000000000002E-2</v>
      </c>
      <c r="AN128">
        <v>0.89</v>
      </c>
      <c r="AO128">
        <v>0.66</v>
      </c>
      <c r="AP128">
        <v>0.42970000000000003</v>
      </c>
      <c r="AQ128">
        <v>0.57030000000000003</v>
      </c>
      <c r="AR128">
        <v>8.9999999999999993E-3</v>
      </c>
      <c r="AS128">
        <v>0.5</v>
      </c>
      <c r="AT128">
        <v>1.82</v>
      </c>
      <c r="AU128">
        <v>6.3545217126973294E-2</v>
      </c>
      <c r="AV128">
        <v>0.7893</v>
      </c>
      <c r="AW128">
        <v>3</v>
      </c>
      <c r="AX128">
        <v>0.05</v>
      </c>
      <c r="AY128">
        <v>1</v>
      </c>
      <c r="AZ128">
        <v>1</v>
      </c>
      <c r="BA128" s="2">
        <f>modelo_tese_H__2[[#This Row],[Vw]]+modelo_tese_H__2[[#This Row],[Vr]]+modelo_tese_H__2[[#This Row],[K]]-modelo_tese_H__2[[#This Row],[E]]</f>
        <v>-859860.12524198205</v>
      </c>
      <c r="BB128" s="2">
        <f>modelo_tese_H__2[[#This Row],[K]]-modelo_tese_H__2[[#This Row],[Coluna1]]</f>
        <v>1839155.7126463209</v>
      </c>
      <c r="BC128">
        <f>modelo_tese_H__2[[#This Row],[Coluna2]]/modelo_tese_H__2[[#This Row],[Coluna1]]</f>
        <v>-2.1389010359431953</v>
      </c>
      <c r="BD128" s="8">
        <f>modelo_tese_H__2[[#This Row],[D]]-modelo_tese_H__2[[#This Row],[Dw]]-modelo_tese_H__2[[#This Row],[Dr]]</f>
        <v>-2.0954757928848267E-9</v>
      </c>
    </row>
    <row r="129" spans="1:56" x14ac:dyDescent="0.25">
      <c r="A129">
        <v>128</v>
      </c>
      <c r="B129">
        <v>128</v>
      </c>
      <c r="C129">
        <v>245578.26973069401</v>
      </c>
      <c r="D129">
        <v>110111.045507791</v>
      </c>
      <c r="E129">
        <v>97998.8305019338</v>
      </c>
      <c r="F129">
        <v>13128.598117404001</v>
      </c>
      <c r="G129">
        <v>360570.792850014</v>
      </c>
      <c r="H129">
        <v>82142.779258510302</v>
      </c>
      <c r="I129">
        <v>193270.20787784801</v>
      </c>
      <c r="J129">
        <v>147991.679163433</v>
      </c>
      <c r="K129">
        <v>925441.15936987603</v>
      </c>
      <c r="L129">
        <v>-83159.162370057296</v>
      </c>
      <c r="M129">
        <v>1073432.83853331</v>
      </c>
      <c r="N129">
        <v>-1579383.99967116</v>
      </c>
      <c r="O129">
        <v>182106.46103536</v>
      </c>
      <c r="P129">
        <v>120190.26428333799</v>
      </c>
      <c r="Q129">
        <v>185034.16185039299</v>
      </c>
      <c r="R129">
        <v>92517.0809251967</v>
      </c>
      <c r="S129">
        <v>92517.0809251967</v>
      </c>
      <c r="T129">
        <v>89589.380110163707</v>
      </c>
      <c r="U129">
        <v>37281.318257317398</v>
      </c>
      <c r="V129">
        <v>711256.00602405996</v>
      </c>
      <c r="W129">
        <v>117151.95941990201</v>
      </c>
      <c r="X129">
        <v>0.27205893473570902</v>
      </c>
      <c r="Y129">
        <v>1034217.99609115</v>
      </c>
      <c r="Z129">
        <v>460164.383864676</v>
      </c>
      <c r="AA129">
        <v>0.80028403636010004</v>
      </c>
      <c r="AB129">
        <v>538074.49857381301</v>
      </c>
      <c r="AC129">
        <v>313460.47216118599</v>
      </c>
      <c r="AD129">
        <v>430612.43158108799</v>
      </c>
      <c r="AE129">
        <v>-868127.99364709901</v>
      </c>
      <c r="AF129">
        <v>-45877.844112739898</v>
      </c>
      <c r="AG129">
        <v>5.5594999999999999E-2</v>
      </c>
      <c r="AH129">
        <v>-2652816.83820447</v>
      </c>
      <c r="AI129">
        <v>1171420.3898887399</v>
      </c>
      <c r="AJ129">
        <v>0.06</v>
      </c>
      <c r="AK129">
        <v>0.05</v>
      </c>
      <c r="AL129">
        <v>8.8099999999999998E-2</v>
      </c>
      <c r="AM129">
        <v>3.8100000000000002E-2</v>
      </c>
      <c r="AN129">
        <v>0.89</v>
      </c>
      <c r="AO129">
        <v>0.66</v>
      </c>
      <c r="AP129">
        <v>0.42970000000000003</v>
      </c>
      <c r="AQ129">
        <v>0.57030000000000003</v>
      </c>
      <c r="AR129">
        <v>8.9999999999999993E-3</v>
      </c>
      <c r="AS129">
        <v>0.5</v>
      </c>
      <c r="AT129">
        <v>1.82</v>
      </c>
      <c r="AU129">
        <v>6.3545217126973294E-2</v>
      </c>
      <c r="AV129">
        <v>0.7893</v>
      </c>
      <c r="AW129">
        <v>3</v>
      </c>
      <c r="AX129">
        <v>0.05</v>
      </c>
      <c r="AY129">
        <v>1</v>
      </c>
      <c r="AZ129">
        <v>1</v>
      </c>
      <c r="BA129" s="2">
        <f>modelo_tese_H__2[[#This Row],[Vw]]+modelo_tese_H__2[[#This Row],[Vr]]+modelo_tese_H__2[[#This Row],[K]]-modelo_tese_H__2[[#This Row],[E]]</f>
        <v>-907342.8360892561</v>
      </c>
      <c r="BB129" s="2">
        <f>modelo_tese_H__2[[#This Row],[K]]-modelo_tese_H__2[[#This Row],[Coluna1]]</f>
        <v>1941560.832180406</v>
      </c>
      <c r="BC129">
        <f>modelo_tese_H__2[[#This Row],[Coluna2]]/modelo_tese_H__2[[#This Row],[Coluna1]]</f>
        <v>-2.1398315553454297</v>
      </c>
      <c r="BD129" s="8">
        <f>modelo_tese_H__2[[#This Row],[D]]-modelo_tese_H__2[[#This Row],[Dw]]-modelo_tese_H__2[[#This Row],[Dr]]</f>
        <v>1.0477378964424133E-9</v>
      </c>
    </row>
    <row r="130" spans="1:56" x14ac:dyDescent="0.25">
      <c r="A130">
        <v>129</v>
      </c>
      <c r="B130">
        <v>129</v>
      </c>
      <c r="C130">
        <v>259317.148526509</v>
      </c>
      <c r="D130">
        <v>116319.637444883</v>
      </c>
      <c r="E130">
        <v>103524.47732594601</v>
      </c>
      <c r="F130">
        <v>13857.752053926301</v>
      </c>
      <c r="G130">
        <v>380679.51840447303</v>
      </c>
      <c r="H130">
        <v>86709.507071387197</v>
      </c>
      <c r="I130">
        <v>204091.73645125999</v>
      </c>
      <c r="J130">
        <v>156210.94824123301</v>
      </c>
      <c r="K130">
        <v>976891.35826927098</v>
      </c>
      <c r="L130">
        <v>-87772.099006376404</v>
      </c>
      <c r="M130">
        <v>1133102.3065104999</v>
      </c>
      <c r="N130">
        <v>-1667156.09867754</v>
      </c>
      <c r="O130">
        <v>192262.38303256201</v>
      </c>
      <c r="P130">
        <v>126893.172801491</v>
      </c>
      <c r="Q130">
        <v>195385.899915555</v>
      </c>
      <c r="R130">
        <v>97692.949957777397</v>
      </c>
      <c r="S130">
        <v>97692.949957777397</v>
      </c>
      <c r="T130">
        <v>94569.433074784596</v>
      </c>
      <c r="U130">
        <v>39344.0209995353</v>
      </c>
      <c r="V130">
        <v>750600.02702359599</v>
      </c>
      <c r="W130">
        <v>123718.13918931301</v>
      </c>
      <c r="X130">
        <v>0.27208557236026298</v>
      </c>
      <c r="Y130">
        <v>1092216.52816222</v>
      </c>
      <c r="Z130">
        <v>486189.573096212</v>
      </c>
      <c r="AA130">
        <v>0.80017902540116204</v>
      </c>
      <c r="AB130">
        <v>568251.64620392595</v>
      </c>
      <c r="AC130">
        <v>330984.90925275098</v>
      </c>
      <c r="AD130">
        <v>454703.04844206403</v>
      </c>
      <c r="AE130">
        <v>-916556.07165394002</v>
      </c>
      <c r="AF130">
        <v>-48428.078006841002</v>
      </c>
      <c r="AG130">
        <v>5.5594999999999999E-2</v>
      </c>
      <c r="AH130">
        <v>-2800258.4051880399</v>
      </c>
      <c r="AI130">
        <v>1236789.6001198101</v>
      </c>
      <c r="AJ130">
        <v>0.06</v>
      </c>
      <c r="AK130">
        <v>0.05</v>
      </c>
      <c r="AL130">
        <v>8.8099999999999998E-2</v>
      </c>
      <c r="AM130">
        <v>3.8100000000000002E-2</v>
      </c>
      <c r="AN130">
        <v>0.89</v>
      </c>
      <c r="AO130">
        <v>0.66</v>
      </c>
      <c r="AP130">
        <v>0.42970000000000003</v>
      </c>
      <c r="AQ130">
        <v>0.57030000000000003</v>
      </c>
      <c r="AR130">
        <v>8.9999999999999993E-3</v>
      </c>
      <c r="AS130">
        <v>0.5</v>
      </c>
      <c r="AT130">
        <v>1.82</v>
      </c>
      <c r="AU130">
        <v>6.3545217126973294E-2</v>
      </c>
      <c r="AV130">
        <v>0.7893</v>
      </c>
      <c r="AW130">
        <v>3</v>
      </c>
      <c r="AX130">
        <v>0.05</v>
      </c>
      <c r="AY130">
        <v>1</v>
      </c>
      <c r="AZ130">
        <v>1</v>
      </c>
      <c r="BA130" s="2">
        <f>modelo_tese_H__2[[#This Row],[Vw]]+modelo_tese_H__2[[#This Row],[Vr]]+modelo_tese_H__2[[#This Row],[K]]-modelo_tese_H__2[[#This Row],[E]]</f>
        <v>-957441.85000222176</v>
      </c>
      <c r="BB130" s="2">
        <f>modelo_tese_H__2[[#This Row],[K]]-modelo_tese_H__2[[#This Row],[Coluna1]]</f>
        <v>2049658.3781644418</v>
      </c>
      <c r="BC130">
        <f>modelo_tese_H__2[[#This Row],[Coluna2]]/modelo_tese_H__2[[#This Row],[Coluna1]]</f>
        <v>-2.1407653928640005</v>
      </c>
      <c r="BD130" s="8">
        <f>modelo_tese_H__2[[#This Row],[D]]-modelo_tese_H__2[[#This Row],[Dw]]-modelo_tese_H__2[[#This Row],[Dr]]</f>
        <v>3.9581209421157837E-9</v>
      </c>
    </row>
    <row r="131" spans="1:56" x14ac:dyDescent="0.25">
      <c r="A131">
        <v>130</v>
      </c>
      <c r="B131">
        <v>130</v>
      </c>
      <c r="C131">
        <v>273823.84019805997</v>
      </c>
      <c r="D131">
        <v>122877.453980454</v>
      </c>
      <c r="E131">
        <v>109360.934042604</v>
      </c>
      <c r="F131">
        <v>14627.4080588179</v>
      </c>
      <c r="G131">
        <v>401909.09521896101</v>
      </c>
      <c r="H131">
        <v>91530.122117020903</v>
      </c>
      <c r="I131">
        <v>215518.464218443</v>
      </c>
      <c r="J131">
        <v>164886.71917205999</v>
      </c>
      <c r="K131">
        <v>1031201.91963623</v>
      </c>
      <c r="L131">
        <v>-92641.010237988899</v>
      </c>
      <c r="M131">
        <v>1196088.63880829</v>
      </c>
      <c r="N131">
        <v>-1759797.1089155299</v>
      </c>
      <c r="O131">
        <v>202984.39152472801</v>
      </c>
      <c r="P131">
        <v>133969.69840632001</v>
      </c>
      <c r="Q131">
        <v>206316.156642305</v>
      </c>
      <c r="R131">
        <v>103158.07832115301</v>
      </c>
      <c r="S131">
        <v>103158.07832115301</v>
      </c>
      <c r="T131">
        <v>99826.313203575395</v>
      </c>
      <c r="U131">
        <v>41520.937223957801</v>
      </c>
      <c r="V131">
        <v>792120.96424755396</v>
      </c>
      <c r="W131">
        <v>130651.83421560199</v>
      </c>
      <c r="X131">
        <v>0.27211195708622299</v>
      </c>
      <c r="Y131">
        <v>1153463.22594609</v>
      </c>
      <c r="Z131">
        <v>513683.32899066102</v>
      </c>
      <c r="AA131">
        <v>0.80007468456810804</v>
      </c>
      <c r="AB131">
        <v>600118.97151770501</v>
      </c>
      <c r="AC131">
        <v>349488.16262476298</v>
      </c>
      <c r="AD131">
        <v>480139.996840365</v>
      </c>
      <c r="AE131">
        <v>-967676.14466797095</v>
      </c>
      <c r="AF131">
        <v>-51120.073014030997</v>
      </c>
      <c r="AG131">
        <v>5.5594999999999999E-2</v>
      </c>
      <c r="AH131">
        <v>-2955885.7477238202</v>
      </c>
      <c r="AI131">
        <v>1305804.29323822</v>
      </c>
      <c r="AJ131">
        <v>0.06</v>
      </c>
      <c r="AK131">
        <v>0.05</v>
      </c>
      <c r="AL131">
        <v>8.8099999999999998E-2</v>
      </c>
      <c r="AM131">
        <v>3.8100000000000002E-2</v>
      </c>
      <c r="AN131">
        <v>0.89</v>
      </c>
      <c r="AO131">
        <v>0.66</v>
      </c>
      <c r="AP131">
        <v>0.42970000000000003</v>
      </c>
      <c r="AQ131">
        <v>0.57030000000000003</v>
      </c>
      <c r="AR131">
        <v>8.9999999999999993E-3</v>
      </c>
      <c r="AS131">
        <v>0.5</v>
      </c>
      <c r="AT131">
        <v>1.82</v>
      </c>
      <c r="AU131">
        <v>6.3545217126973294E-2</v>
      </c>
      <c r="AV131">
        <v>0.7893</v>
      </c>
      <c r="AW131">
        <v>3</v>
      </c>
      <c r="AX131">
        <v>0.05</v>
      </c>
      <c r="AY131">
        <v>1</v>
      </c>
      <c r="AZ131">
        <v>1</v>
      </c>
      <c r="BA131" s="2">
        <f>modelo_tese_H__2[[#This Row],[Vw]]+modelo_tese_H__2[[#This Row],[Vr]]+modelo_tese_H__2[[#This Row],[K]]-modelo_tese_H__2[[#This Row],[E]]</f>
        <v>-1010301.5575301712</v>
      </c>
      <c r="BB131" s="2">
        <f>modelo_tese_H__2[[#This Row],[K]]-modelo_tese_H__2[[#This Row],[Coluna1]]</f>
        <v>2163764.7834762614</v>
      </c>
      <c r="BC131">
        <f>modelo_tese_H__2[[#This Row],[Coluna2]]/modelo_tese_H__2[[#This Row],[Coluna1]]</f>
        <v>-2.14170191795596</v>
      </c>
      <c r="BD131" s="8">
        <f>modelo_tese_H__2[[#This Row],[D]]-modelo_tese_H__2[[#This Row],[Dw]]-modelo_tese_H__2[[#This Row],[Dr]]</f>
        <v>5.005858838558197E-9</v>
      </c>
    </row>
    <row r="132" spans="1:56" x14ac:dyDescent="0.25">
      <c r="A132">
        <v>131</v>
      </c>
      <c r="B132">
        <v>131</v>
      </c>
      <c r="C132">
        <v>289141.212529229</v>
      </c>
      <c r="D132">
        <v>129804.09391912501</v>
      </c>
      <c r="E132">
        <v>115525.64358802199</v>
      </c>
      <c r="F132">
        <v>15439.8162699357</v>
      </c>
      <c r="G132">
        <v>424321.96898673603</v>
      </c>
      <c r="H132">
        <v>96618.739256116707</v>
      </c>
      <c r="I132">
        <v>227584.199114074</v>
      </c>
      <c r="J132">
        <v>174044.35144154</v>
      </c>
      <c r="K132">
        <v>1088531.8657542099</v>
      </c>
      <c r="L132">
        <v>-97780.105194948701</v>
      </c>
      <c r="M132">
        <v>1262576.21719575</v>
      </c>
      <c r="N132">
        <v>-1857577.2141104699</v>
      </c>
      <c r="O132">
        <v>214304.02474077599</v>
      </c>
      <c r="P132">
        <v>141440.65632891201</v>
      </c>
      <c r="Q132">
        <v>217857.23132353101</v>
      </c>
      <c r="R132">
        <v>108928.615661765</v>
      </c>
      <c r="S132">
        <v>108928.615661765</v>
      </c>
      <c r="T132">
        <v>105375.40907901101</v>
      </c>
      <c r="U132">
        <v>43818.395663855597</v>
      </c>
      <c r="V132">
        <v>835939.35991140897</v>
      </c>
      <c r="W132">
        <v>137973.58840977401</v>
      </c>
      <c r="X132">
        <v>0.27213809052606402</v>
      </c>
      <c r="Y132">
        <v>1218139.74321514</v>
      </c>
      <c r="Z132">
        <v>542728.30173866998</v>
      </c>
      <c r="AA132">
        <v>0.79997103250099699</v>
      </c>
      <c r="AB132">
        <v>633771.00326708099</v>
      </c>
      <c r="AC132">
        <v>369024.85544298601</v>
      </c>
      <c r="AD132">
        <v>506998.44385276001</v>
      </c>
      <c r="AE132">
        <v>-1021637.85419906</v>
      </c>
      <c r="AF132">
        <v>-53961.709531093002</v>
      </c>
      <c r="AG132">
        <v>5.5594999999999999E-2</v>
      </c>
      <c r="AH132">
        <v>-3120153.4313062201</v>
      </c>
      <c r="AI132">
        <v>1378667.66165008</v>
      </c>
      <c r="AJ132">
        <v>0.06</v>
      </c>
      <c r="AK132">
        <v>0.05</v>
      </c>
      <c r="AL132">
        <v>8.8099999999999998E-2</v>
      </c>
      <c r="AM132">
        <v>3.8100000000000002E-2</v>
      </c>
      <c r="AN132">
        <v>0.89</v>
      </c>
      <c r="AO132">
        <v>0.66</v>
      </c>
      <c r="AP132">
        <v>0.42970000000000003</v>
      </c>
      <c r="AQ132">
        <v>0.57030000000000003</v>
      </c>
      <c r="AR132">
        <v>8.9999999999999993E-3</v>
      </c>
      <c r="AS132">
        <v>0.5</v>
      </c>
      <c r="AT132">
        <v>1.82</v>
      </c>
      <c r="AU132">
        <v>6.3545217126973294E-2</v>
      </c>
      <c r="AV132">
        <v>0.7893</v>
      </c>
      <c r="AW132">
        <v>3</v>
      </c>
      <c r="AX132">
        <v>0.05</v>
      </c>
      <c r="AY132">
        <v>1</v>
      </c>
      <c r="AZ132">
        <v>1</v>
      </c>
      <c r="BA132" s="2">
        <f>modelo_tese_H__2[[#This Row],[Vw]]+modelo_tese_H__2[[#This Row],[Vr]]+modelo_tese_H__2[[#This Row],[K]]-modelo_tese_H__2[[#This Row],[E]]</f>
        <v>-1066074.32817967</v>
      </c>
      <c r="BB132" s="2">
        <f>modelo_tese_H__2[[#This Row],[K]]-modelo_tese_H__2[[#This Row],[Coluna1]]</f>
        <v>2284214.07139481</v>
      </c>
      <c r="BC132">
        <f>modelo_tese_H__2[[#This Row],[Coluna2]]/modelo_tese_H__2[[#This Row],[Coluna1]]</f>
        <v>-2.1426405373583313</v>
      </c>
      <c r="BD132" s="8">
        <f>modelo_tese_H__2[[#This Row],[D]]-modelo_tese_H__2[[#This Row],[Dw]]-modelo_tese_H__2[[#This Row],[Dr]]</f>
        <v>9.3132257461547852E-10</v>
      </c>
    </row>
    <row r="133" spans="1:56" x14ac:dyDescent="0.25">
      <c r="A133">
        <v>132</v>
      </c>
      <c r="B133">
        <v>132</v>
      </c>
      <c r="C133">
        <v>305314.52478166099</v>
      </c>
      <c r="D133">
        <v>137120.25401939201</v>
      </c>
      <c r="E133">
        <v>122037.026077259</v>
      </c>
      <c r="F133">
        <v>16297.351849442801</v>
      </c>
      <c r="G133">
        <v>447984.06306611397</v>
      </c>
      <c r="H133">
        <v>101990.258065061</v>
      </c>
      <c r="I133">
        <v>240324.63599176201</v>
      </c>
      <c r="J133">
        <v>183710.61350106</v>
      </c>
      <c r="K133">
        <v>1149049.0597340299</v>
      </c>
      <c r="L133">
        <v>-103204.38197237</v>
      </c>
      <c r="M133">
        <v>1332759.67323509</v>
      </c>
      <c r="N133">
        <v>-1960781.5960828401</v>
      </c>
      <c r="O133">
        <v>226254.57730611801</v>
      </c>
      <c r="P133">
        <v>149328.02102203801</v>
      </c>
      <c r="Q133">
        <v>230043.225142346</v>
      </c>
      <c r="R133">
        <v>115021.612571173</v>
      </c>
      <c r="S133">
        <v>115021.612571173</v>
      </c>
      <c r="T133">
        <v>111232.964734945</v>
      </c>
      <c r="U133">
        <v>46243.075945046701</v>
      </c>
      <c r="V133">
        <v>882182.43585645605</v>
      </c>
      <c r="W133">
        <v>145705.092910206</v>
      </c>
      <c r="X133">
        <v>0.27216397433471601</v>
      </c>
      <c r="Y133">
        <v>1286437.8816517401</v>
      </c>
      <c r="Z133">
        <v>573411.78207770304</v>
      </c>
      <c r="AA133">
        <v>0.79986808598002501</v>
      </c>
      <c r="AB133">
        <v>669307.55121710896</v>
      </c>
      <c r="AC133">
        <v>389652.6570138</v>
      </c>
      <c r="AD133">
        <v>535357.74992400606</v>
      </c>
      <c r="AE133">
        <v>-1078599.16022639</v>
      </c>
      <c r="AF133">
        <v>-56961.306027323502</v>
      </c>
      <c r="AG133">
        <v>5.5594999999999999E-2</v>
      </c>
      <c r="AH133">
        <v>-3293541.2693179399</v>
      </c>
      <c r="AI133">
        <v>1455594.21793416</v>
      </c>
      <c r="AJ133">
        <v>0.06</v>
      </c>
      <c r="AK133">
        <v>0.05</v>
      </c>
      <c r="AL133">
        <v>8.8099999999999998E-2</v>
      </c>
      <c r="AM133">
        <v>3.8100000000000002E-2</v>
      </c>
      <c r="AN133">
        <v>0.89</v>
      </c>
      <c r="AO133">
        <v>0.66</v>
      </c>
      <c r="AP133">
        <v>0.42970000000000003</v>
      </c>
      <c r="AQ133">
        <v>0.57030000000000003</v>
      </c>
      <c r="AR133">
        <v>8.9999999999999993E-3</v>
      </c>
      <c r="AS133">
        <v>0.5</v>
      </c>
      <c r="AT133">
        <v>1.82</v>
      </c>
      <c r="AU133">
        <v>6.3545217126973294E-2</v>
      </c>
      <c r="AV133">
        <v>0.7893</v>
      </c>
      <c r="AW133">
        <v>3</v>
      </c>
      <c r="AX133">
        <v>0.05</v>
      </c>
      <c r="AY133">
        <v>1</v>
      </c>
      <c r="AZ133">
        <v>1</v>
      </c>
      <c r="BA133" s="2">
        <f>modelo_tese_H__2[[#This Row],[Vw]]+modelo_tese_H__2[[#This Row],[Vr]]+modelo_tese_H__2[[#This Row],[K]]-modelo_tese_H__2[[#This Row],[E]]</f>
        <v>-1124920.951809743</v>
      </c>
      <c r="BB133" s="2">
        <f>modelo_tese_H__2[[#This Row],[K]]-modelo_tese_H__2[[#This Row],[Coluna1]]</f>
        <v>2411358.833461483</v>
      </c>
      <c r="BC133">
        <f>modelo_tese_H__2[[#This Row],[Coluna2]]/modelo_tese_H__2[[#This Row],[Coluna1]]</f>
        <v>-2.1435806930097203</v>
      </c>
      <c r="BD133" s="8">
        <f>modelo_tese_H__2[[#This Row],[D]]-modelo_tese_H__2[[#This Row],[Dw]]-modelo_tese_H__2[[#This Row],[Dr]]</f>
        <v>-5.9371814131736755E-9</v>
      </c>
    </row>
    <row r="134" spans="1:56" x14ac:dyDescent="0.25">
      <c r="A134">
        <v>133</v>
      </c>
      <c r="B134">
        <v>133</v>
      </c>
      <c r="C134">
        <v>322391.56102192</v>
      </c>
      <c r="D134">
        <v>144847.79041243799</v>
      </c>
      <c r="E134">
        <v>128914.53346707</v>
      </c>
      <c r="F134">
        <v>17202.521931279902</v>
      </c>
      <c r="G134">
        <v>472964.972092668</v>
      </c>
      <c r="H134">
        <v>107660.406462188</v>
      </c>
      <c r="I134">
        <v>253777.46186053701</v>
      </c>
      <c r="J134">
        <v>193913.76105795</v>
      </c>
      <c r="K134">
        <v>1212930.69702035</v>
      </c>
      <c r="L134">
        <v>-108929.671448099</v>
      </c>
      <c r="M134">
        <v>1406844.4580783001</v>
      </c>
      <c r="N134">
        <v>-2069711.26753094</v>
      </c>
      <c r="O134">
        <v>238871.1980266</v>
      </c>
      <c r="P134">
        <v>157654.990697556</v>
      </c>
      <c r="Q134">
        <v>242910.14162917601</v>
      </c>
      <c r="R134">
        <v>121455.07081458801</v>
      </c>
      <c r="S134">
        <v>121455.07081458801</v>
      </c>
      <c r="T134">
        <v>117416.127212012</v>
      </c>
      <c r="U134">
        <v>48802.028050629</v>
      </c>
      <c r="V134">
        <v>930984.46390708501</v>
      </c>
      <c r="W134">
        <v>153869.25009300301</v>
      </c>
      <c r="X134">
        <v>0.27218961020532001</v>
      </c>
      <c r="Y134">
        <v>1358560.1572348201</v>
      </c>
      <c r="Z134">
        <v>605825.96135611797</v>
      </c>
      <c r="AA134">
        <v>0.79976586005380002</v>
      </c>
      <c r="AB134">
        <v>706834.00090755103</v>
      </c>
      <c r="AC134">
        <v>411432.45255809301</v>
      </c>
      <c r="AD134">
        <v>565301.70265109604</v>
      </c>
      <c r="AE134">
        <v>-1138726.80362386</v>
      </c>
      <c r="AF134">
        <v>-60127.643397470201</v>
      </c>
      <c r="AG134">
        <v>5.5594999999999999E-2</v>
      </c>
      <c r="AH134">
        <v>-3476555.7256092499</v>
      </c>
      <c r="AI134">
        <v>1536810.4252632</v>
      </c>
      <c r="AJ134">
        <v>0.06</v>
      </c>
      <c r="AK134">
        <v>0.05</v>
      </c>
      <c r="AL134">
        <v>8.8099999999999998E-2</v>
      </c>
      <c r="AM134">
        <v>3.8100000000000002E-2</v>
      </c>
      <c r="AN134">
        <v>0.89</v>
      </c>
      <c r="AO134">
        <v>0.66</v>
      </c>
      <c r="AP134">
        <v>0.42970000000000003</v>
      </c>
      <c r="AQ134">
        <v>0.57030000000000003</v>
      </c>
      <c r="AR134">
        <v>8.9999999999999993E-3</v>
      </c>
      <c r="AS134">
        <v>0.5</v>
      </c>
      <c r="AT134">
        <v>1.82</v>
      </c>
      <c r="AU134">
        <v>6.3545217126973294E-2</v>
      </c>
      <c r="AV134">
        <v>0.7893</v>
      </c>
      <c r="AW134">
        <v>3</v>
      </c>
      <c r="AX134">
        <v>0.05</v>
      </c>
      <c r="AY134">
        <v>1</v>
      </c>
      <c r="AZ134">
        <v>1</v>
      </c>
      <c r="BA134" s="2">
        <f>modelo_tese_H__2[[#This Row],[Vw]]+modelo_tese_H__2[[#This Row],[Vr]]+modelo_tese_H__2[[#This Row],[K]]-modelo_tese_H__2[[#This Row],[E]]</f>
        <v>-1187011.1044673477</v>
      </c>
      <c r="BB134" s="2">
        <f>modelo_tese_H__2[[#This Row],[K]]-modelo_tese_H__2[[#This Row],[Coluna1]]</f>
        <v>2545571.2617021678</v>
      </c>
      <c r="BC134">
        <f>modelo_tese_H__2[[#This Row],[Coluna2]]/modelo_tese_H__2[[#This Row],[Coluna1]]</f>
        <v>-2.1445218600919933</v>
      </c>
      <c r="BD134" s="8">
        <f>modelo_tese_H__2[[#This Row],[D]]-modelo_tese_H__2[[#This Row],[Dw]]-modelo_tese_H__2[[#This Row],[Dr]]</f>
        <v>-5.005858838558197E-9</v>
      </c>
    </row>
    <row r="135" spans="1:56" x14ac:dyDescent="0.25">
      <c r="A135">
        <v>134</v>
      </c>
      <c r="B135">
        <v>134</v>
      </c>
      <c r="C135">
        <v>340422.77087781602</v>
      </c>
      <c r="D135">
        <v>153009.78345262501</v>
      </c>
      <c r="E135">
        <v>136178.70727283601</v>
      </c>
      <c r="F135">
        <v>18157.9729547362</v>
      </c>
      <c r="G135">
        <v>499338.166367559</v>
      </c>
      <c r="H135">
        <v>113645.786759453</v>
      </c>
      <c r="I135">
        <v>267982.46698702499</v>
      </c>
      <c r="J135">
        <v>204683.61971637799</v>
      </c>
      <c r="K135">
        <v>1280363.82422333</v>
      </c>
      <c r="L135">
        <v>-114972.6835344</v>
      </c>
      <c r="M135">
        <v>1485047.44393971</v>
      </c>
      <c r="N135">
        <v>-2184683.9510653401</v>
      </c>
      <c r="O135">
        <v>252190.99311492901</v>
      </c>
      <c r="P135">
        <v>166446.055455853</v>
      </c>
      <c r="Q135">
        <v>256495.99271646101</v>
      </c>
      <c r="R135">
        <v>128247.99635823</v>
      </c>
      <c r="S135">
        <v>128247.99635823</v>
      </c>
      <c r="T135">
        <v>123942.99675669899</v>
      </c>
      <c r="U135">
        <v>51502.6928659076</v>
      </c>
      <c r="V135">
        <v>982487.15677299199</v>
      </c>
      <c r="W135">
        <v>162490.24115139901</v>
      </c>
      <c r="X135">
        <v>0.27221499986528402</v>
      </c>
      <c r="Y135">
        <v>1434720.3982146799</v>
      </c>
      <c r="Z135">
        <v>640068.20614928601</v>
      </c>
      <c r="AA135">
        <v>0.79966436815929998</v>
      </c>
      <c r="AB135">
        <v>746461.62485429796</v>
      </c>
      <c r="AC135">
        <v>434428.52244287799</v>
      </c>
      <c r="AD135">
        <v>596918.76359427697</v>
      </c>
      <c r="AE135">
        <v>-1202196.7942923501</v>
      </c>
      <c r="AF135">
        <v>-63469.990668492799</v>
      </c>
      <c r="AG135">
        <v>5.5594999999999999E-2</v>
      </c>
      <c r="AH135">
        <v>-3669731.3950050501</v>
      </c>
      <c r="AI135">
        <v>1622555.3629222801</v>
      </c>
      <c r="AJ135">
        <v>0.06</v>
      </c>
      <c r="AK135">
        <v>0.05</v>
      </c>
      <c r="AL135">
        <v>8.8099999999999998E-2</v>
      </c>
      <c r="AM135">
        <v>3.8100000000000002E-2</v>
      </c>
      <c r="AN135">
        <v>0.89</v>
      </c>
      <c r="AO135">
        <v>0.66</v>
      </c>
      <c r="AP135">
        <v>0.42970000000000003</v>
      </c>
      <c r="AQ135">
        <v>0.57030000000000003</v>
      </c>
      <c r="AR135">
        <v>8.9999999999999993E-3</v>
      </c>
      <c r="AS135">
        <v>0.5</v>
      </c>
      <c r="AT135">
        <v>1.82</v>
      </c>
      <c r="AU135">
        <v>6.3545217126973294E-2</v>
      </c>
      <c r="AV135">
        <v>0.7893</v>
      </c>
      <c r="AW135">
        <v>3</v>
      </c>
      <c r="AX135">
        <v>0.05</v>
      </c>
      <c r="AY135">
        <v>1</v>
      </c>
      <c r="AZ135">
        <v>1</v>
      </c>
      <c r="BA135" s="2">
        <f>modelo_tese_H__2[[#This Row],[Vw]]+modelo_tese_H__2[[#This Row],[Vr]]+modelo_tese_H__2[[#This Row],[K]]-modelo_tese_H__2[[#This Row],[E]]</f>
        <v>-1252523.840017376</v>
      </c>
      <c r="BB135" s="2">
        <f>modelo_tese_H__2[[#This Row],[K]]-modelo_tese_H__2[[#This Row],[Coluna1]]</f>
        <v>2687244.2382320557</v>
      </c>
      <c r="BC135">
        <f>modelo_tese_H__2[[#This Row],[Coluna2]]/modelo_tese_H__2[[#This Row],[Coluna1]]</f>
        <v>-2.1454635451847177</v>
      </c>
      <c r="BD135" s="8">
        <f>modelo_tese_H__2[[#This Row],[D]]-modelo_tese_H__2[[#This Row],[Dw]]-modelo_tese_H__2[[#This Row],[Dr]]</f>
        <v>-1.9790604710578918E-9</v>
      </c>
    </row>
    <row r="136" spans="1:56" x14ac:dyDescent="0.25">
      <c r="A136">
        <v>135</v>
      </c>
      <c r="B136">
        <v>135</v>
      </c>
      <c r="C136">
        <v>359461.41813767399</v>
      </c>
      <c r="D136">
        <v>161630.60619117599</v>
      </c>
      <c r="E136">
        <v>143851.23951014699</v>
      </c>
      <c r="F136">
        <v>19166.498405574799</v>
      </c>
      <c r="G136">
        <v>527181.20762164297</v>
      </c>
      <c r="H136">
        <v>119963.924274345</v>
      </c>
      <c r="I136">
        <v>282981.66219006601</v>
      </c>
      <c r="J136">
        <v>216051.67221075899</v>
      </c>
      <c r="K136">
        <v>1351545.8867947699</v>
      </c>
      <c r="L136">
        <v>-121351.05599889001</v>
      </c>
      <c r="M136">
        <v>1567597.5590055301</v>
      </c>
      <c r="N136">
        <v>-2306035.0070642298</v>
      </c>
      <c r="O136">
        <v>266253.13516244601</v>
      </c>
      <c r="P136">
        <v>175727.06920721399</v>
      </c>
      <c r="Q136">
        <v>270840.91070271499</v>
      </c>
      <c r="R136">
        <v>135420.45535135799</v>
      </c>
      <c r="S136">
        <v>135420.45535135799</v>
      </c>
      <c r="T136">
        <v>130832.679811088</v>
      </c>
      <c r="U136">
        <v>54352.923863481199</v>
      </c>
      <c r="V136">
        <v>1036840.08063647</v>
      </c>
      <c r="W136">
        <v>171593.59744310801</v>
      </c>
      <c r="X136">
        <v>0.27224014507260902</v>
      </c>
      <c r="Y136">
        <v>1515144.3764367399</v>
      </c>
      <c r="Z136">
        <v>676241.34824103699</v>
      </c>
      <c r="AA136">
        <v>0.79956362223398003</v>
      </c>
      <c r="AB136">
        <v>788307.91110696702</v>
      </c>
      <c r="AC136">
        <v>458708.73139728099</v>
      </c>
      <c r="AD136">
        <v>630302.32884038903</v>
      </c>
      <c r="AE136">
        <v>-1269194.9264277599</v>
      </c>
      <c r="AF136">
        <v>-66998.132135408901</v>
      </c>
      <c r="AG136">
        <v>5.5594999999999999E-2</v>
      </c>
      <c r="AH136">
        <v>-3873632.5660697599</v>
      </c>
      <c r="AI136">
        <v>1713081.4288775099</v>
      </c>
      <c r="AJ136">
        <v>0.06</v>
      </c>
      <c r="AK136">
        <v>0.05</v>
      </c>
      <c r="AL136">
        <v>8.8099999999999998E-2</v>
      </c>
      <c r="AM136">
        <v>3.8100000000000002E-2</v>
      </c>
      <c r="AN136">
        <v>0.89</v>
      </c>
      <c r="AO136">
        <v>0.66</v>
      </c>
      <c r="AP136">
        <v>0.42970000000000003</v>
      </c>
      <c r="AQ136">
        <v>0.57030000000000003</v>
      </c>
      <c r="AR136">
        <v>8.9999999999999993E-3</v>
      </c>
      <c r="AS136">
        <v>0.5</v>
      </c>
      <c r="AT136">
        <v>1.82</v>
      </c>
      <c r="AU136">
        <v>6.3545217126973294E-2</v>
      </c>
      <c r="AV136">
        <v>0.7893</v>
      </c>
      <c r="AW136">
        <v>3</v>
      </c>
      <c r="AX136">
        <v>0.05</v>
      </c>
      <c r="AY136">
        <v>1</v>
      </c>
      <c r="AZ136">
        <v>1</v>
      </c>
      <c r="BA136" s="2">
        <f>modelo_tese_H__2[[#This Row],[Vw]]+modelo_tese_H__2[[#This Row],[Vr]]+modelo_tese_H__2[[#This Row],[K]]-modelo_tese_H__2[[#This Row],[E]]</f>
        <v>-1321648.1089965473</v>
      </c>
      <c r="BB136" s="2">
        <f>modelo_tese_H__2[[#This Row],[K]]-modelo_tese_H__2[[#This Row],[Coluna1]]</f>
        <v>2836792.485433287</v>
      </c>
      <c r="BC136">
        <f>modelo_tese_H__2[[#This Row],[Coluna2]]/modelo_tese_H__2[[#This Row],[Coluna1]]</f>
        <v>-2.1464052845254726</v>
      </c>
      <c r="BD136" s="8">
        <f>modelo_tese_H__2[[#This Row],[D]]-modelo_tese_H__2[[#This Row],[Dw]]-modelo_tese_H__2[[#This Row],[Dr]]</f>
        <v>0</v>
      </c>
    </row>
    <row r="137" spans="1:56" x14ac:dyDescent="0.25">
      <c r="A137">
        <v>136</v>
      </c>
      <c r="B137">
        <v>136</v>
      </c>
      <c r="C137">
        <v>379563.73762937699</v>
      </c>
      <c r="D137">
        <v>170735.99667531601</v>
      </c>
      <c r="E137">
        <v>151955.037041031</v>
      </c>
      <c r="F137">
        <v>20231.0469873662</v>
      </c>
      <c r="G137">
        <v>556575.97678835504</v>
      </c>
      <c r="H137">
        <v>126633.318644377</v>
      </c>
      <c r="I137">
        <v>298819.40267277398</v>
      </c>
      <c r="J137">
        <v>228051.150486895</v>
      </c>
      <c r="K137">
        <v>1426685.3071522601</v>
      </c>
      <c r="L137">
        <v>-128083.405997458</v>
      </c>
      <c r="M137">
        <v>1654736.4576391601</v>
      </c>
      <c r="N137">
        <v>-2434118.4130616901</v>
      </c>
      <c r="O137">
        <v>281098.97817593702</v>
      </c>
      <c r="P137">
        <v>185525.325596118</v>
      </c>
      <c r="Q137">
        <v>285987.26645509998</v>
      </c>
      <c r="R137">
        <v>142993.63322754999</v>
      </c>
      <c r="S137">
        <v>142993.63322754999</v>
      </c>
      <c r="T137">
        <v>138105.34494838701</v>
      </c>
      <c r="U137">
        <v>57361.009991783401</v>
      </c>
      <c r="V137">
        <v>1094201.09062826</v>
      </c>
      <c r="W137">
        <v>181206.27581558499</v>
      </c>
      <c r="X137">
        <v>0.272265047612471</v>
      </c>
      <c r="Y137">
        <v>1600070.4738729401</v>
      </c>
      <c r="Z137">
        <v>714453.99082907196</v>
      </c>
      <c r="AA137">
        <v>0.79946363282055499</v>
      </c>
      <c r="AB137">
        <v>832496.91013007599</v>
      </c>
      <c r="AC137">
        <v>484344.72826889198</v>
      </c>
      <c r="AD137">
        <v>665551.00408447697</v>
      </c>
      <c r="AE137">
        <v>-1339917.32243343</v>
      </c>
      <c r="AF137">
        <v>-70722.396005674993</v>
      </c>
      <c r="AG137">
        <v>5.5594999999999999E-2</v>
      </c>
      <c r="AH137">
        <v>-4088854.8707008502</v>
      </c>
      <c r="AI137">
        <v>1808655.0814573299</v>
      </c>
      <c r="AJ137">
        <v>0.06</v>
      </c>
      <c r="AK137">
        <v>0.05</v>
      </c>
      <c r="AL137">
        <v>8.8099999999999998E-2</v>
      </c>
      <c r="AM137">
        <v>3.8100000000000002E-2</v>
      </c>
      <c r="AN137">
        <v>0.89</v>
      </c>
      <c r="AO137">
        <v>0.66</v>
      </c>
      <c r="AP137">
        <v>0.42970000000000003</v>
      </c>
      <c r="AQ137">
        <v>0.57030000000000003</v>
      </c>
      <c r="AR137">
        <v>8.9999999999999993E-3</v>
      </c>
      <c r="AS137">
        <v>0.5</v>
      </c>
      <c r="AT137">
        <v>1.82</v>
      </c>
      <c r="AU137">
        <v>6.3545217126973294E-2</v>
      </c>
      <c r="AV137">
        <v>0.7893</v>
      </c>
      <c r="AW137">
        <v>3</v>
      </c>
      <c r="AX137">
        <v>0.05</v>
      </c>
      <c r="AY137">
        <v>1</v>
      </c>
      <c r="AZ137">
        <v>1</v>
      </c>
      <c r="BA137" s="2">
        <f>modelo_tese_H__2[[#This Row],[Vw]]+modelo_tese_H__2[[#This Row],[Vr]]+modelo_tese_H__2[[#This Row],[K]]-modelo_tese_H__2[[#This Row],[E]]</f>
        <v>-1394583.3061996521</v>
      </c>
      <c r="BB137" s="2">
        <f>modelo_tese_H__2[[#This Row],[K]]-modelo_tese_H__2[[#This Row],[Coluna1]]</f>
        <v>2994653.7800725922</v>
      </c>
      <c r="BC137">
        <f>modelo_tese_H__2[[#This Row],[Coluna2]]/modelo_tese_H__2[[#This Row],[Coluna1]]</f>
        <v>-2.1473466423696528</v>
      </c>
      <c r="BD137" s="8">
        <f>modelo_tese_H__2[[#This Row],[D]]-modelo_tese_H__2[[#This Row],[Dw]]-modelo_tese_H__2[[#This Row],[Dr]]</f>
        <v>0</v>
      </c>
    </row>
    <row r="138" spans="1:56" x14ac:dyDescent="0.25">
      <c r="A138">
        <v>137</v>
      </c>
      <c r="B138">
        <v>137</v>
      </c>
      <c r="C138">
        <v>400789.10084033501</v>
      </c>
      <c r="D138">
        <v>180353.13428636501</v>
      </c>
      <c r="E138">
        <v>160514.289514865</v>
      </c>
      <c r="F138">
        <v>21354.731246938401</v>
      </c>
      <c r="G138">
        <v>587608.91445363197</v>
      </c>
      <c r="H138">
        <v>133673.49799441101</v>
      </c>
      <c r="I138">
        <v>315542.51875621401</v>
      </c>
      <c r="J138">
        <v>240717.132900283</v>
      </c>
      <c r="K138">
        <v>1506002.09494417</v>
      </c>
      <c r="L138">
        <v>-135189.384469849</v>
      </c>
      <c r="M138">
        <v>1746719.2278444599</v>
      </c>
      <c r="N138">
        <v>-2569307.79753154</v>
      </c>
      <c r="O138">
        <v>296772.17901698599</v>
      </c>
      <c r="P138">
        <v>195869.63815121099</v>
      </c>
      <c r="Q138">
        <v>301979.79419795203</v>
      </c>
      <c r="R138">
        <v>150989.89709897601</v>
      </c>
      <c r="S138">
        <v>150989.89709897601</v>
      </c>
      <c r="T138">
        <v>145782.28191801001</v>
      </c>
      <c r="U138">
        <v>60535.699833888801</v>
      </c>
      <c r="V138">
        <v>1154736.79046215</v>
      </c>
      <c r="W138">
        <v>191356.73813086201</v>
      </c>
      <c r="X138">
        <v>0.27228970929403501</v>
      </c>
      <c r="Y138">
        <v>1689750.3863230899</v>
      </c>
      <c r="Z138">
        <v>754820.83186095802</v>
      </c>
      <c r="AA138">
        <v>0.79936440916492402</v>
      </c>
      <c r="AB138">
        <v>879159.60102908697</v>
      </c>
      <c r="AC138">
        <v>511412.15690742497</v>
      </c>
      <c r="AD138">
        <v>702768.89503828704</v>
      </c>
      <c r="AE138">
        <v>-1414571.00706939</v>
      </c>
      <c r="AF138">
        <v>-74653.684635960395</v>
      </c>
      <c r="AG138">
        <v>5.5594999999999999E-2</v>
      </c>
      <c r="AH138">
        <v>-4316027.0253760004</v>
      </c>
      <c r="AI138">
        <v>1909557.6223231</v>
      </c>
      <c r="AJ138">
        <v>0.06</v>
      </c>
      <c r="AK138">
        <v>0.05</v>
      </c>
      <c r="AL138">
        <v>8.8099999999999998E-2</v>
      </c>
      <c r="AM138">
        <v>3.8100000000000002E-2</v>
      </c>
      <c r="AN138">
        <v>0.89</v>
      </c>
      <c r="AO138">
        <v>0.66</v>
      </c>
      <c r="AP138">
        <v>0.42970000000000003</v>
      </c>
      <c r="AQ138">
        <v>0.57030000000000003</v>
      </c>
      <c r="AR138">
        <v>8.9999999999999993E-3</v>
      </c>
      <c r="AS138">
        <v>0.5</v>
      </c>
      <c r="AT138">
        <v>1.82</v>
      </c>
      <c r="AU138">
        <v>6.3545217126973294E-2</v>
      </c>
      <c r="AV138">
        <v>0.7893</v>
      </c>
      <c r="AW138">
        <v>3</v>
      </c>
      <c r="AX138">
        <v>0.05</v>
      </c>
      <c r="AY138">
        <v>1</v>
      </c>
      <c r="AZ138">
        <v>1</v>
      </c>
      <c r="BA138" s="2">
        <f>modelo_tese_H__2[[#This Row],[Vw]]+modelo_tese_H__2[[#This Row],[Vr]]+modelo_tese_H__2[[#This Row],[K]]-modelo_tese_H__2[[#This Row],[E]]</f>
        <v>-1471539.8485907684</v>
      </c>
      <c r="BB138" s="2">
        <f>modelo_tese_H__2[[#This Row],[K]]-modelo_tese_H__2[[#This Row],[Coluna1]]</f>
        <v>3161290.2349138586</v>
      </c>
      <c r="BC138">
        <f>modelo_tese_H__2[[#This Row],[Coluna2]]/modelo_tese_H__2[[#This Row],[Coluna1]]</f>
        <v>-2.1482872094434229</v>
      </c>
      <c r="BD138" s="8">
        <f>modelo_tese_H__2[[#This Row],[D]]-modelo_tese_H__2[[#This Row],[Dw]]-modelo_tese_H__2[[#This Row],[Dr]]</f>
        <v>0</v>
      </c>
    </row>
    <row r="139" spans="1:56" x14ac:dyDescent="0.25">
      <c r="A139">
        <v>138</v>
      </c>
      <c r="B139">
        <v>138</v>
      </c>
      <c r="C139">
        <v>423200.19076516799</v>
      </c>
      <c r="D139">
        <v>190510.72034222601</v>
      </c>
      <c r="E139">
        <v>169554.541104581</v>
      </c>
      <c r="F139">
        <v>22540.8366791837</v>
      </c>
      <c r="G139">
        <v>620371.27468825504</v>
      </c>
      <c r="H139">
        <v>141105.07611540999</v>
      </c>
      <c r="I139">
        <v>333200.45389917499</v>
      </c>
      <c r="J139">
        <v>254086.646815966</v>
      </c>
      <c r="K139">
        <v>1589728.4912422099</v>
      </c>
      <c r="L139">
        <v>-142689.73355694901</v>
      </c>
      <c r="M139">
        <v>1843815.13805818</v>
      </c>
      <c r="N139">
        <v>-2711997.53108849</v>
      </c>
      <c r="O139">
        <v>313318.82560012903</v>
      </c>
      <c r="P139">
        <v>206790.42489608499</v>
      </c>
      <c r="Q139">
        <v>318865.72325406398</v>
      </c>
      <c r="R139">
        <v>159432.86162703199</v>
      </c>
      <c r="S139">
        <v>159432.86162703199</v>
      </c>
      <c r="T139">
        <v>153885.96397309701</v>
      </c>
      <c r="U139">
        <v>63886.227107103899</v>
      </c>
      <c r="V139">
        <v>1218623.01756925</v>
      </c>
      <c r="W139">
        <v>202075.03522397199</v>
      </c>
      <c r="X139">
        <v>0.27231413194749998</v>
      </c>
      <c r="Y139">
        <v>1784449.86635777</v>
      </c>
      <c r="Z139">
        <v>797463.00545789802</v>
      </c>
      <c r="AA139">
        <v>0.79926595930765498</v>
      </c>
      <c r="AB139">
        <v>928434.27819949796</v>
      </c>
      <c r="AC139">
        <v>539990.87879525998</v>
      </c>
      <c r="AD139">
        <v>742065.91401923203</v>
      </c>
      <c r="AE139">
        <v>-1493374.5135192401</v>
      </c>
      <c r="AF139">
        <v>-78803.506449845197</v>
      </c>
      <c r="AG139">
        <v>5.5594999999999999E-2</v>
      </c>
      <c r="AH139">
        <v>-4555812.66914667</v>
      </c>
      <c r="AI139">
        <v>2016086.02302715</v>
      </c>
      <c r="AJ139">
        <v>0.06</v>
      </c>
      <c r="AK139">
        <v>0.05</v>
      </c>
      <c r="AL139">
        <v>8.8099999999999998E-2</v>
      </c>
      <c r="AM139">
        <v>3.8100000000000002E-2</v>
      </c>
      <c r="AN139">
        <v>0.89</v>
      </c>
      <c r="AO139">
        <v>0.66</v>
      </c>
      <c r="AP139">
        <v>0.42970000000000003</v>
      </c>
      <c r="AQ139">
        <v>0.57030000000000003</v>
      </c>
      <c r="AR139">
        <v>8.9999999999999993E-3</v>
      </c>
      <c r="AS139">
        <v>0.5</v>
      </c>
      <c r="AT139">
        <v>1.82</v>
      </c>
      <c r="AU139">
        <v>6.3545217126973294E-2</v>
      </c>
      <c r="AV139">
        <v>0.7893</v>
      </c>
      <c r="AW139">
        <v>3</v>
      </c>
      <c r="AX139">
        <v>0.05</v>
      </c>
      <c r="AY139">
        <v>1</v>
      </c>
      <c r="AZ139">
        <v>1</v>
      </c>
      <c r="BA139" s="2">
        <f>modelo_tese_H__2[[#This Row],[Vw]]+modelo_tese_H__2[[#This Row],[Vr]]+modelo_tese_H__2[[#This Row],[K]]-modelo_tese_H__2[[#This Row],[E]]</f>
        <v>-1552739.7852196479</v>
      </c>
      <c r="BB139" s="2">
        <f>modelo_tese_H__2[[#This Row],[K]]-modelo_tese_H__2[[#This Row],[Coluna1]]</f>
        <v>3337189.6515774177</v>
      </c>
      <c r="BC139">
        <f>modelo_tese_H__2[[#This Row],[Coluna2]]/modelo_tese_H__2[[#This Row],[Coluna1]]</f>
        <v>-2.1492266014845138</v>
      </c>
      <c r="BD139" s="8">
        <f>modelo_tese_H__2[[#This Row],[D]]-modelo_tese_H__2[[#This Row],[Dw]]-modelo_tese_H__2[[#This Row],[Dr]]</f>
        <v>0</v>
      </c>
    </row>
    <row r="140" spans="1:56" x14ac:dyDescent="0.25">
      <c r="A140">
        <v>139</v>
      </c>
      <c r="B140">
        <v>139</v>
      </c>
      <c r="C140">
        <v>446863.18649505498</v>
      </c>
      <c r="D140">
        <v>201239.063202246</v>
      </c>
      <c r="E140">
        <v>179102.766249999</v>
      </c>
      <c r="F140">
        <v>23792.831337863801</v>
      </c>
      <c r="G140">
        <v>654959.39300727495</v>
      </c>
      <c r="H140">
        <v>148949.81282204701</v>
      </c>
      <c r="I140">
        <v>351845.41040990897</v>
      </c>
      <c r="J140">
        <v>268198.77691014099</v>
      </c>
      <c r="K140">
        <v>1678109.6485479299</v>
      </c>
      <c r="L140">
        <v>-150606.347207663</v>
      </c>
      <c r="M140">
        <v>1946308.4254580699</v>
      </c>
      <c r="N140">
        <v>-2862603.8782961499</v>
      </c>
      <c r="O140">
        <v>330787.57222589699</v>
      </c>
      <c r="P140">
        <v>218319.79766909199</v>
      </c>
      <c r="Q140">
        <v>336694.91712594201</v>
      </c>
      <c r="R140">
        <v>168347.45856297101</v>
      </c>
      <c r="S140">
        <v>168347.45856297101</v>
      </c>
      <c r="T140">
        <v>162440.113662925</v>
      </c>
      <c r="U140">
        <v>67422.337577779996</v>
      </c>
      <c r="V140">
        <v>1286045.35514703</v>
      </c>
      <c r="W140">
        <v>213392.895541996</v>
      </c>
      <c r="X140">
        <v>0.27233831742134101</v>
      </c>
      <c r="Y140">
        <v>1884449.50768986</v>
      </c>
      <c r="Z140">
        <v>842508.44243692304</v>
      </c>
      <c r="AA140">
        <v>0.79916829016943403</v>
      </c>
      <c r="AB140">
        <v>980466.95953723602</v>
      </c>
      <c r="AC140">
        <v>570165.20807900105</v>
      </c>
      <c r="AD140">
        <v>783558.10362099705</v>
      </c>
      <c r="AE140">
        <v>-1576558.5231491199</v>
      </c>
      <c r="AF140">
        <v>-83184.009629883207</v>
      </c>
      <c r="AG140">
        <v>5.5594999999999999E-2</v>
      </c>
      <c r="AH140">
        <v>-4808912.3037542198</v>
      </c>
      <c r="AI140">
        <v>2128553.7975839502</v>
      </c>
      <c r="AJ140">
        <v>0.06</v>
      </c>
      <c r="AK140">
        <v>0.05</v>
      </c>
      <c r="AL140">
        <v>8.8099999999999998E-2</v>
      </c>
      <c r="AM140">
        <v>3.8100000000000002E-2</v>
      </c>
      <c r="AN140">
        <v>0.89</v>
      </c>
      <c r="AO140">
        <v>0.66</v>
      </c>
      <c r="AP140">
        <v>0.42970000000000003</v>
      </c>
      <c r="AQ140">
        <v>0.57030000000000003</v>
      </c>
      <c r="AR140">
        <v>8.9999999999999993E-3</v>
      </c>
      <c r="AS140">
        <v>0.5</v>
      </c>
      <c r="AT140">
        <v>1.82</v>
      </c>
      <c r="AU140">
        <v>6.3545217126973294E-2</v>
      </c>
      <c r="AV140">
        <v>0.7893</v>
      </c>
      <c r="AW140">
        <v>3</v>
      </c>
      <c r="AX140">
        <v>0.05</v>
      </c>
      <c r="AY140">
        <v>1</v>
      </c>
      <c r="AZ140">
        <v>1</v>
      </c>
      <c r="BA140" s="2">
        <f>modelo_tese_H__2[[#This Row],[Vw]]+modelo_tese_H__2[[#This Row],[Vr]]+modelo_tese_H__2[[#This Row],[K]]-modelo_tese_H__2[[#This Row],[E]]</f>
        <v>-1638417.4409173327</v>
      </c>
      <c r="BB140" s="2">
        <f>modelo_tese_H__2[[#This Row],[K]]-modelo_tese_H__2[[#This Row],[Coluna1]]</f>
        <v>3522866.9486071924</v>
      </c>
      <c r="BC140">
        <f>modelo_tese_H__2[[#This Row],[Coluna2]]/modelo_tese_H__2[[#This Row],[Coluna1]]</f>
        <v>-2.1501644578653756</v>
      </c>
      <c r="BD140" s="8">
        <f>modelo_tese_H__2[[#This Row],[D]]-modelo_tese_H__2[[#This Row],[Dw]]-modelo_tese_H__2[[#This Row],[Dr]]</f>
        <v>0</v>
      </c>
    </row>
    <row r="141" spans="1:56" x14ac:dyDescent="0.25">
      <c r="A141">
        <v>140</v>
      </c>
      <c r="B141">
        <v>140</v>
      </c>
      <c r="C141">
        <v>471847.95809127501</v>
      </c>
      <c r="D141">
        <v>212570.16812574299</v>
      </c>
      <c r="E141">
        <v>189187.44963191199</v>
      </c>
      <c r="F141">
        <v>25114.3759805357</v>
      </c>
      <c r="G141">
        <v>691474.96924262599</v>
      </c>
      <c r="H141">
        <v>157230.67766588801</v>
      </c>
      <c r="I141">
        <v>371532.50327833602</v>
      </c>
      <c r="J141">
        <v>283094.77949040098</v>
      </c>
      <c r="K141">
        <v>1771404.3486041401</v>
      </c>
      <c r="L141">
        <v>-158962.33515259199</v>
      </c>
      <c r="M141">
        <v>2054499.12809454</v>
      </c>
      <c r="N141">
        <v>-3021566.2134487499</v>
      </c>
      <c r="O141">
        <v>349229.78244577098</v>
      </c>
      <c r="P141">
        <v>230491.65641420899</v>
      </c>
      <c r="Q141">
        <v>355520.02032582997</v>
      </c>
      <c r="R141">
        <v>177760.01016291499</v>
      </c>
      <c r="S141">
        <v>177760.01016291499</v>
      </c>
      <c r="T141">
        <v>171469.77228285599</v>
      </c>
      <c r="U141">
        <v>71154.317469917005</v>
      </c>
      <c r="V141">
        <v>1357199.67261695</v>
      </c>
      <c r="W141">
        <v>225343.81872456</v>
      </c>
      <c r="X141">
        <v>0.27236226757975901</v>
      </c>
      <c r="Y141">
        <v>1990045.57328345</v>
      </c>
      <c r="Z141">
        <v>890092.25099856802</v>
      </c>
      <c r="AA141">
        <v>0.799071407630918</v>
      </c>
      <c r="AB141">
        <v>1035411.81741201</v>
      </c>
      <c r="AC141">
        <v>602024.15969254402</v>
      </c>
      <c r="AD141">
        <v>827367.97841710399</v>
      </c>
      <c r="AE141">
        <v>-1664366.5408318001</v>
      </c>
      <c r="AF141">
        <v>-87808.017682675199</v>
      </c>
      <c r="AG141">
        <v>5.5594999999999999E-2</v>
      </c>
      <c r="AH141">
        <v>-5076065.3415432898</v>
      </c>
      <c r="AI141">
        <v>2247291.9236155101</v>
      </c>
      <c r="AJ141">
        <v>0.06</v>
      </c>
      <c r="AK141">
        <v>0.05</v>
      </c>
      <c r="AL141">
        <v>8.8099999999999998E-2</v>
      </c>
      <c r="AM141">
        <v>3.8100000000000002E-2</v>
      </c>
      <c r="AN141">
        <v>0.89</v>
      </c>
      <c r="AO141">
        <v>0.66</v>
      </c>
      <c r="AP141">
        <v>0.42970000000000003</v>
      </c>
      <c r="AQ141">
        <v>0.57030000000000003</v>
      </c>
      <c r="AR141">
        <v>8.9999999999999993E-3</v>
      </c>
      <c r="AS141">
        <v>0.5</v>
      </c>
      <c r="AT141">
        <v>1.82</v>
      </c>
      <c r="AU141">
        <v>6.3545217126973294E-2</v>
      </c>
      <c r="AV141">
        <v>0.7893</v>
      </c>
      <c r="AW141">
        <v>3</v>
      </c>
      <c r="AX141">
        <v>0.05</v>
      </c>
      <c r="AY141">
        <v>1</v>
      </c>
      <c r="AZ141">
        <v>1</v>
      </c>
      <c r="BA141" s="2">
        <f>modelo_tese_H__2[[#This Row],[Vw]]+modelo_tese_H__2[[#This Row],[Vr]]+modelo_tese_H__2[[#This Row],[K]]-modelo_tese_H__2[[#This Row],[E]]</f>
        <v>-1728820.0956428978</v>
      </c>
      <c r="BB141" s="2">
        <f>modelo_tese_H__2[[#This Row],[K]]-modelo_tese_H__2[[#This Row],[Coluna1]]</f>
        <v>3718865.668926348</v>
      </c>
      <c r="BC141">
        <f>modelo_tese_H__2[[#This Row],[Coluna2]]/modelo_tese_H__2[[#This Row],[Coluna1]]</f>
        <v>-2.1511004402938818</v>
      </c>
      <c r="BD141" s="8">
        <f>modelo_tese_H__2[[#This Row],[D]]-modelo_tese_H__2[[#This Row],[Dw]]-modelo_tese_H__2[[#This Row],[Dr]]</f>
        <v>0</v>
      </c>
    </row>
    <row r="142" spans="1:56" x14ac:dyDescent="0.25">
      <c r="A142">
        <v>141</v>
      </c>
      <c r="B142">
        <v>141</v>
      </c>
      <c r="C142">
        <v>498228.272315657</v>
      </c>
      <c r="D142">
        <v>224537.83214945</v>
      </c>
      <c r="E142">
        <v>199838.67061301001</v>
      </c>
      <c r="F142">
        <v>26509.334777284399</v>
      </c>
      <c r="G142">
        <v>730025.36615869903</v>
      </c>
      <c r="H142">
        <v>165971.917190723</v>
      </c>
      <c r="I142">
        <v>392319.92258101801</v>
      </c>
      <c r="J142">
        <v>298818.20316910098</v>
      </c>
      <c r="K142">
        <v>1869885.76011305</v>
      </c>
      <c r="L142">
        <v>-167782.09043156801</v>
      </c>
      <c r="M142">
        <v>2168703.9632821502</v>
      </c>
      <c r="N142">
        <v>-3189348.3038803102</v>
      </c>
      <c r="O142">
        <v>368699.67987813102</v>
      </c>
      <c r="P142">
        <v>243341.78871956599</v>
      </c>
      <c r="Q142">
        <v>375396.613386004</v>
      </c>
      <c r="R142">
        <v>187698.306693002</v>
      </c>
      <c r="S142">
        <v>187698.306693002</v>
      </c>
      <c r="T142">
        <v>181001.37318512899</v>
      </c>
      <c r="U142">
        <v>75093.023450490393</v>
      </c>
      <c r="V142">
        <v>1432292.6960674401</v>
      </c>
      <c r="W142">
        <v>237963.17440107599</v>
      </c>
      <c r="X142">
        <v>0.27238598430029498</v>
      </c>
      <c r="Y142">
        <v>2101550.8696376602</v>
      </c>
      <c r="Z142">
        <v>940357.11870664195</v>
      </c>
      <c r="AA142">
        <v>0.79897531660725996</v>
      </c>
      <c r="AB142">
        <v>1093431.6336722299</v>
      </c>
      <c r="AC142">
        <v>635661.71130058402</v>
      </c>
      <c r="AD142">
        <v>873624.88570165995</v>
      </c>
      <c r="AE142">
        <v>-1757055.6078128801</v>
      </c>
      <c r="AF142">
        <v>-92689.066981077907</v>
      </c>
      <c r="AG142">
        <v>5.5594999999999999E-2</v>
      </c>
      <c r="AH142">
        <v>-5358052.2671624599</v>
      </c>
      <c r="AI142">
        <v>2372649.8147740802</v>
      </c>
      <c r="AJ142">
        <v>0.06</v>
      </c>
      <c r="AK142">
        <v>0.05</v>
      </c>
      <c r="AL142">
        <v>8.8099999999999998E-2</v>
      </c>
      <c r="AM142">
        <v>3.8100000000000002E-2</v>
      </c>
      <c r="AN142">
        <v>0.89</v>
      </c>
      <c r="AO142">
        <v>0.66</v>
      </c>
      <c r="AP142">
        <v>0.42970000000000003</v>
      </c>
      <c r="AQ142">
        <v>0.57030000000000003</v>
      </c>
      <c r="AR142">
        <v>8.9999999999999993E-3</v>
      </c>
      <c r="AS142">
        <v>0.5</v>
      </c>
      <c r="AT142">
        <v>1.82</v>
      </c>
      <c r="AU142">
        <v>6.3545217126973294E-2</v>
      </c>
      <c r="AV142">
        <v>0.7893</v>
      </c>
      <c r="AW142">
        <v>3</v>
      </c>
      <c r="AX142">
        <v>0.05</v>
      </c>
      <c r="AY142">
        <v>1</v>
      </c>
      <c r="AZ142">
        <v>1</v>
      </c>
      <c r="BA142" s="2">
        <f>modelo_tese_H__2[[#This Row],[Vw]]+modelo_tese_H__2[[#This Row],[Vr]]+modelo_tese_H__2[[#This Row],[K]]-modelo_tese_H__2[[#This Row],[E]]</f>
        <v>-1824208.7014573615</v>
      </c>
      <c r="BB142" s="2">
        <f>modelo_tese_H__2[[#This Row],[K]]-modelo_tese_H__2[[#This Row],[Coluna1]]</f>
        <v>3925759.5710950214</v>
      </c>
      <c r="BC142">
        <f>modelo_tese_H__2[[#This Row],[Coluna2]]/modelo_tese_H__2[[#This Row],[Coluna1]]</f>
        <v>-2.1520342315869505</v>
      </c>
      <c r="BD142" s="8">
        <f>modelo_tese_H__2[[#This Row],[D]]-modelo_tese_H__2[[#This Row],[Dw]]-modelo_tese_H__2[[#This Row],[Dr]]</f>
        <v>-1.0011717677116394E-8</v>
      </c>
    </row>
    <row r="143" spans="1:56" x14ac:dyDescent="0.25">
      <c r="A143">
        <v>142</v>
      </c>
      <c r="B143">
        <v>142</v>
      </c>
      <c r="C143">
        <v>526082.00982260297</v>
      </c>
      <c r="D143">
        <v>237177.74426398601</v>
      </c>
      <c r="E143">
        <v>211088.19239494801</v>
      </c>
      <c r="F143">
        <v>27981.786614598201</v>
      </c>
      <c r="G143">
        <v>770723.92468691105</v>
      </c>
      <c r="H143">
        <v>175199.12592694099</v>
      </c>
      <c r="I143">
        <v>414269.10493648698</v>
      </c>
      <c r="J143">
        <v>315415.01624295599</v>
      </c>
      <c r="K143">
        <v>1973842.23857968</v>
      </c>
      <c r="L143">
        <v>-177091.360672501</v>
      </c>
      <c r="M143">
        <v>2289257.2548226402</v>
      </c>
      <c r="N143">
        <v>-3366439.6645528101</v>
      </c>
      <c r="O143">
        <v>389254.50741763198</v>
      </c>
      <c r="P143">
        <v>256907.97489563699</v>
      </c>
      <c r="Q143">
        <v>396383.376504949</v>
      </c>
      <c r="R143">
        <v>198191.688252475</v>
      </c>
      <c r="S143">
        <v>198191.688252475</v>
      </c>
      <c r="T143">
        <v>191062.81916515701</v>
      </c>
      <c r="U143">
        <v>79249.914279041506</v>
      </c>
      <c r="V143">
        <v>1511542.61034648</v>
      </c>
      <c r="W143">
        <v>251288.306495428</v>
      </c>
      <c r="X143">
        <v>0.27240946947163103</v>
      </c>
      <c r="Y143">
        <v>2219295.6698185802</v>
      </c>
      <c r="Z143">
        <v>993453.73694959504</v>
      </c>
      <c r="AA143">
        <v>0.79888002111774303</v>
      </c>
      <c r="AB143">
        <v>1154698.2800206901</v>
      </c>
      <c r="AC143">
        <v>671177.07983212406</v>
      </c>
      <c r="AD143">
        <v>922465.38632755203</v>
      </c>
      <c r="AE143">
        <v>-1854897.0542063401</v>
      </c>
      <c r="AF143">
        <v>-97841.446393459701</v>
      </c>
      <c r="AG143">
        <v>5.5594999999999999E-2</v>
      </c>
      <c r="AH143">
        <v>-5655696.9193754504</v>
      </c>
      <c r="AI143">
        <v>2504996.3472960698</v>
      </c>
      <c r="AJ143">
        <v>0.06</v>
      </c>
      <c r="AK143">
        <v>0.05</v>
      </c>
      <c r="AL143">
        <v>8.8099999999999998E-2</v>
      </c>
      <c r="AM143">
        <v>3.8100000000000002E-2</v>
      </c>
      <c r="AN143">
        <v>0.89</v>
      </c>
      <c r="AO143">
        <v>0.66</v>
      </c>
      <c r="AP143">
        <v>0.42970000000000003</v>
      </c>
      <c r="AQ143">
        <v>0.57030000000000003</v>
      </c>
      <c r="AR143">
        <v>8.9999999999999993E-3</v>
      </c>
      <c r="AS143">
        <v>0.5</v>
      </c>
      <c r="AT143">
        <v>1.82</v>
      </c>
      <c r="AU143">
        <v>6.3545217126973294E-2</v>
      </c>
      <c r="AV143">
        <v>0.7893</v>
      </c>
      <c r="AW143">
        <v>3</v>
      </c>
      <c r="AX143">
        <v>0.05</v>
      </c>
      <c r="AY143">
        <v>1</v>
      </c>
      <c r="AZ143">
        <v>1</v>
      </c>
      <c r="BA143" s="2">
        <f>modelo_tese_H__2[[#This Row],[Vw]]+modelo_tese_H__2[[#This Row],[Vr]]+modelo_tese_H__2[[#This Row],[K]]-modelo_tese_H__2[[#This Row],[E]]</f>
        <v>-1924858.6392103955</v>
      </c>
      <c r="BB143" s="2">
        <f>modelo_tese_H__2[[#This Row],[K]]-modelo_tese_H__2[[#This Row],[Coluna1]]</f>
        <v>4144154.3090289757</v>
      </c>
      <c r="BC143">
        <f>modelo_tese_H__2[[#This Row],[Coluna2]]/modelo_tese_H__2[[#This Row],[Coluna1]]</f>
        <v>-2.1529655345126888</v>
      </c>
      <c r="BD143" s="8">
        <f>modelo_tese_H__2[[#This Row],[D]]-modelo_tese_H__2[[#This Row],[Dw]]-modelo_tese_H__2[[#This Row],[Dr]]</f>
        <v>-1.0011717677116394E-8</v>
      </c>
    </row>
    <row r="144" spans="1:56" x14ac:dyDescent="0.25">
      <c r="A144">
        <v>143</v>
      </c>
      <c r="B144">
        <v>143</v>
      </c>
      <c r="C144">
        <v>555491.39445092506</v>
      </c>
      <c r="D144">
        <v>250527.59118501999</v>
      </c>
      <c r="E144">
        <v>222969.55615466801</v>
      </c>
      <c r="F144">
        <v>29536.037027463899</v>
      </c>
      <c r="G144">
        <v>813690.29670394503</v>
      </c>
      <c r="H144">
        <v>184939.32133285</v>
      </c>
      <c r="I144">
        <v>437444.91451498098</v>
      </c>
      <c r="J144">
        <v>332933.74115156301</v>
      </c>
      <c r="K144">
        <v>2083578.1706226501</v>
      </c>
      <c r="L144">
        <v>-186917.32332996099</v>
      </c>
      <c r="M144">
        <v>2416511.9117742102</v>
      </c>
      <c r="N144">
        <v>-3553356.9878827799</v>
      </c>
      <c r="O144">
        <v>410954.69530502299</v>
      </c>
      <c r="P144">
        <v>271230.09890131501</v>
      </c>
      <c r="Q144">
        <v>418542.262310297</v>
      </c>
      <c r="R144">
        <v>209271.13115514899</v>
      </c>
      <c r="S144">
        <v>209271.13115514899</v>
      </c>
      <c r="T144">
        <v>201683.564149874</v>
      </c>
      <c r="U144">
        <v>83637.0842139304</v>
      </c>
      <c r="V144">
        <v>1595179.69456041</v>
      </c>
      <c r="W144">
        <v>265358.64334492601</v>
      </c>
      <c r="X144">
        <v>0.27243272499153598</v>
      </c>
      <c r="Y144">
        <v>2343628.6879559401</v>
      </c>
      <c r="Z144">
        <v>1049541.2491393699</v>
      </c>
      <c r="AA144">
        <v>0.798785524350767</v>
      </c>
      <c r="AB144">
        <v>1219393.2251750501</v>
      </c>
      <c r="AC144">
        <v>708675.01341629599</v>
      </c>
      <c r="AD144">
        <v>974033.65676122205</v>
      </c>
      <c r="AE144">
        <v>-1958177.2933223699</v>
      </c>
      <c r="AF144">
        <v>-103280.23911603101</v>
      </c>
      <c r="AG144">
        <v>5.5594999999999999E-2</v>
      </c>
      <c r="AH144">
        <v>-5969868.8996569803</v>
      </c>
      <c r="AI144">
        <v>2644720.9436997799</v>
      </c>
      <c r="AJ144">
        <v>0.06</v>
      </c>
      <c r="AK144">
        <v>0.05</v>
      </c>
      <c r="AL144">
        <v>8.8099999999999998E-2</v>
      </c>
      <c r="AM144">
        <v>3.8100000000000002E-2</v>
      </c>
      <c r="AN144">
        <v>0.89</v>
      </c>
      <c r="AO144">
        <v>0.66</v>
      </c>
      <c r="AP144">
        <v>0.42970000000000003</v>
      </c>
      <c r="AQ144">
        <v>0.57030000000000003</v>
      </c>
      <c r="AR144">
        <v>8.9999999999999993E-3</v>
      </c>
      <c r="AS144">
        <v>0.5</v>
      </c>
      <c r="AT144">
        <v>1.82</v>
      </c>
      <c r="AU144">
        <v>6.3545217126973294E-2</v>
      </c>
      <c r="AV144">
        <v>0.7893</v>
      </c>
      <c r="AW144">
        <v>3</v>
      </c>
      <c r="AX144">
        <v>0.05</v>
      </c>
      <c r="AY144">
        <v>1</v>
      </c>
      <c r="AZ144">
        <v>1</v>
      </c>
      <c r="BA144" s="2">
        <f>modelo_tese_H__2[[#This Row],[Vw]]+modelo_tese_H__2[[#This Row],[Vr]]+modelo_tese_H__2[[#This Row],[K]]-modelo_tese_H__2[[#This Row],[E]]</f>
        <v>-2031060.5171406302</v>
      </c>
      <c r="BB144" s="2">
        <f>modelo_tese_H__2[[#This Row],[K]]-modelo_tese_H__2[[#This Row],[Coluna1]]</f>
        <v>4374689.2050965708</v>
      </c>
      <c r="BC144">
        <f>modelo_tese_H__2[[#This Row],[Coluna2]]/modelo_tese_H__2[[#This Row],[Coluna1]]</f>
        <v>-2.1538940706972878</v>
      </c>
      <c r="BD144" s="8">
        <f>modelo_tese_H__2[[#This Row],[D]]-modelo_tese_H__2[[#This Row],[Dw]]-modelo_tese_H__2[[#This Row],[Dr]]</f>
        <v>0</v>
      </c>
    </row>
    <row r="145" spans="1:56" x14ac:dyDescent="0.25">
      <c r="A145">
        <v>144</v>
      </c>
      <c r="B145">
        <v>144</v>
      </c>
      <c r="C145">
        <v>586543.23528935201</v>
      </c>
      <c r="D145">
        <v>264627.16903132299</v>
      </c>
      <c r="E145">
        <v>235518.18043787699</v>
      </c>
      <c r="F145">
        <v>31176.630794598801</v>
      </c>
      <c r="G145">
        <v>859050.79632985406</v>
      </c>
      <c r="H145">
        <v>195221.02290235</v>
      </c>
      <c r="I145">
        <v>461915.83413482597</v>
      </c>
      <c r="J145">
        <v>351425.59640828799</v>
      </c>
      <c r="K145">
        <v>2199414.8652242702</v>
      </c>
      <c r="L145">
        <v>-197288.66510350301</v>
      </c>
      <c r="M145">
        <v>2550840.46163256</v>
      </c>
      <c r="N145">
        <v>-3750645.6529862802</v>
      </c>
      <c r="O145">
        <v>433864.03855043103</v>
      </c>
      <c r="P145">
        <v>286350.265443285</v>
      </c>
      <c r="Q145">
        <v>441938.678246247</v>
      </c>
      <c r="R145">
        <v>220969.33912312301</v>
      </c>
      <c r="S145">
        <v>220969.33912312301</v>
      </c>
      <c r="T145">
        <v>212894.69942730799</v>
      </c>
      <c r="U145">
        <v>88267.2982727817</v>
      </c>
      <c r="V145">
        <v>1683446.9928331899</v>
      </c>
      <c r="W145">
        <v>280215.81395748799</v>
      </c>
      <c r="X145">
        <v>0.27245575276496398</v>
      </c>
      <c r="Y145">
        <v>2474918.1080722599</v>
      </c>
      <c r="Z145">
        <v>1108787.7239737399</v>
      </c>
      <c r="AA145">
        <v>0.79869182872452704</v>
      </c>
      <c r="AB145">
        <v>1287708.0703054599</v>
      </c>
      <c r="AC145">
        <v>748266.09957811097</v>
      </c>
      <c r="AD145">
        <v>1028481.9135355999</v>
      </c>
      <c r="AE145">
        <v>-2067198.66015309</v>
      </c>
      <c r="AF145">
        <v>-109021.366830721</v>
      </c>
      <c r="AG145">
        <v>5.5594999999999999E-2</v>
      </c>
      <c r="AH145">
        <v>-6301486.1146188397</v>
      </c>
      <c r="AI145">
        <v>2792234.71680693</v>
      </c>
      <c r="AJ145">
        <v>0.06</v>
      </c>
      <c r="AK145">
        <v>0.05</v>
      </c>
      <c r="AL145">
        <v>8.8099999999999998E-2</v>
      </c>
      <c r="AM145">
        <v>3.8100000000000002E-2</v>
      </c>
      <c r="AN145">
        <v>0.89</v>
      </c>
      <c r="AO145">
        <v>0.66</v>
      </c>
      <c r="AP145">
        <v>0.42970000000000003</v>
      </c>
      <c r="AQ145">
        <v>0.57030000000000003</v>
      </c>
      <c r="AR145">
        <v>8.9999999999999993E-3</v>
      </c>
      <c r="AS145">
        <v>0.5</v>
      </c>
      <c r="AT145">
        <v>1.82</v>
      </c>
      <c r="AU145">
        <v>6.3545217126973294E-2</v>
      </c>
      <c r="AV145">
        <v>0.7893</v>
      </c>
      <c r="AW145">
        <v>3</v>
      </c>
      <c r="AX145">
        <v>0.05</v>
      </c>
      <c r="AY145">
        <v>1</v>
      </c>
      <c r="AZ145">
        <v>1</v>
      </c>
      <c r="BA145" s="2">
        <f>modelo_tese_H__2[[#This Row],[Vw]]+modelo_tese_H__2[[#This Row],[Vr]]+modelo_tese_H__2[[#This Row],[K]]-modelo_tese_H__2[[#This Row],[E]]</f>
        <v>-2143121.0137133896</v>
      </c>
      <c r="BB145" s="2">
        <f>modelo_tese_H__2[[#This Row],[K]]-modelo_tese_H__2[[#This Row],[Coluna1]]</f>
        <v>4618039.12178565</v>
      </c>
      <c r="BC145">
        <f>modelo_tese_H__2[[#This Row],[Coluna2]]/modelo_tese_H__2[[#This Row],[Coluna1]]</f>
        <v>-2.1548195795924587</v>
      </c>
      <c r="BD145" s="8">
        <f>modelo_tese_H__2[[#This Row],[D]]-modelo_tese_H__2[[#This Row],[Dw]]-modelo_tese_H__2[[#This Row],[Dr]]</f>
        <v>0</v>
      </c>
    </row>
    <row r="146" spans="1:56" x14ac:dyDescent="0.25">
      <c r="A146">
        <v>145</v>
      </c>
      <c r="B146">
        <v>145</v>
      </c>
      <c r="C146">
        <v>619329.18222700304</v>
      </c>
      <c r="D146">
        <v>279518.50123928499</v>
      </c>
      <c r="E146">
        <v>248771.46610296401</v>
      </c>
      <c r="F146">
        <v>32908.3652336749</v>
      </c>
      <c r="G146">
        <v>906938.77077646204</v>
      </c>
      <c r="H146">
        <v>206074.335670606</v>
      </c>
      <c r="I146">
        <v>487754.16700724402</v>
      </c>
      <c r="J146">
        <v>370944.64641880698</v>
      </c>
      <c r="K146">
        <v>2321691.4945298298</v>
      </c>
      <c r="L146">
        <v>-208235.665767959</v>
      </c>
      <c r="M146">
        <v>2692636.1409486402</v>
      </c>
      <c r="N146">
        <v>-3958881.3187542399</v>
      </c>
      <c r="O146">
        <v>458049.884230536</v>
      </c>
      <c r="P146">
        <v>302312.92359215399</v>
      </c>
      <c r="Q146">
        <v>466641.679121416</v>
      </c>
      <c r="R146">
        <v>233320.839560708</v>
      </c>
      <c r="S146">
        <v>233320.839560708</v>
      </c>
      <c r="T146">
        <v>224729.04466982899</v>
      </c>
      <c r="U146">
        <v>93154.029450069502</v>
      </c>
      <c r="V146">
        <v>1776601.02228326</v>
      </c>
      <c r="W146">
        <v>295903.77074902097</v>
      </c>
      <c r="X146">
        <v>0.27247855470229598</v>
      </c>
      <c r="Y146">
        <v>2613552.6702723498</v>
      </c>
      <c r="Z146">
        <v>1171370.6551620499</v>
      </c>
      <c r="AA146">
        <v>0.79859893594362696</v>
      </c>
      <c r="AB146">
        <v>1359845.11432542</v>
      </c>
      <c r="AC146">
        <v>790067.09059939801</v>
      </c>
      <c r="AD146">
        <v>1085970.8613484199</v>
      </c>
      <c r="AE146">
        <v>-2182280.2964709802</v>
      </c>
      <c r="AF146">
        <v>-115081.63631789001</v>
      </c>
      <c r="AG146">
        <v>5.5594999999999999E-2</v>
      </c>
      <c r="AH146">
        <v>-6651517.4597028801</v>
      </c>
      <c r="AI146">
        <v>2947971.6774453102</v>
      </c>
      <c r="AJ146">
        <v>0.06</v>
      </c>
      <c r="AK146">
        <v>0.05</v>
      </c>
      <c r="AL146">
        <v>8.8099999999999998E-2</v>
      </c>
      <c r="AM146">
        <v>3.8100000000000002E-2</v>
      </c>
      <c r="AN146">
        <v>0.89</v>
      </c>
      <c r="AO146">
        <v>0.66</v>
      </c>
      <c r="AP146">
        <v>0.42970000000000003</v>
      </c>
      <c r="AQ146">
        <v>0.57030000000000003</v>
      </c>
      <c r="AR146">
        <v>8.9999999999999993E-3</v>
      </c>
      <c r="AS146">
        <v>0.5</v>
      </c>
      <c r="AT146">
        <v>1.82</v>
      </c>
      <c r="AU146">
        <v>6.3545217126973294E-2</v>
      </c>
      <c r="AV146">
        <v>0.7893</v>
      </c>
      <c r="AW146">
        <v>3</v>
      </c>
      <c r="AX146">
        <v>0.05</v>
      </c>
      <c r="AY146">
        <v>1</v>
      </c>
      <c r="AZ146">
        <v>1</v>
      </c>
      <c r="BA146" s="2">
        <f>modelo_tese_H__2[[#This Row],[Vw]]+modelo_tese_H__2[[#This Row],[Vr]]+modelo_tese_H__2[[#This Row],[K]]-modelo_tese_H__2[[#This Row],[E]]</f>
        <v>-2261363.76714727</v>
      </c>
      <c r="BB146" s="2">
        <f>modelo_tese_H__2[[#This Row],[K]]-modelo_tese_H__2[[#This Row],[Coluna1]]</f>
        <v>4874916.4374196194</v>
      </c>
      <c r="BC146">
        <f>modelo_tese_H__2[[#This Row],[Coluna2]]/modelo_tese_H__2[[#This Row],[Coluna1]]</f>
        <v>-2.1557418175004055</v>
      </c>
      <c r="BD146" s="8">
        <f>modelo_tese_H__2[[#This Row],[D]]-modelo_tese_H__2[[#This Row],[Dw]]-modelo_tese_H__2[[#This Row],[Dr]]</f>
        <v>0</v>
      </c>
    </row>
    <row r="147" spans="1:56" x14ac:dyDescent="0.25">
      <c r="A147">
        <v>146</v>
      </c>
      <c r="B147">
        <v>146</v>
      </c>
      <c r="C147">
        <v>653945.99573979503</v>
      </c>
      <c r="D147">
        <v>295245.96306188498</v>
      </c>
      <c r="E147">
        <v>262768.90712507698</v>
      </c>
      <c r="F147">
        <v>34736.304235441501</v>
      </c>
      <c r="G147">
        <v>957494.99183390802</v>
      </c>
      <c r="H147">
        <v>217531.038362213</v>
      </c>
      <c r="I147">
        <v>515036.249722732</v>
      </c>
      <c r="J147">
        <v>391547.95962569199</v>
      </c>
      <c r="K147">
        <v>2450766.08695046</v>
      </c>
      <c r="L147">
        <v>-219790.28666084699</v>
      </c>
      <c r="M147">
        <v>2842314.0465761502</v>
      </c>
      <c r="N147">
        <v>-4178671.60541509</v>
      </c>
      <c r="O147">
        <v>483583.32920904498</v>
      </c>
      <c r="P147">
        <v>319164.99727796903</v>
      </c>
      <c r="Q147">
        <v>492724.17038293899</v>
      </c>
      <c r="R147">
        <v>246362.085191469</v>
      </c>
      <c r="S147">
        <v>246362.085191469</v>
      </c>
      <c r="T147">
        <v>237221.24401757499</v>
      </c>
      <c r="U147">
        <v>98311.498000512205</v>
      </c>
      <c r="V147">
        <v>1874912.52028377</v>
      </c>
      <c r="W147">
        <v>312468.91912203201</v>
      </c>
      <c r="X147">
        <v>0.27250113271769899</v>
      </c>
      <c r="Y147">
        <v>2759942.81748915</v>
      </c>
      <c r="Z147">
        <v>1237477.4890926101</v>
      </c>
      <c r="AA147">
        <v>0.79850684705194797</v>
      </c>
      <c r="AB147">
        <v>1436017.95069909</v>
      </c>
      <c r="AC147">
        <v>834201.24700070103</v>
      </c>
      <c r="AD147">
        <v>1146670.1661227299</v>
      </c>
      <c r="AE147">
        <v>-2303759.0851313099</v>
      </c>
      <c r="AF147">
        <v>-121478.78866033501</v>
      </c>
      <c r="AG147">
        <v>5.5594999999999999E-2</v>
      </c>
      <c r="AH147">
        <v>-7020985.6519912397</v>
      </c>
      <c r="AI147">
        <v>3112390.0093763899</v>
      </c>
      <c r="AJ147">
        <v>0.06</v>
      </c>
      <c r="AK147">
        <v>0.05</v>
      </c>
      <c r="AL147">
        <v>8.8099999999999998E-2</v>
      </c>
      <c r="AM147">
        <v>3.8100000000000002E-2</v>
      </c>
      <c r="AN147">
        <v>0.89</v>
      </c>
      <c r="AO147">
        <v>0.66</v>
      </c>
      <c r="AP147">
        <v>0.42970000000000003</v>
      </c>
      <c r="AQ147">
        <v>0.57030000000000003</v>
      </c>
      <c r="AR147">
        <v>8.9999999999999993E-3</v>
      </c>
      <c r="AS147">
        <v>0.5</v>
      </c>
      <c r="AT147">
        <v>1.82</v>
      </c>
      <c r="AU147">
        <v>6.3545217126973294E-2</v>
      </c>
      <c r="AV147">
        <v>0.7893</v>
      </c>
      <c r="AW147">
        <v>3</v>
      </c>
      <c r="AX147">
        <v>0.05</v>
      </c>
      <c r="AY147">
        <v>1</v>
      </c>
      <c r="AZ147">
        <v>1</v>
      </c>
      <c r="BA147" s="2">
        <f>modelo_tese_H__2[[#This Row],[Vw]]+modelo_tese_H__2[[#This Row],[Vr]]+modelo_tese_H__2[[#This Row],[K]]-modelo_tese_H__2[[#This Row],[E]]</f>
        <v>-2386130.3142183097</v>
      </c>
      <c r="BB147" s="2">
        <f>modelo_tese_H__2[[#This Row],[K]]-modelo_tese_H__2[[#This Row],[Coluna1]]</f>
        <v>5146073.1317074597</v>
      </c>
      <c r="BC147">
        <f>modelo_tese_H__2[[#This Row],[Coluna2]]/modelo_tese_H__2[[#This Row],[Coluna1]]</f>
        <v>-2.1566605566524979</v>
      </c>
      <c r="BD147" s="8">
        <f>modelo_tese_H__2[[#This Row],[D]]-modelo_tese_H__2[[#This Row],[Dw]]-modelo_tese_H__2[[#This Row],[Dr]]</f>
        <v>1.0011717677116394E-8</v>
      </c>
    </row>
    <row r="148" spans="1:56" x14ac:dyDescent="0.25">
      <c r="A148">
        <v>147</v>
      </c>
      <c r="B148">
        <v>147</v>
      </c>
      <c r="C148">
        <v>690495.83170548896</v>
      </c>
      <c r="D148">
        <v>311856.413019464</v>
      </c>
      <c r="E148">
        <v>277552.20758732298</v>
      </c>
      <c r="F148">
        <v>36665.793077814102</v>
      </c>
      <c r="G148">
        <v>1010868.06914361</v>
      </c>
      <c r="H148">
        <v>229624.67643995999</v>
      </c>
      <c r="I148">
        <v>543842.67710509803</v>
      </c>
      <c r="J148">
        <v>413295.77544176701</v>
      </c>
      <c r="K148">
        <v>2587016.5754776099</v>
      </c>
      <c r="L148">
        <v>-231986.26408563301</v>
      </c>
      <c r="M148">
        <v>3000312.3509193701</v>
      </c>
      <c r="N148">
        <v>-4410657.8695007199</v>
      </c>
      <c r="O148">
        <v>510539.42886040697</v>
      </c>
      <c r="P148">
        <v>336956.02304786898</v>
      </c>
      <c r="Q148">
        <v>520263.12271409598</v>
      </c>
      <c r="R148">
        <v>260131.56135704799</v>
      </c>
      <c r="S148">
        <v>260131.56135704799</v>
      </c>
      <c r="T148">
        <v>250407.86750335901</v>
      </c>
      <c r="U148">
        <v>103754.712902967</v>
      </c>
      <c r="V148">
        <v>1978667.23318674</v>
      </c>
      <c r="W148">
        <v>329960.25426661898</v>
      </c>
      <c r="X148">
        <v>0.27252348872761401</v>
      </c>
      <c r="Y148">
        <v>2914521.90616039</v>
      </c>
      <c r="Z148">
        <v>1307306.18200218</v>
      </c>
      <c r="AA148">
        <v>0.79841556248196099</v>
      </c>
      <c r="AB148">
        <v>1516452.09752151</v>
      </c>
      <c r="AC148">
        <v>880798.70015296596</v>
      </c>
      <c r="AD148">
        <v>1210758.9544195901</v>
      </c>
      <c r="AE148">
        <v>-2431990.63631398</v>
      </c>
      <c r="AF148">
        <v>-128231.55118266599</v>
      </c>
      <c r="AG148">
        <v>5.5594999999999999E-2</v>
      </c>
      <c r="AH148">
        <v>-7410970.2204200896</v>
      </c>
      <c r="AI148">
        <v>3285973.4151889202</v>
      </c>
      <c r="AJ148">
        <v>0.06</v>
      </c>
      <c r="AK148">
        <v>0.05</v>
      </c>
      <c r="AL148">
        <v>8.8099999999999998E-2</v>
      </c>
      <c r="AM148">
        <v>3.8100000000000002E-2</v>
      </c>
      <c r="AN148">
        <v>0.89</v>
      </c>
      <c r="AO148">
        <v>0.66</v>
      </c>
      <c r="AP148">
        <v>0.42970000000000003</v>
      </c>
      <c r="AQ148">
        <v>0.57030000000000003</v>
      </c>
      <c r="AR148">
        <v>8.9999999999999993E-3</v>
      </c>
      <c r="AS148">
        <v>0.5</v>
      </c>
      <c r="AT148">
        <v>1.82</v>
      </c>
      <c r="AU148">
        <v>6.3545217126973294E-2</v>
      </c>
      <c r="AV148">
        <v>0.7893</v>
      </c>
      <c r="AW148">
        <v>3</v>
      </c>
      <c r="AX148">
        <v>0.05</v>
      </c>
      <c r="AY148">
        <v>1</v>
      </c>
      <c r="AZ148">
        <v>1</v>
      </c>
      <c r="BA148" s="2">
        <f>modelo_tese_H__2[[#This Row],[Vw]]+modelo_tese_H__2[[#This Row],[Vr]]+modelo_tese_H__2[[#This Row],[K]]-modelo_tese_H__2[[#This Row],[E]]</f>
        <v>-2517781.0810729591</v>
      </c>
      <c r="BB148" s="2">
        <f>modelo_tese_H__2[[#This Row],[K]]-modelo_tese_H__2[[#This Row],[Coluna1]]</f>
        <v>5432302.9872333491</v>
      </c>
      <c r="BC148">
        <f>modelo_tese_H__2[[#This Row],[Coluna2]]/modelo_tese_H__2[[#This Row],[Coluna1]]</f>
        <v>-2.1575755843388729</v>
      </c>
      <c r="BD148" s="8">
        <f>modelo_tese_H__2[[#This Row],[D]]-modelo_tese_H__2[[#This Row],[Dw]]-modelo_tese_H__2[[#This Row],[Dr]]</f>
        <v>0</v>
      </c>
    </row>
    <row r="149" spans="1:56" x14ac:dyDescent="0.25">
      <c r="A149">
        <v>148</v>
      </c>
      <c r="B149">
        <v>148</v>
      </c>
      <c r="C149">
        <v>729086.54208424001</v>
      </c>
      <c r="D149">
        <v>329399.33169014502</v>
      </c>
      <c r="E149">
        <v>293165.405204229</v>
      </c>
      <c r="F149">
        <v>38702.474063279398</v>
      </c>
      <c r="G149">
        <v>1067214.88646982</v>
      </c>
      <c r="H149">
        <v>242390.66032664001</v>
      </c>
      <c r="I149">
        <v>574258.53959414805</v>
      </c>
      <c r="J149">
        <v>436251.68046071503</v>
      </c>
      <c r="K149">
        <v>2730841.9042785498</v>
      </c>
      <c r="L149">
        <v>-244859.20790400301</v>
      </c>
      <c r="M149">
        <v>3167093.5847392702</v>
      </c>
      <c r="N149">
        <v>-4655517.0774047198</v>
      </c>
      <c r="O149">
        <v>538997.41740899906</v>
      </c>
      <c r="P149">
        <v>355738.29548993899</v>
      </c>
      <c r="Q149">
        <v>549339.79858600395</v>
      </c>
      <c r="R149">
        <v>274669.89929300197</v>
      </c>
      <c r="S149">
        <v>274669.89929300197</v>
      </c>
      <c r="T149">
        <v>264327.51811599702</v>
      </c>
      <c r="U149">
        <v>109499.515625905</v>
      </c>
      <c r="V149">
        <v>2088166.7488126501</v>
      </c>
      <c r="W149">
        <v>348429.50558615598</v>
      </c>
      <c r="X149">
        <v>0.272545624649355</v>
      </c>
      <c r="Y149">
        <v>3077747.4843982598</v>
      </c>
      <c r="Z149">
        <v>1381065.78829534</v>
      </c>
      <c r="AA149">
        <v>0.79832508210072195</v>
      </c>
      <c r="AB149">
        <v>1601385.6627254901</v>
      </c>
      <c r="AC149">
        <v>929996.83508408698</v>
      </c>
      <c r="AD149">
        <v>1278426.3406702401</v>
      </c>
      <c r="AE149">
        <v>-2567350.3285920802</v>
      </c>
      <c r="AF149">
        <v>-135359.69227809799</v>
      </c>
      <c r="AG149">
        <v>5.5594999999999999E-2</v>
      </c>
      <c r="AH149">
        <v>-7822610.6621439904</v>
      </c>
      <c r="AI149">
        <v>3469232.5371079799</v>
      </c>
      <c r="AJ149">
        <v>0.06</v>
      </c>
      <c r="AK149">
        <v>0.05</v>
      </c>
      <c r="AL149">
        <v>8.8099999999999998E-2</v>
      </c>
      <c r="AM149">
        <v>3.8100000000000002E-2</v>
      </c>
      <c r="AN149">
        <v>0.89</v>
      </c>
      <c r="AO149">
        <v>0.66</v>
      </c>
      <c r="AP149">
        <v>0.42970000000000003</v>
      </c>
      <c r="AQ149">
        <v>0.57030000000000003</v>
      </c>
      <c r="AR149">
        <v>8.9999999999999993E-3</v>
      </c>
      <c r="AS149">
        <v>0.5</v>
      </c>
      <c r="AT149">
        <v>1.82</v>
      </c>
      <c r="AU149">
        <v>6.3545217126973294E-2</v>
      </c>
      <c r="AV149">
        <v>0.7893</v>
      </c>
      <c r="AW149">
        <v>3</v>
      </c>
      <c r="AX149">
        <v>0.05</v>
      </c>
      <c r="AY149">
        <v>1</v>
      </c>
      <c r="AZ149">
        <v>1</v>
      </c>
      <c r="BA149" s="2">
        <f>modelo_tese_H__2[[#This Row],[Vw]]+modelo_tese_H__2[[#This Row],[Vr]]+modelo_tese_H__2[[#This Row],[K]]-modelo_tese_H__2[[#This Row],[E]]</f>
        <v>-2656696.4289330905</v>
      </c>
      <c r="BB149" s="2">
        <f>modelo_tese_H__2[[#This Row],[K]]-modelo_tese_H__2[[#This Row],[Coluna1]]</f>
        <v>5734443.9133313503</v>
      </c>
      <c r="BC149">
        <f>modelo_tese_H__2[[#This Row],[Coluna2]]/modelo_tese_H__2[[#This Row],[Coluna1]]</f>
        <v>-2.1584867020859662</v>
      </c>
      <c r="BD149" s="8">
        <f>modelo_tese_H__2[[#This Row],[D]]-modelo_tese_H__2[[#This Row],[Dw]]-modelo_tese_H__2[[#This Row],[Dr]]</f>
        <v>-1.0477378964424133E-8</v>
      </c>
    </row>
    <row r="150" spans="1:56" x14ac:dyDescent="0.25">
      <c r="A150">
        <v>149</v>
      </c>
      <c r="B150">
        <v>149</v>
      </c>
      <c r="C150">
        <v>769831.99234811403</v>
      </c>
      <c r="D150">
        <v>347926.96824938798</v>
      </c>
      <c r="E150">
        <v>309655.00174195599</v>
      </c>
      <c r="F150">
        <v>40852.303025377398</v>
      </c>
      <c r="G150">
        <v>1126701.0622495001</v>
      </c>
      <c r="H150">
        <v>255866.36908749901</v>
      </c>
      <c r="I150">
        <v>606373.67385483196</v>
      </c>
      <c r="J150">
        <v>460482.79446053901</v>
      </c>
      <c r="K150">
        <v>2882663.1968130399</v>
      </c>
      <c r="L150">
        <v>-258446.705605444</v>
      </c>
      <c r="M150">
        <v>3343145.9912735801</v>
      </c>
      <c r="N150">
        <v>-4913963.7830101699</v>
      </c>
      <c r="O150">
        <v>569040.94053005194</v>
      </c>
      <c r="P150">
        <v>375567.02074983402</v>
      </c>
      <c r="Q150">
        <v>580039.99142904498</v>
      </c>
      <c r="R150">
        <v>290019.99571452301</v>
      </c>
      <c r="S150">
        <v>290019.99571452301</v>
      </c>
      <c r="T150">
        <v>279020.94481552899</v>
      </c>
      <c r="U150">
        <v>115562.626322248</v>
      </c>
      <c r="V150">
        <v>2203729.37513489</v>
      </c>
      <c r="W150">
        <v>367931.28917249199</v>
      </c>
      <c r="X150">
        <v>0.27256754239981101</v>
      </c>
      <c r="Y150">
        <v>3250102.6414126698</v>
      </c>
      <c r="Z150">
        <v>1458977.08175331</v>
      </c>
      <c r="AA150">
        <v>0.79823540525279901</v>
      </c>
      <c r="AB150">
        <v>1691070.04637267</v>
      </c>
      <c r="AC150">
        <v>981940.69460466702</v>
      </c>
      <c r="AD150">
        <v>1349871.9837771601</v>
      </c>
      <c r="AE150">
        <v>-2710234.4078752701</v>
      </c>
      <c r="AF150">
        <v>-142884.07928319601</v>
      </c>
      <c r="AG150">
        <v>5.5594999999999999E-2</v>
      </c>
      <c r="AH150">
        <v>-8257109.7742837397</v>
      </c>
      <c r="AI150">
        <v>3662706.4568881998</v>
      </c>
      <c r="AJ150">
        <v>0.06</v>
      </c>
      <c r="AK150">
        <v>0.05</v>
      </c>
      <c r="AL150">
        <v>8.8099999999999998E-2</v>
      </c>
      <c r="AM150">
        <v>3.8100000000000002E-2</v>
      </c>
      <c r="AN150">
        <v>0.89</v>
      </c>
      <c r="AO150">
        <v>0.66</v>
      </c>
      <c r="AP150">
        <v>0.42970000000000003</v>
      </c>
      <c r="AQ150">
        <v>0.57030000000000003</v>
      </c>
      <c r="AR150">
        <v>8.9999999999999993E-3</v>
      </c>
      <c r="AS150">
        <v>0.5</v>
      </c>
      <c r="AT150">
        <v>1.82</v>
      </c>
      <c r="AU150">
        <v>6.3545217126973294E-2</v>
      </c>
      <c r="AV150">
        <v>0.7893</v>
      </c>
      <c r="AW150">
        <v>3</v>
      </c>
      <c r="AX150">
        <v>0.05</v>
      </c>
      <c r="AY150">
        <v>1</v>
      </c>
      <c r="AZ150">
        <v>1</v>
      </c>
      <c r="BA150" s="2">
        <f>modelo_tese_H__2[[#This Row],[Vw]]+modelo_tese_H__2[[#This Row],[Vr]]+modelo_tese_H__2[[#This Row],[K]]-modelo_tese_H__2[[#This Row],[E]]</f>
        <v>-2803277.75773618</v>
      </c>
      <c r="BB150" s="2">
        <f>modelo_tese_H__2[[#This Row],[K]]-modelo_tese_H__2[[#This Row],[Coluna1]]</f>
        <v>6053380.3991488498</v>
      </c>
      <c r="BC150">
        <f>modelo_tese_H__2[[#This Row],[Coluna2]]/modelo_tese_H__2[[#This Row],[Coluna1]]</f>
        <v>-2.1593937248791675</v>
      </c>
      <c r="BD150" s="8">
        <f>modelo_tese_H__2[[#This Row],[D]]-modelo_tese_H__2[[#This Row],[Dw]]-modelo_tese_H__2[[#This Row],[Dr]]</f>
        <v>9.7788870334625244E-9</v>
      </c>
    </row>
    <row r="151" spans="1:56" x14ac:dyDescent="0.25">
      <c r="A151">
        <v>150</v>
      </c>
      <c r="B151">
        <v>150</v>
      </c>
      <c r="C151">
        <v>812852.39659219305</v>
      </c>
      <c r="D151">
        <v>367494.49519098899</v>
      </c>
      <c r="E151">
        <v>327070.10071998002</v>
      </c>
      <c r="F151">
        <v>43121.566752562401</v>
      </c>
      <c r="G151">
        <v>1189501.4357712299</v>
      </c>
      <c r="H151">
        <v>270091.25987691898</v>
      </c>
      <c r="I151">
        <v>640282.92734946101</v>
      </c>
      <c r="J151">
        <v>486059.96674415498</v>
      </c>
      <c r="K151">
        <v>3042924.9888913799</v>
      </c>
      <c r="L151">
        <v>-272788.43215847301</v>
      </c>
      <c r="M151">
        <v>3528984.9556355299</v>
      </c>
      <c r="N151">
        <v>-5186752.21516864</v>
      </c>
      <c r="O151">
        <v>600758.30089455994</v>
      </c>
      <c r="P151">
        <v>396500.47859040898</v>
      </c>
      <c r="Q151">
        <v>612454.27812671498</v>
      </c>
      <c r="R151">
        <v>306227.13906335703</v>
      </c>
      <c r="S151">
        <v>306227.13906335703</v>
      </c>
      <c r="T151">
        <v>294531.16183120199</v>
      </c>
      <c r="U151">
        <v>121961.69258847</v>
      </c>
      <c r="V151">
        <v>2325691.0677233599</v>
      </c>
      <c r="W151">
        <v>388523.26877903799</v>
      </c>
      <c r="X151">
        <v>0.27258924389424199</v>
      </c>
      <c r="Y151">
        <v>3432097.4321581898</v>
      </c>
      <c r="Z151">
        <v>1541273.21146899</v>
      </c>
      <c r="AA151">
        <v>0.79814653080029996</v>
      </c>
      <c r="AB151">
        <v>1785770.6820948699</v>
      </c>
      <c r="AC151">
        <v>1036783.40593987</v>
      </c>
      <c r="AD151">
        <v>1425306.6747189099</v>
      </c>
      <c r="AE151">
        <v>-2861061.1474452801</v>
      </c>
      <c r="AF151">
        <v>-150826.73957000201</v>
      </c>
      <c r="AG151">
        <v>5.5594999999999999E-2</v>
      </c>
      <c r="AH151">
        <v>-8715737.1708041709</v>
      </c>
      <c r="AI151">
        <v>3866964.2791923499</v>
      </c>
      <c r="AJ151">
        <v>0.06</v>
      </c>
      <c r="AK151">
        <v>0.05</v>
      </c>
      <c r="AL151">
        <v>8.8099999999999998E-2</v>
      </c>
      <c r="AM151">
        <v>3.8100000000000002E-2</v>
      </c>
      <c r="AN151">
        <v>0.89</v>
      </c>
      <c r="AO151">
        <v>0.66</v>
      </c>
      <c r="AP151">
        <v>0.42970000000000003</v>
      </c>
      <c r="AQ151">
        <v>0.57030000000000003</v>
      </c>
      <c r="AR151">
        <v>8.9999999999999993E-3</v>
      </c>
      <c r="AS151">
        <v>0.5</v>
      </c>
      <c r="AT151">
        <v>1.82</v>
      </c>
      <c r="AU151">
        <v>6.3545217126973294E-2</v>
      </c>
      <c r="AV151">
        <v>0.7893</v>
      </c>
      <c r="AW151">
        <v>3</v>
      </c>
      <c r="AX151">
        <v>0.05</v>
      </c>
      <c r="AY151">
        <v>1</v>
      </c>
      <c r="AZ151">
        <v>1</v>
      </c>
      <c r="BA151" s="2">
        <f>modelo_tese_H__2[[#This Row],[Vw]]+modelo_tese_H__2[[#This Row],[Vr]]+modelo_tese_H__2[[#This Row],[K]]-modelo_tese_H__2[[#This Row],[E]]</f>
        <v>-2957948.6709226212</v>
      </c>
      <c r="BB151" s="2">
        <f>modelo_tese_H__2[[#This Row],[K]]-modelo_tese_H__2[[#This Row],[Coluna1]]</f>
        <v>6390046.103080811</v>
      </c>
      <c r="BC151">
        <f>modelo_tese_H__2[[#This Row],[Coluna2]]/modelo_tese_H__2[[#This Row],[Coluna1]]</f>
        <v>-2.1602964804279972</v>
      </c>
      <c r="BD151" s="8">
        <f>modelo_tese_H__2[[#This Row],[D]]-modelo_tese_H__2[[#This Row],[Dw]]-modelo_tese_H__2[[#This Row],[Dr]]</f>
        <v>0</v>
      </c>
    </row>
    <row r="152" spans="1:56" x14ac:dyDescent="0.25">
      <c r="A152">
        <v>151</v>
      </c>
      <c r="B152">
        <v>151</v>
      </c>
      <c r="C152">
        <v>858274.67131182202</v>
      </c>
      <c r="D152">
        <v>388160.171685907</v>
      </c>
      <c r="E152">
        <v>345462.55280045699</v>
      </c>
      <c r="F152">
        <v>45516.901380433599</v>
      </c>
      <c r="G152">
        <v>1255800.5804091301</v>
      </c>
      <c r="H152">
        <v>285106.98346977599</v>
      </c>
      <c r="I152">
        <v>676086.43765066704</v>
      </c>
      <c r="J152">
        <v>513057.98339163698</v>
      </c>
      <c r="K152">
        <v>3212096.5302843899</v>
      </c>
      <c r="L152">
        <v>-287926.26596475998</v>
      </c>
      <c r="M152">
        <v>3725154.5136760301</v>
      </c>
      <c r="N152">
        <v>-5474678.4811334005</v>
      </c>
      <c r="O152">
        <v>634242.717378348</v>
      </c>
      <c r="P152">
        <v>418600.19346971001</v>
      </c>
      <c r="Q152">
        <v>646678.28557371499</v>
      </c>
      <c r="R152">
        <v>323339.14278685802</v>
      </c>
      <c r="S152">
        <v>323339.14278685802</v>
      </c>
      <c r="T152">
        <v>310903.57459149102</v>
      </c>
      <c r="U152">
        <v>128715.34093033501</v>
      </c>
      <c r="V152">
        <v>2454406.4086536998</v>
      </c>
      <c r="W152">
        <v>410266.32576516102</v>
      </c>
      <c r="X152">
        <v>0.27261073104517602</v>
      </c>
      <c r="Y152">
        <v>3624270.38139593</v>
      </c>
      <c r="Z152">
        <v>1628200.3944472901</v>
      </c>
      <c r="AA152">
        <v>0.79805845716020796</v>
      </c>
      <c r="AB152">
        <v>1885767.8198671399</v>
      </c>
      <c r="AC152">
        <v>1094686.63112038</v>
      </c>
      <c r="AD152">
        <v>1504952.9568855399</v>
      </c>
      <c r="AE152">
        <v>-3020272.0724797002</v>
      </c>
      <c r="AF152">
        <v>-159210.92503442499</v>
      </c>
      <c r="AG152">
        <v>5.5594999999999999E-2</v>
      </c>
      <c r="AH152">
        <v>-9199832.9948094301</v>
      </c>
      <c r="AI152">
        <v>4082606.8031009901</v>
      </c>
      <c r="AJ152">
        <v>0.06</v>
      </c>
      <c r="AK152">
        <v>0.05</v>
      </c>
      <c r="AL152">
        <v>8.8099999999999998E-2</v>
      </c>
      <c r="AM152">
        <v>3.8100000000000002E-2</v>
      </c>
      <c r="AN152">
        <v>0.89</v>
      </c>
      <c r="AO152">
        <v>0.66</v>
      </c>
      <c r="AP152">
        <v>0.42970000000000003</v>
      </c>
      <c r="AQ152">
        <v>0.57030000000000003</v>
      </c>
      <c r="AR152">
        <v>8.9999999999999993E-3</v>
      </c>
      <c r="AS152">
        <v>0.5</v>
      </c>
      <c r="AT152">
        <v>1.82</v>
      </c>
      <c r="AU152">
        <v>6.3545217126973294E-2</v>
      </c>
      <c r="AV152">
        <v>0.7893</v>
      </c>
      <c r="AW152">
        <v>3</v>
      </c>
      <c r="AX152">
        <v>0.05</v>
      </c>
      <c r="AY152">
        <v>1</v>
      </c>
      <c r="AZ152">
        <v>1</v>
      </c>
      <c r="BA152" s="2">
        <f>modelo_tese_H__2[[#This Row],[Vw]]+modelo_tese_H__2[[#This Row],[Vr]]+modelo_tese_H__2[[#This Row],[K]]-modelo_tese_H__2[[#This Row],[E]]</f>
        <v>-3121156.2047597999</v>
      </c>
      <c r="BB152" s="2">
        <f>modelo_tese_H__2[[#This Row],[K]]-modelo_tese_H__2[[#This Row],[Coluna1]]</f>
        <v>6745426.5861557294</v>
      </c>
      <c r="BC152">
        <f>modelo_tese_H__2[[#This Row],[Coluna2]]/modelo_tese_H__2[[#This Row],[Coluna1]]</f>
        <v>-2.1611948084715769</v>
      </c>
      <c r="BD152" s="8">
        <f>modelo_tese_H__2[[#This Row],[D]]-modelo_tese_H__2[[#This Row],[Dw]]-modelo_tese_H__2[[#This Row],[Dr]]</f>
        <v>0</v>
      </c>
    </row>
    <row r="153" spans="1:56" x14ac:dyDescent="0.25">
      <c r="A153">
        <v>152</v>
      </c>
      <c r="B153">
        <v>152</v>
      </c>
      <c r="C153">
        <v>906232.80888530705</v>
      </c>
      <c r="D153">
        <v>409985.51606077101</v>
      </c>
      <c r="E153">
        <v>364887.109294086</v>
      </c>
      <c r="F153">
        <v>48045.311806155398</v>
      </c>
      <c r="G153">
        <v>1325793.3454171999</v>
      </c>
      <c r="H153">
        <v>300957.506215778</v>
      </c>
      <c r="I153">
        <v>713889.92731602001</v>
      </c>
      <c r="J153">
        <v>541555.78603057098</v>
      </c>
      <c r="K153">
        <v>3390673.1586963399</v>
      </c>
      <c r="L153">
        <v>-303904.411255249</v>
      </c>
      <c r="M153">
        <v>3932228.94472691</v>
      </c>
      <c r="N153">
        <v>-5778582.8923886502</v>
      </c>
      <c r="O153">
        <v>669592.59869555302</v>
      </c>
      <c r="P153">
        <v>441931.11513906502</v>
      </c>
      <c r="Q153">
        <v>682812.97208138905</v>
      </c>
      <c r="R153">
        <v>341406.48604069499</v>
      </c>
      <c r="S153">
        <v>341406.48604069499</v>
      </c>
      <c r="T153">
        <v>328186.11265485798</v>
      </c>
      <c r="U153">
        <v>135843.23108557201</v>
      </c>
      <c r="V153">
        <v>2590249.6397392699</v>
      </c>
      <c r="W153">
        <v>433224.73851161101</v>
      </c>
      <c r="X153">
        <v>0.27263200576138502</v>
      </c>
      <c r="Y153">
        <v>3827190.07159488</v>
      </c>
      <c r="Z153">
        <v>1720018.64691821</v>
      </c>
      <c r="AA153">
        <v>0.79797118233918196</v>
      </c>
      <c r="AB153">
        <v>1991357.35241535</v>
      </c>
      <c r="AC153">
        <v>1155821.04245509</v>
      </c>
      <c r="AD153">
        <v>1589045.7809667001</v>
      </c>
      <c r="AE153">
        <v>-3188333.2526493799</v>
      </c>
      <c r="AF153">
        <v>-168061.18016967701</v>
      </c>
      <c r="AG153">
        <v>5.5594999999999999E-2</v>
      </c>
      <c r="AH153">
        <v>-9710811.8371155597</v>
      </c>
      <c r="AI153">
        <v>4310268.2866574796</v>
      </c>
      <c r="AJ153">
        <v>0.06</v>
      </c>
      <c r="AK153">
        <v>0.05</v>
      </c>
      <c r="AL153">
        <v>8.8099999999999998E-2</v>
      </c>
      <c r="AM153">
        <v>3.8100000000000002E-2</v>
      </c>
      <c r="AN153">
        <v>0.89</v>
      </c>
      <c r="AO153">
        <v>0.66</v>
      </c>
      <c r="AP153">
        <v>0.42970000000000003</v>
      </c>
      <c r="AQ153">
        <v>0.57030000000000003</v>
      </c>
      <c r="AR153">
        <v>8.9999999999999993E-3</v>
      </c>
      <c r="AS153">
        <v>0.5</v>
      </c>
      <c r="AT153">
        <v>1.82</v>
      </c>
      <c r="AU153">
        <v>6.3545217126973294E-2</v>
      </c>
      <c r="AV153">
        <v>0.7893</v>
      </c>
      <c r="AW153">
        <v>3</v>
      </c>
      <c r="AX153">
        <v>0.05</v>
      </c>
      <c r="AY153">
        <v>1</v>
      </c>
      <c r="AZ153">
        <v>1</v>
      </c>
      <c r="BA153" s="2">
        <f>modelo_tese_H__2[[#This Row],[Vw]]+modelo_tese_H__2[[#This Row],[Vr]]+modelo_tese_H__2[[#This Row],[K]]-modelo_tese_H__2[[#This Row],[E]]</f>
        <v>-3293372.1257814104</v>
      </c>
      <c r="BB153" s="2">
        <f>modelo_tese_H__2[[#This Row],[K]]-modelo_tese_H__2[[#This Row],[Coluna1]]</f>
        <v>7120562.1973762903</v>
      </c>
      <c r="BC153">
        <f>modelo_tese_H__2[[#This Row],[Coluna2]]/modelo_tese_H__2[[#This Row],[Coluna1]]</f>
        <v>-2.1620885601218878</v>
      </c>
      <c r="BD153" s="8">
        <f>modelo_tese_H__2[[#This Row],[D]]-modelo_tese_H__2[[#This Row],[Dw]]-modelo_tese_H__2[[#This Row],[Dr]]</f>
        <v>0</v>
      </c>
    </row>
    <row r="154" spans="1:56" x14ac:dyDescent="0.25">
      <c r="A154">
        <v>153</v>
      </c>
      <c r="B154">
        <v>153</v>
      </c>
      <c r="C154">
        <v>956868.27185931604</v>
      </c>
      <c r="D154">
        <v>433035.48790478299</v>
      </c>
      <c r="E154">
        <v>385401.584235257</v>
      </c>
      <c r="F154">
        <v>50714.192181882798</v>
      </c>
      <c r="G154">
        <v>1399685.4278729099</v>
      </c>
      <c r="H154">
        <v>317689.23877384502</v>
      </c>
      <c r="I154">
        <v>753805.01519098401</v>
      </c>
      <c r="J154">
        <v>571636.70276468899</v>
      </c>
      <c r="K154">
        <v>3579177.7501238501</v>
      </c>
      <c r="L154">
        <v>-320769.52728620102</v>
      </c>
      <c r="M154">
        <v>4150814.45288854</v>
      </c>
      <c r="N154">
        <v>-6099352.4196748501</v>
      </c>
      <c r="O154">
        <v>706911.83225904696</v>
      </c>
      <c r="P154">
        <v>466561.80929097102</v>
      </c>
      <c r="Q154">
        <v>720964.92445721198</v>
      </c>
      <c r="R154">
        <v>360482.46222860599</v>
      </c>
      <c r="S154">
        <v>360482.46222860599</v>
      </c>
      <c r="T154">
        <v>346429.37003044097</v>
      </c>
      <c r="U154">
        <v>143366.11336210801</v>
      </c>
      <c r="V154">
        <v>2733615.7531013801</v>
      </c>
      <c r="W154">
        <v>457466.37183457398</v>
      </c>
      <c r="X154">
        <v>0.272653069946935</v>
      </c>
      <c r="Y154">
        <v>4041456.8193437601</v>
      </c>
      <c r="Z154">
        <v>1817002.5565241801</v>
      </c>
      <c r="AA154">
        <v>0.79788470396599698</v>
      </c>
      <c r="AB154">
        <v>2102851.6876894902</v>
      </c>
      <c r="AC154">
        <v>1220366.8244819499</v>
      </c>
      <c r="AD154">
        <v>1677833.19631653</v>
      </c>
      <c r="AE154">
        <v>-3365736.66657347</v>
      </c>
      <c r="AF154">
        <v>-177403.41392409301</v>
      </c>
      <c r="AG154">
        <v>5.5594999999999999E-2</v>
      </c>
      <c r="AH154">
        <v>-10250166.872563399</v>
      </c>
      <c r="AI154">
        <v>4550618.3096255502</v>
      </c>
      <c r="AJ154">
        <v>0.06</v>
      </c>
      <c r="AK154">
        <v>0.05</v>
      </c>
      <c r="AL154">
        <v>8.8099999999999998E-2</v>
      </c>
      <c r="AM154">
        <v>3.8100000000000002E-2</v>
      </c>
      <c r="AN154">
        <v>0.89</v>
      </c>
      <c r="AO154">
        <v>0.66</v>
      </c>
      <c r="AP154">
        <v>0.42970000000000003</v>
      </c>
      <c r="AQ154">
        <v>0.57030000000000003</v>
      </c>
      <c r="AR154">
        <v>8.9999999999999993E-3</v>
      </c>
      <c r="AS154">
        <v>0.5</v>
      </c>
      <c r="AT154">
        <v>1.82</v>
      </c>
      <c r="AU154">
        <v>6.3545217126973294E-2</v>
      </c>
      <c r="AV154">
        <v>0.7893</v>
      </c>
      <c r="AW154">
        <v>3</v>
      </c>
      <c r="AX154">
        <v>0.05</v>
      </c>
      <c r="AY154">
        <v>1</v>
      </c>
      <c r="AZ154">
        <v>1</v>
      </c>
      <c r="BA154" s="2">
        <f>modelo_tese_H__2[[#This Row],[Vw]]+modelo_tese_H__2[[#This Row],[Vr]]+modelo_tese_H__2[[#This Row],[K]]-modelo_tese_H__2[[#This Row],[E]]</f>
        <v>-3475094.3001182694</v>
      </c>
      <c r="BB154" s="2">
        <f>modelo_tese_H__2[[#This Row],[K]]-modelo_tese_H__2[[#This Row],[Coluna1]]</f>
        <v>7516551.11946203</v>
      </c>
      <c r="BC154">
        <f>modelo_tese_H__2[[#This Row],[Coluna2]]/modelo_tese_H__2[[#This Row],[Coluna1]]</f>
        <v>-2.1629775972428189</v>
      </c>
      <c r="BD154" s="8">
        <f>modelo_tese_H__2[[#This Row],[D]]-modelo_tese_H__2[[#This Row],[Dw]]-modelo_tese_H__2[[#This Row],[Dr]]</f>
        <v>0</v>
      </c>
    </row>
    <row r="155" spans="1:56" x14ac:dyDescent="0.25">
      <c r="A155">
        <v>154</v>
      </c>
      <c r="B155">
        <v>154</v>
      </c>
      <c r="C155">
        <v>1010330.40919525</v>
      </c>
      <c r="D155">
        <v>457378.68034209299</v>
      </c>
      <c r="E155">
        <v>407067.025504463</v>
      </c>
      <c r="F155">
        <v>53531.347547163299</v>
      </c>
      <c r="G155">
        <v>1477693.9764477301</v>
      </c>
      <c r="H155">
        <v>335351.17200347601</v>
      </c>
      <c r="I155">
        <v>795949.54505510302</v>
      </c>
      <c r="J155">
        <v>603388.69193651702</v>
      </c>
      <c r="K155">
        <v>3778162.24984761</v>
      </c>
      <c r="L155">
        <v>-338570.86471301003</v>
      </c>
      <c r="M155">
        <v>4381550.9417841304</v>
      </c>
      <c r="N155">
        <v>-6437923.2843878604</v>
      </c>
      <c r="O155">
        <v>746310.089115015</v>
      </c>
      <c r="P155">
        <v>492564.65881590999</v>
      </c>
      <c r="Q155">
        <v>761246.67163106904</v>
      </c>
      <c r="R155">
        <v>380623.33581553499</v>
      </c>
      <c r="S155">
        <v>380623.33581553499</v>
      </c>
      <c r="T155">
        <v>365686.75329948001</v>
      </c>
      <c r="U155">
        <v>151305.88915933299</v>
      </c>
      <c r="V155">
        <v>2884921.6422607098</v>
      </c>
      <c r="W155">
        <v>483062.87695530697</v>
      </c>
      <c r="X155">
        <v>0.27267392550032199</v>
      </c>
      <c r="Y155">
        <v>4267704.4452045802</v>
      </c>
      <c r="Z155">
        <v>1919442.0976639499</v>
      </c>
      <c r="AA155">
        <v>0.79779901932181196</v>
      </c>
      <c r="AB155">
        <v>2220580.6699691</v>
      </c>
      <c r="AC155">
        <v>1288514.2038710101</v>
      </c>
      <c r="AD155">
        <v>1771577.08082632</v>
      </c>
      <c r="AE155">
        <v>-3553001.6421271502</v>
      </c>
      <c r="AF155">
        <v>-187264.97555367599</v>
      </c>
      <c r="AG155">
        <v>5.5594999999999999E-2</v>
      </c>
      <c r="AH155">
        <v>-10819474.226172</v>
      </c>
      <c r="AI155">
        <v>4804363.73992466</v>
      </c>
      <c r="AJ155">
        <v>0.06</v>
      </c>
      <c r="AK155">
        <v>0.05</v>
      </c>
      <c r="AL155">
        <v>8.8099999999999998E-2</v>
      </c>
      <c r="AM155">
        <v>3.8100000000000002E-2</v>
      </c>
      <c r="AN155">
        <v>0.89</v>
      </c>
      <c r="AO155">
        <v>0.66</v>
      </c>
      <c r="AP155">
        <v>0.42970000000000003</v>
      </c>
      <c r="AQ155">
        <v>0.57030000000000003</v>
      </c>
      <c r="AR155">
        <v>8.9999999999999993E-3</v>
      </c>
      <c r="AS155">
        <v>0.5</v>
      </c>
      <c r="AT155">
        <v>1.82</v>
      </c>
      <c r="AU155">
        <v>6.3545217126973294E-2</v>
      </c>
      <c r="AV155">
        <v>0.7893</v>
      </c>
      <c r="AW155">
        <v>3</v>
      </c>
      <c r="AX155">
        <v>0.05</v>
      </c>
      <c r="AY155">
        <v>1</v>
      </c>
      <c r="AZ155">
        <v>1</v>
      </c>
      <c r="BA155" s="2">
        <f>modelo_tese_H__2[[#This Row],[Vw]]+modelo_tese_H__2[[#This Row],[Vr]]+modelo_tese_H__2[[#This Row],[K]]-modelo_tese_H__2[[#This Row],[E]]</f>
        <v>-3666848.1387067102</v>
      </c>
      <c r="BB155" s="2">
        <f>modelo_tese_H__2[[#This Row],[K]]-modelo_tese_H__2[[#This Row],[Coluna1]]</f>
        <v>7934552.5839112904</v>
      </c>
      <c r="BC155">
        <f>modelo_tese_H__2[[#This Row],[Coluna2]]/modelo_tese_H__2[[#This Row],[Coluna1]]</f>
        <v>-2.1638617918629679</v>
      </c>
      <c r="BD155" s="8">
        <f>modelo_tese_H__2[[#This Row],[D]]-modelo_tese_H__2[[#This Row],[Dw]]-modelo_tese_H__2[[#This Row],[Dr]]</f>
        <v>0</v>
      </c>
    </row>
    <row r="156" spans="1:56" x14ac:dyDescent="0.25">
      <c r="A156">
        <v>155</v>
      </c>
      <c r="B156">
        <v>155</v>
      </c>
      <c r="C156">
        <v>1066776.8956992901</v>
      </c>
      <c r="D156">
        <v>483087.52303662401</v>
      </c>
      <c r="E156">
        <v>429947.89550259599</v>
      </c>
      <c r="F156">
        <v>56505.0166636215</v>
      </c>
      <c r="G156">
        <v>1560048.22877503</v>
      </c>
      <c r="H156">
        <v>353995.02041101002</v>
      </c>
      <c r="I156">
        <v>840447.93257722701</v>
      </c>
      <c r="J156">
        <v>636904.59943735797</v>
      </c>
      <c r="K156">
        <v>3988209.2885394199</v>
      </c>
      <c r="L156">
        <v>-357360.40954060201</v>
      </c>
      <c r="M156">
        <v>4625113.8879767796</v>
      </c>
      <c r="N156">
        <v>-6795283.6939284597</v>
      </c>
      <c r="O156">
        <v>787903.14584597305</v>
      </c>
      <c r="P156">
        <v>520016.07625834201</v>
      </c>
      <c r="Q156">
        <v>803777.01574958197</v>
      </c>
      <c r="R156">
        <v>401888.50787479099</v>
      </c>
      <c r="S156">
        <v>401888.50787479099</v>
      </c>
      <c r="T156">
        <v>386014.63797118102</v>
      </c>
      <c r="U156">
        <v>159685.674849114</v>
      </c>
      <c r="V156">
        <v>3044607.3171098302</v>
      </c>
      <c r="W156">
        <v>510089.90261330799</v>
      </c>
      <c r="X156">
        <v>0.272694574313666</v>
      </c>
      <c r="Y156">
        <v>4506602.14221361</v>
      </c>
      <c r="Z156">
        <v>2027643.49240246</v>
      </c>
      <c r="AA156">
        <v>0.79771412536834196</v>
      </c>
      <c r="AB156">
        <v>2344892.5523102102</v>
      </c>
      <c r="AC156">
        <v>1360464.00883557</v>
      </c>
      <c r="AD156">
        <v>1870553.9114488801</v>
      </c>
      <c r="AE156">
        <v>-3750676.3768186402</v>
      </c>
      <c r="AF156">
        <v>-197674.734691488</v>
      </c>
      <c r="AG156">
        <v>5.5594999999999999E-2</v>
      </c>
      <c r="AH156">
        <v>-11420397.581905199</v>
      </c>
      <c r="AI156">
        <v>5072250.8095122902</v>
      </c>
      <c r="AJ156">
        <v>0.06</v>
      </c>
      <c r="AK156">
        <v>0.05</v>
      </c>
      <c r="AL156">
        <v>8.8099999999999998E-2</v>
      </c>
      <c r="AM156">
        <v>3.8100000000000002E-2</v>
      </c>
      <c r="AN156">
        <v>0.89</v>
      </c>
      <c r="AO156">
        <v>0.66</v>
      </c>
      <c r="AP156">
        <v>0.42970000000000003</v>
      </c>
      <c r="AQ156">
        <v>0.57030000000000003</v>
      </c>
      <c r="AR156">
        <v>8.9999999999999993E-3</v>
      </c>
      <c r="AS156">
        <v>0.5</v>
      </c>
      <c r="AT156">
        <v>1.82</v>
      </c>
      <c r="AU156">
        <v>6.3545217126973294E-2</v>
      </c>
      <c r="AV156">
        <v>0.7893</v>
      </c>
      <c r="AW156">
        <v>3</v>
      </c>
      <c r="AX156">
        <v>0.05</v>
      </c>
      <c r="AY156">
        <v>1</v>
      </c>
      <c r="AZ156">
        <v>1</v>
      </c>
      <c r="BA156" s="2">
        <f>modelo_tese_H__2[[#This Row],[Vw]]+modelo_tese_H__2[[#This Row],[Vr]]+modelo_tese_H__2[[#This Row],[K]]-modelo_tese_H__2[[#This Row],[E]]</f>
        <v>-3869188.122581759</v>
      </c>
      <c r="BB156" s="2">
        <f>modelo_tese_H__2[[#This Row],[K]]-modelo_tese_H__2[[#This Row],[Coluna1]]</f>
        <v>8375790.2647953685</v>
      </c>
      <c r="BC156">
        <f>modelo_tese_H__2[[#This Row],[Coluna2]]/modelo_tese_H__2[[#This Row],[Coluna1]]</f>
        <v>-2.1647410256202608</v>
      </c>
      <c r="BD156" s="8">
        <f>modelo_tese_H__2[[#This Row],[D]]-modelo_tese_H__2[[#This Row],[Dw]]-modelo_tese_H__2[[#This Row],[Dr]]</f>
        <v>-1.0710209608078003E-8</v>
      </c>
    </row>
    <row r="157" spans="1:56" x14ac:dyDescent="0.25">
      <c r="A157">
        <v>156</v>
      </c>
      <c r="B157">
        <v>156</v>
      </c>
      <c r="C157">
        <v>1126374.1959270199</v>
      </c>
      <c r="D157">
        <v>510238.49652798398</v>
      </c>
      <c r="E157">
        <v>454112.261909906</v>
      </c>
      <c r="F157">
        <v>59643.896118748999</v>
      </c>
      <c r="G157">
        <v>1646990.1842848801</v>
      </c>
      <c r="H157">
        <v>373675.37357076001</v>
      </c>
      <c r="I157">
        <v>887431.531599415</v>
      </c>
      <c r="J157">
        <v>672282.43031754298</v>
      </c>
      <c r="K157">
        <v>4209933.8882168299</v>
      </c>
      <c r="L157">
        <v>-377193.03507142997</v>
      </c>
      <c r="M157">
        <v>4882216.3185343798</v>
      </c>
      <c r="N157">
        <v>-7172476.7289998904</v>
      </c>
      <c r="O157">
        <v>831813.22438630601</v>
      </c>
      <c r="P157">
        <v>548996.72809496196</v>
      </c>
      <c r="Q157">
        <v>848681.38171110197</v>
      </c>
      <c r="R157">
        <v>424340.69085555099</v>
      </c>
      <c r="S157">
        <v>424340.69085555099</v>
      </c>
      <c r="T157">
        <v>407472.53353075503</v>
      </c>
      <c r="U157">
        <v>168529.86920314701</v>
      </c>
      <c r="V157">
        <v>3213137.1863129698</v>
      </c>
      <c r="W157">
        <v>538627.31794374797</v>
      </c>
      <c r="X157">
        <v>0.27271501827197903</v>
      </c>
      <c r="Y157">
        <v>4758856.44852552</v>
      </c>
      <c r="Z157">
        <v>2141930.1194906598</v>
      </c>
      <c r="AA157">
        <v>0.79763001877413198</v>
      </c>
      <c r="AB157">
        <v>2476155.0231942902</v>
      </c>
      <c r="AC157">
        <v>1436428.25969438</v>
      </c>
      <c r="AD157">
        <v>1975055.5776381199</v>
      </c>
      <c r="AE157">
        <v>-3959339.5426869201</v>
      </c>
      <c r="AF157">
        <v>-208663.16586828299</v>
      </c>
      <c r="AG157">
        <v>5.5594999999999999E-2</v>
      </c>
      <c r="AH157">
        <v>-12054693.0475343</v>
      </c>
      <c r="AI157">
        <v>5355067.3058036296</v>
      </c>
      <c r="AJ157">
        <v>0.06</v>
      </c>
      <c r="AK157">
        <v>0.05</v>
      </c>
      <c r="AL157">
        <v>8.8099999999999998E-2</v>
      </c>
      <c r="AM157">
        <v>3.8100000000000002E-2</v>
      </c>
      <c r="AN157">
        <v>0.89</v>
      </c>
      <c r="AO157">
        <v>0.66</v>
      </c>
      <c r="AP157">
        <v>0.42970000000000003</v>
      </c>
      <c r="AQ157">
        <v>0.57030000000000003</v>
      </c>
      <c r="AR157">
        <v>8.9999999999999993E-3</v>
      </c>
      <c r="AS157">
        <v>0.5</v>
      </c>
      <c r="AT157">
        <v>1.82</v>
      </c>
      <c r="AU157">
        <v>6.3545217126973294E-2</v>
      </c>
      <c r="AV157">
        <v>0.7893</v>
      </c>
      <c r="AW157">
        <v>3</v>
      </c>
      <c r="AX157">
        <v>0.05</v>
      </c>
      <c r="AY157">
        <v>1</v>
      </c>
      <c r="AZ157">
        <v>1</v>
      </c>
      <c r="BA157" s="2">
        <f>modelo_tese_H__2[[#This Row],[Vw]]+modelo_tese_H__2[[#This Row],[Vr]]+modelo_tese_H__2[[#This Row],[K]]-modelo_tese_H__2[[#This Row],[E]]</f>
        <v>-4082699.4126958102</v>
      </c>
      <c r="BB157" s="2">
        <f>modelo_tese_H__2[[#This Row],[K]]-modelo_tese_H__2[[#This Row],[Coluna1]]</f>
        <v>8841555.8612213302</v>
      </c>
      <c r="BC157">
        <f>modelo_tese_H__2[[#This Row],[Coluna2]]/modelo_tese_H__2[[#This Row],[Coluna1]]</f>
        <v>-2.1656151892365849</v>
      </c>
      <c r="BD157" s="8">
        <f>modelo_tese_H__2[[#This Row],[D]]-modelo_tese_H__2[[#This Row],[Dw]]-modelo_tese_H__2[[#This Row],[Dr]]</f>
        <v>0</v>
      </c>
    </row>
    <row r="158" spans="1:56" x14ac:dyDescent="0.25">
      <c r="A158">
        <v>157</v>
      </c>
      <c r="B158">
        <v>157</v>
      </c>
      <c r="C158">
        <v>1189298.0539251501</v>
      </c>
      <c r="D158">
        <v>538912.35853041103</v>
      </c>
      <c r="E158">
        <v>479631.99909206602</v>
      </c>
      <c r="F158">
        <v>62957.165769339903</v>
      </c>
      <c r="G158">
        <v>1738775.31447886</v>
      </c>
      <c r="H158">
        <v>394449.85596442601</v>
      </c>
      <c r="I158">
        <v>937039.02082583203</v>
      </c>
      <c r="J158">
        <v>709625.63549178501</v>
      </c>
      <c r="K158">
        <v>4443985.2630401999</v>
      </c>
      <c r="L158">
        <v>-398126.662295421</v>
      </c>
      <c r="M158">
        <v>5153610.8985319799</v>
      </c>
      <c r="N158">
        <v>-7570603.3912953101</v>
      </c>
      <c r="O158">
        <v>878169.35074690101</v>
      </c>
      <c r="P158">
        <v>579591.77149295504</v>
      </c>
      <c r="Q158">
        <v>896092.18616804504</v>
      </c>
      <c r="R158">
        <v>448046.093084022</v>
      </c>
      <c r="S158">
        <v>448046.093084022</v>
      </c>
      <c r="T158">
        <v>430123.25766287901</v>
      </c>
      <c r="U158">
        <v>177864.22456356301</v>
      </c>
      <c r="V158">
        <v>3391001.41087654</v>
      </c>
      <c r="W158">
        <v>568759.44777440501</v>
      </c>
      <c r="X158">
        <v>0.27273525925248199</v>
      </c>
      <c r="Y158">
        <v>5025213.3300022697</v>
      </c>
      <c r="Z158">
        <v>2262643.4741810402</v>
      </c>
      <c r="AA158">
        <v>0.79754669593901695</v>
      </c>
      <c r="AB158">
        <v>2614756.2903986298</v>
      </c>
      <c r="AC158">
        <v>1516630.79231879</v>
      </c>
      <c r="AD158">
        <v>2085390.24009319</v>
      </c>
      <c r="AE158">
        <v>-4179601.9804187799</v>
      </c>
      <c r="AF158">
        <v>-220262.43773185799</v>
      </c>
      <c r="AG158">
        <v>5.5594999999999999E-2</v>
      </c>
      <c r="AH158">
        <v>-12724214.2898273</v>
      </c>
      <c r="AI158">
        <v>5653644.8850575797</v>
      </c>
      <c r="AJ158">
        <v>0.06</v>
      </c>
      <c r="AK158">
        <v>0.05</v>
      </c>
      <c r="AL158">
        <v>8.8099999999999998E-2</v>
      </c>
      <c r="AM158">
        <v>3.8100000000000002E-2</v>
      </c>
      <c r="AN158">
        <v>0.89</v>
      </c>
      <c r="AO158">
        <v>0.66</v>
      </c>
      <c r="AP158">
        <v>0.42970000000000003</v>
      </c>
      <c r="AQ158">
        <v>0.57030000000000003</v>
      </c>
      <c r="AR158">
        <v>8.9999999999999993E-3</v>
      </c>
      <c r="AS158">
        <v>0.5</v>
      </c>
      <c r="AT158">
        <v>1.82</v>
      </c>
      <c r="AU158">
        <v>6.3545217126973294E-2</v>
      </c>
      <c r="AV158">
        <v>0.7893</v>
      </c>
      <c r="AW158">
        <v>3</v>
      </c>
      <c r="AX158">
        <v>0.05</v>
      </c>
      <c r="AY158">
        <v>1</v>
      </c>
      <c r="AZ158">
        <v>1</v>
      </c>
      <c r="BA158" s="2">
        <f>modelo_tese_H__2[[#This Row],[Vw]]+modelo_tese_H__2[[#This Row],[Vr]]+modelo_tese_H__2[[#This Row],[K]]-modelo_tese_H__2[[#This Row],[E]]</f>
        <v>-4307999.548948491</v>
      </c>
      <c r="BB158" s="2">
        <f>modelo_tese_H__2[[#This Row],[K]]-modelo_tese_H__2[[#This Row],[Coluna1]]</f>
        <v>9333212.8789507598</v>
      </c>
      <c r="BC158">
        <f>modelo_tese_H__2[[#This Row],[Coluna2]]/modelo_tese_H__2[[#This Row],[Coluna1]]</f>
        <v>-2.1664841820210583</v>
      </c>
      <c r="BD158" s="8">
        <f>modelo_tese_H__2[[#This Row],[D]]-modelo_tese_H__2[[#This Row],[Dw]]-modelo_tese_H__2[[#This Row],[Dr]]</f>
        <v>-9.7788870334625244E-9</v>
      </c>
    </row>
    <row r="159" spans="1:56" x14ac:dyDescent="0.25">
      <c r="A159">
        <v>158</v>
      </c>
      <c r="B159">
        <v>158</v>
      </c>
      <c r="C159">
        <v>1255734.0102490101</v>
      </c>
      <c r="D159">
        <v>569194.38286202506</v>
      </c>
      <c r="E159">
        <v>506583.00074720202</v>
      </c>
      <c r="F159">
        <v>66454.515599029997</v>
      </c>
      <c r="G159">
        <v>1835673.3127278001</v>
      </c>
      <c r="H159">
        <v>416379.295706768</v>
      </c>
      <c r="I159">
        <v>989416.81205300102</v>
      </c>
      <c r="J159">
        <v>749043.41437857796</v>
      </c>
      <c r="K159">
        <v>4691048.7202251302</v>
      </c>
      <c r="L159">
        <v>-420222.42919097602</v>
      </c>
      <c r="M159">
        <v>5440092.1346037099</v>
      </c>
      <c r="N159">
        <v>-7990825.8204862904</v>
      </c>
      <c r="O159">
        <v>927107.73370091105</v>
      </c>
      <c r="P159">
        <v>611891.10424260097</v>
      </c>
      <c r="Q159">
        <v>946149.22708048602</v>
      </c>
      <c r="R159">
        <v>473074.61354024301</v>
      </c>
      <c r="S159">
        <v>473074.61354024301</v>
      </c>
      <c r="T159">
        <v>454033.12016066798</v>
      </c>
      <c r="U159">
        <v>187715.92196465499</v>
      </c>
      <c r="V159">
        <v>3578717.33284119</v>
      </c>
      <c r="W159">
        <v>600575.32103389699</v>
      </c>
      <c r="X159">
        <v>0.27275529912398899</v>
      </c>
      <c r="Y159">
        <v>5306460.3788718097</v>
      </c>
      <c r="Z159">
        <v>2390144.1816747002</v>
      </c>
      <c r="AA159">
        <v>0.79746415301693896</v>
      </c>
      <c r="AB159">
        <v>2761106.2252759701</v>
      </c>
      <c r="AC159">
        <v>1601307.9162955999</v>
      </c>
      <c r="AD159">
        <v>2201883.2373294998</v>
      </c>
      <c r="AE159">
        <v>-4412108.4876450999</v>
      </c>
      <c r="AF159">
        <v>-232506.507226321</v>
      </c>
      <c r="AG159">
        <v>5.5594999999999999E-2</v>
      </c>
      <c r="AH159">
        <v>-13430917.955089999</v>
      </c>
      <c r="AI159">
        <v>5968861.5145158898</v>
      </c>
      <c r="AJ159">
        <v>0.06</v>
      </c>
      <c r="AK159">
        <v>0.05</v>
      </c>
      <c r="AL159">
        <v>8.8099999999999998E-2</v>
      </c>
      <c r="AM159">
        <v>3.8100000000000002E-2</v>
      </c>
      <c r="AN159">
        <v>0.89</v>
      </c>
      <c r="AO159">
        <v>0.66</v>
      </c>
      <c r="AP159">
        <v>0.42970000000000003</v>
      </c>
      <c r="AQ159">
        <v>0.57030000000000003</v>
      </c>
      <c r="AR159">
        <v>8.9999999999999993E-3</v>
      </c>
      <c r="AS159">
        <v>0.5</v>
      </c>
      <c r="AT159">
        <v>1.82</v>
      </c>
      <c r="AU159">
        <v>6.3545217126973294E-2</v>
      </c>
      <c r="AV159">
        <v>0.7893</v>
      </c>
      <c r="AW159">
        <v>3</v>
      </c>
      <c r="AX159">
        <v>0.05</v>
      </c>
      <c r="AY159">
        <v>1</v>
      </c>
      <c r="AZ159">
        <v>1</v>
      </c>
      <c r="BA159" s="2">
        <f>modelo_tese_H__2[[#This Row],[Vw]]+modelo_tese_H__2[[#This Row],[Vr]]+modelo_tese_H__2[[#This Row],[K]]-modelo_tese_H__2[[#This Row],[E]]</f>
        <v>-4545740.2433770001</v>
      </c>
      <c r="BB159" s="2">
        <f>modelo_tese_H__2[[#This Row],[K]]-modelo_tese_H__2[[#This Row],[Coluna1]]</f>
        <v>9852200.6222488098</v>
      </c>
      <c r="BC159">
        <f>modelo_tese_H__2[[#This Row],[Coluna2]]/modelo_tese_H__2[[#This Row],[Coluna1]]</f>
        <v>-2.1673479113997232</v>
      </c>
      <c r="BD159" s="8">
        <f>modelo_tese_H__2[[#This Row],[D]]-modelo_tese_H__2[[#This Row],[Dw]]-modelo_tese_H__2[[#This Row],[Dr]]</f>
        <v>0</v>
      </c>
    </row>
    <row r="160" spans="1:56" x14ac:dyDescent="0.25">
      <c r="A160">
        <v>159</v>
      </c>
      <c r="B160">
        <v>159</v>
      </c>
      <c r="C160">
        <v>1325877.9477742901</v>
      </c>
      <c r="D160">
        <v>601174.61170866794</v>
      </c>
      <c r="E160">
        <v>535045.40442071401</v>
      </c>
      <c r="F160">
        <v>70146.174068538297</v>
      </c>
      <c r="G160">
        <v>1937968.8857914801</v>
      </c>
      <c r="H160">
        <v>439527.90265158599</v>
      </c>
      <c r="I160">
        <v>1044719.48114084</v>
      </c>
      <c r="J160">
        <v>790651.03435929201</v>
      </c>
      <c r="K160">
        <v>4951847.6666361401</v>
      </c>
      <c r="L160">
        <v>-443544.86943217099</v>
      </c>
      <c r="M160">
        <v>5742498.7009954397</v>
      </c>
      <c r="N160">
        <v>-8434370.6899184603</v>
      </c>
      <c r="O160">
        <v>978772.16454115103</v>
      </c>
      <c r="P160">
        <v>645989.62859715999</v>
      </c>
      <c r="Q160">
        <v>999000.09496512904</v>
      </c>
      <c r="R160">
        <v>499500.04748256499</v>
      </c>
      <c r="S160">
        <v>499500.04748256499</v>
      </c>
      <c r="T160">
        <v>479272.11705858703</v>
      </c>
      <c r="U160">
        <v>198113.65042513399</v>
      </c>
      <c r="V160">
        <v>3776830.9832663299</v>
      </c>
      <c r="W160">
        <v>634168.93300142197</v>
      </c>
      <c r="X160">
        <v>0.27277513974633399</v>
      </c>
      <c r="Y160">
        <v>5603429.1349221403</v>
      </c>
      <c r="Z160">
        <v>2524813.0671935598</v>
      </c>
      <c r="AA160">
        <v>0.79738238593714705</v>
      </c>
      <c r="AB160">
        <v>2915637.57080869</v>
      </c>
      <c r="AC160">
        <v>1690709.109738</v>
      </c>
      <c r="AD160">
        <v>2324878.0427394202</v>
      </c>
      <c r="AE160">
        <v>-4657539.70665213</v>
      </c>
      <c r="AF160">
        <v>-245431.219007037</v>
      </c>
      <c r="AG160">
        <v>5.5594999999999999E-2</v>
      </c>
      <c r="AH160">
        <v>-14176869.3909139</v>
      </c>
      <c r="AI160">
        <v>6301644.0504598804</v>
      </c>
      <c r="AJ160">
        <v>0.06</v>
      </c>
      <c r="AK160">
        <v>0.05</v>
      </c>
      <c r="AL160">
        <v>8.8099999999999998E-2</v>
      </c>
      <c r="AM160">
        <v>3.8100000000000002E-2</v>
      </c>
      <c r="AN160">
        <v>0.89</v>
      </c>
      <c r="AO160">
        <v>0.66</v>
      </c>
      <c r="AP160">
        <v>0.42970000000000003</v>
      </c>
      <c r="AQ160">
        <v>0.57030000000000003</v>
      </c>
      <c r="AR160">
        <v>8.9999999999999993E-3</v>
      </c>
      <c r="AS160">
        <v>0.5</v>
      </c>
      <c r="AT160">
        <v>1.82</v>
      </c>
      <c r="AU160">
        <v>6.3545217126973294E-2</v>
      </c>
      <c r="AV160">
        <v>0.7893</v>
      </c>
      <c r="AW160">
        <v>3</v>
      </c>
      <c r="AX160">
        <v>0.05</v>
      </c>
      <c r="AY160">
        <v>1</v>
      </c>
      <c r="AZ160">
        <v>1</v>
      </c>
      <c r="BA160" s="2">
        <f>modelo_tese_H__2[[#This Row],[Vw]]+modelo_tese_H__2[[#This Row],[Vr]]+modelo_tese_H__2[[#This Row],[K]]-modelo_tese_H__2[[#This Row],[E]]</f>
        <v>-4796609.2727254387</v>
      </c>
      <c r="BB160" s="2">
        <f>modelo_tese_H__2[[#This Row],[K]]-modelo_tese_H__2[[#This Row],[Coluna1]]</f>
        <v>10400038.40764758</v>
      </c>
      <c r="BC160">
        <f>modelo_tese_H__2[[#This Row],[Coluna2]]/modelo_tese_H__2[[#This Row],[Coluna1]]</f>
        <v>-2.1682062924709036</v>
      </c>
      <c r="BD160" s="8">
        <f>modelo_tese_H__2[[#This Row],[D]]-modelo_tese_H__2[[#This Row],[Dw]]-modelo_tese_H__2[[#This Row],[Dr]]</f>
        <v>0</v>
      </c>
    </row>
    <row r="161" spans="1:56" x14ac:dyDescent="0.25">
      <c r="A161">
        <v>160</v>
      </c>
      <c r="B161">
        <v>160</v>
      </c>
      <c r="C161">
        <v>1399936.6679060999</v>
      </c>
      <c r="D161">
        <v>634948.12196611601</v>
      </c>
      <c r="E161">
        <v>565103.82854984305</v>
      </c>
      <c r="F161">
        <v>74042.938041576694</v>
      </c>
      <c r="G161">
        <v>2045962.58938138</v>
      </c>
      <c r="H161">
        <v>463963.45639950101</v>
      </c>
      <c r="I161">
        <v>1103110.2229909201</v>
      </c>
      <c r="J161">
        <v>834570.16799177998</v>
      </c>
      <c r="K161">
        <v>5227145.7269368097</v>
      </c>
      <c r="L161">
        <v>-468162.10102480499</v>
      </c>
      <c r="M161">
        <v>6061715.8949285904</v>
      </c>
      <c r="N161">
        <v>-8902532.7909432594</v>
      </c>
      <c r="O161">
        <v>1033314.4390815001</v>
      </c>
      <c r="P161">
        <v>681987.52979379205</v>
      </c>
      <c r="Q161">
        <v>1054800.60704761</v>
      </c>
      <c r="R161">
        <v>527400.30352380499</v>
      </c>
      <c r="S161">
        <v>527400.30352380499</v>
      </c>
      <c r="T161">
        <v>505914.13555769803</v>
      </c>
      <c r="U161">
        <v>209087.69064251601</v>
      </c>
      <c r="V161">
        <v>3985918.6739088399</v>
      </c>
      <c r="W161">
        <v>669639.52216900105</v>
      </c>
      <c r="X161">
        <v>0.27279478296985399</v>
      </c>
      <c r="Y161">
        <v>5916997.5360569097</v>
      </c>
      <c r="Z161">
        <v>2667052.2858387502</v>
      </c>
      <c r="AA161">
        <v>0.79730139042399695</v>
      </c>
      <c r="AB161">
        <v>3078807.2169901901</v>
      </c>
      <c r="AC161">
        <v>1785097.7527847099</v>
      </c>
      <c r="AD161">
        <v>2454737.2749537099</v>
      </c>
      <c r="AE161">
        <v>-4916614.1170344204</v>
      </c>
      <c r="AF161">
        <v>-259074.41038228999</v>
      </c>
      <c r="AG161">
        <v>5.5594999999999999E-2</v>
      </c>
      <c r="AH161">
        <v>-14964248.685871899</v>
      </c>
      <c r="AI161">
        <v>6652970.9597475901</v>
      </c>
      <c r="AJ161">
        <v>0.06</v>
      </c>
      <c r="AK161">
        <v>0.05</v>
      </c>
      <c r="AL161">
        <v>8.8099999999999998E-2</v>
      </c>
      <c r="AM161">
        <v>3.8100000000000002E-2</v>
      </c>
      <c r="AN161">
        <v>0.89</v>
      </c>
      <c r="AO161">
        <v>0.66</v>
      </c>
      <c r="AP161">
        <v>0.42970000000000003</v>
      </c>
      <c r="AQ161">
        <v>0.57030000000000003</v>
      </c>
      <c r="AR161">
        <v>8.9999999999999993E-3</v>
      </c>
      <c r="AS161">
        <v>0.5</v>
      </c>
      <c r="AT161">
        <v>1.82</v>
      </c>
      <c r="AU161">
        <v>6.3545217126973294E-2</v>
      </c>
      <c r="AV161">
        <v>0.7893</v>
      </c>
      <c r="AW161">
        <v>3</v>
      </c>
      <c r="AX161">
        <v>0.05</v>
      </c>
      <c r="AY161">
        <v>1</v>
      </c>
      <c r="AZ161">
        <v>1</v>
      </c>
      <c r="BA161" s="2">
        <f>modelo_tese_H__2[[#This Row],[Vw]]+modelo_tese_H__2[[#This Row],[Vr]]+modelo_tese_H__2[[#This Row],[K]]-modelo_tese_H__2[[#This Row],[E]]</f>
        <v>-5061332.4759061495</v>
      </c>
      <c r="BB161" s="2">
        <f>modelo_tese_H__2[[#This Row],[K]]-modelo_tese_H__2[[#This Row],[Coluna1]]</f>
        <v>10978330.011963058</v>
      </c>
      <c r="BC161">
        <f>modelo_tese_H__2[[#This Row],[Coluna2]]/modelo_tese_H__2[[#This Row],[Coluna1]]</f>
        <v>-2.1690592475843165</v>
      </c>
      <c r="BD161" s="8">
        <f>modelo_tese_H__2[[#This Row],[D]]-modelo_tese_H__2[[#This Row],[Dw]]-modelo_tese_H__2[[#This Row],[Dr]]</f>
        <v>0</v>
      </c>
    </row>
    <row r="162" spans="1:56" x14ac:dyDescent="0.25">
      <c r="A162">
        <v>161</v>
      </c>
      <c r="B162">
        <v>161</v>
      </c>
      <c r="C162">
        <v>1478128.49887777</v>
      </c>
      <c r="D162">
        <v>670615.30644562899</v>
      </c>
      <c r="E162">
        <v>596847.62273661001</v>
      </c>
      <c r="F162">
        <v>78156.204374008303</v>
      </c>
      <c r="G162">
        <v>2159971.7102167802</v>
      </c>
      <c r="H162">
        <v>489757.50475803099</v>
      </c>
      <c r="I162">
        <v>1164761.3318686499</v>
      </c>
      <c r="J162">
        <v>880929.24896530202</v>
      </c>
      <c r="K162">
        <v>5517748.9794985503</v>
      </c>
      <c r="L162">
        <v>-494146.025423021</v>
      </c>
      <c r="M162">
        <v>6398678.22846385</v>
      </c>
      <c r="N162">
        <v>-9396678.8163662907</v>
      </c>
      <c r="O162">
        <v>1090894.80313979</v>
      </c>
      <c r="P162">
        <v>719990.57007225906</v>
      </c>
      <c r="Q162">
        <v>1113715.2655931499</v>
      </c>
      <c r="R162">
        <v>556857.63279657695</v>
      </c>
      <c r="S162">
        <v>556857.63279657695</v>
      </c>
      <c r="T162">
        <v>534037.17034320801</v>
      </c>
      <c r="U162">
        <v>220670.00333409099</v>
      </c>
      <c r="V162">
        <v>4206588.67724293</v>
      </c>
      <c r="W162">
        <v>707091.86253001296</v>
      </c>
      <c r="X162">
        <v>0.27281423063490901</v>
      </c>
      <c r="Y162">
        <v>6248092.5054184198</v>
      </c>
      <c r="Z162">
        <v>2817286.5155721898</v>
      </c>
      <c r="AA162">
        <v>0.79722116201532001</v>
      </c>
      <c r="AB162">
        <v>3251097.5472840201</v>
      </c>
      <c r="AC162">
        <v>1884751.9019409099</v>
      </c>
      <c r="AD162">
        <v>2591843.76447092</v>
      </c>
      <c r="AE162">
        <v>-5190090.1391233504</v>
      </c>
      <c r="AF162">
        <v>-273476.02208892902</v>
      </c>
      <c r="AG162">
        <v>5.5594999999999999E-2</v>
      </c>
      <c r="AH162">
        <v>-15795357.044830101</v>
      </c>
      <c r="AI162">
        <v>7023875.1928151203</v>
      </c>
      <c r="AJ162">
        <v>0.06</v>
      </c>
      <c r="AK162">
        <v>0.05</v>
      </c>
      <c r="AL162">
        <v>8.8099999999999998E-2</v>
      </c>
      <c r="AM162">
        <v>3.8100000000000002E-2</v>
      </c>
      <c r="AN162">
        <v>0.89</v>
      </c>
      <c r="AO162">
        <v>0.66</v>
      </c>
      <c r="AP162">
        <v>0.42970000000000003</v>
      </c>
      <c r="AQ162">
        <v>0.57030000000000003</v>
      </c>
      <c r="AR162">
        <v>8.9999999999999993E-3</v>
      </c>
      <c r="AS162">
        <v>0.5</v>
      </c>
      <c r="AT162">
        <v>1.82</v>
      </c>
      <c r="AU162">
        <v>6.3545217126973294E-2</v>
      </c>
      <c r="AV162">
        <v>0.7893</v>
      </c>
      <c r="AW162">
        <v>3</v>
      </c>
      <c r="AX162">
        <v>0.05</v>
      </c>
      <c r="AY162">
        <v>1</v>
      </c>
      <c r="AZ162">
        <v>1</v>
      </c>
      <c r="BA162" s="2">
        <f>modelo_tese_H__2[[#This Row],[Vw]]+modelo_tese_H__2[[#This Row],[Vr]]+modelo_tese_H__2[[#This Row],[K]]-modelo_tese_H__2[[#This Row],[E]]</f>
        <v>-5340675.8621687517</v>
      </c>
      <c r="BB162" s="2">
        <f>modelo_tese_H__2[[#This Row],[K]]-modelo_tese_H__2[[#This Row],[Coluna1]]</f>
        <v>11588768.367587171</v>
      </c>
      <c r="BC162">
        <f>modelo_tese_H__2[[#This Row],[Coluna2]]/modelo_tese_H__2[[#This Row],[Coluna1]]</f>
        <v>-2.1699067059428661</v>
      </c>
      <c r="BD162" s="8">
        <f>modelo_tese_H__2[[#This Row],[D]]-modelo_tese_H__2[[#This Row],[Dw]]-modelo_tese_H__2[[#This Row],[Dr]]</f>
        <v>1.0244548320770264E-8</v>
      </c>
    </row>
    <row r="163" spans="1:56" x14ac:dyDescent="0.25">
      <c r="A163">
        <v>162</v>
      </c>
      <c r="B163">
        <v>162</v>
      </c>
      <c r="C163">
        <v>1560683.93792583</v>
      </c>
      <c r="D163">
        <v>708282.17077184201</v>
      </c>
      <c r="E163">
        <v>630371.13198694005</v>
      </c>
      <c r="F163">
        <v>82498.003258698605</v>
      </c>
      <c r="G163">
        <v>2280331.1971609099</v>
      </c>
      <c r="H163">
        <v>516985.57323505398</v>
      </c>
      <c r="I163">
        <v>1229854.7084806899</v>
      </c>
      <c r="J163">
        <v>929863.84783842205</v>
      </c>
      <c r="K163">
        <v>5824508.3166147098</v>
      </c>
      <c r="L163">
        <v>-521572.53770885</v>
      </c>
      <c r="M163">
        <v>6754372.1644531302</v>
      </c>
      <c r="N163">
        <v>-9918251.3540751394</v>
      </c>
      <c r="O163">
        <v>1151682.4228085401</v>
      </c>
      <c r="P163">
        <v>760110.39905363705</v>
      </c>
      <c r="Q163">
        <v>1175917.7417617501</v>
      </c>
      <c r="R163">
        <v>587958.87088087702</v>
      </c>
      <c r="S163">
        <v>587958.87088087702</v>
      </c>
      <c r="T163">
        <v>563723.55192766502</v>
      </c>
      <c r="U163">
        <v>232894.32248253099</v>
      </c>
      <c r="V163">
        <v>4439482.9997254601</v>
      </c>
      <c r="W163">
        <v>746636.57215324999</v>
      </c>
      <c r="X163">
        <v>0.27283348457145501</v>
      </c>
      <c r="Y163">
        <v>6597692.6826854404</v>
      </c>
      <c r="Z163">
        <v>2975964.2168445601</v>
      </c>
      <c r="AA163">
        <v>0.79714169607958696</v>
      </c>
      <c r="AB163">
        <v>3433017.8601200101</v>
      </c>
      <c r="AC163">
        <v>1989965.1075343301</v>
      </c>
      <c r="AD163">
        <v>2736601.6796875801</v>
      </c>
      <c r="AE163">
        <v>-5478768.35434967</v>
      </c>
      <c r="AF163">
        <v>-288678.21522632003</v>
      </c>
      <c r="AG163">
        <v>5.5594999999999999E-2</v>
      </c>
      <c r="AH163">
        <v>-16672623.518528299</v>
      </c>
      <c r="AI163">
        <v>7415447.2165700197</v>
      </c>
      <c r="AJ163">
        <v>0.06</v>
      </c>
      <c r="AK163">
        <v>0.05</v>
      </c>
      <c r="AL163">
        <v>8.8099999999999998E-2</v>
      </c>
      <c r="AM163">
        <v>3.8100000000000002E-2</v>
      </c>
      <c r="AN163">
        <v>0.89</v>
      </c>
      <c r="AO163">
        <v>0.66</v>
      </c>
      <c r="AP163">
        <v>0.42970000000000003</v>
      </c>
      <c r="AQ163">
        <v>0.57030000000000003</v>
      </c>
      <c r="AR163">
        <v>8.9999999999999993E-3</v>
      </c>
      <c r="AS163">
        <v>0.5</v>
      </c>
      <c r="AT163">
        <v>1.82</v>
      </c>
      <c r="AU163">
        <v>6.3545217126973294E-2</v>
      </c>
      <c r="AV163">
        <v>0.7893</v>
      </c>
      <c r="AW163">
        <v>3</v>
      </c>
      <c r="AX163">
        <v>0.05</v>
      </c>
      <c r="AY163">
        <v>1</v>
      </c>
      <c r="AZ163">
        <v>1</v>
      </c>
      <c r="BA163" s="2">
        <f>modelo_tese_H__2[[#This Row],[Vw]]+modelo_tese_H__2[[#This Row],[Vr]]+modelo_tese_H__2[[#This Row],[K]]-modelo_tese_H__2[[#This Row],[E]]</f>
        <v>-5635447.8361173999</v>
      </c>
      <c r="BB163" s="2">
        <f>modelo_tese_H__2[[#This Row],[K]]-modelo_tese_H__2[[#This Row],[Coluna1]]</f>
        <v>12233140.51880284</v>
      </c>
      <c r="BC163">
        <f>modelo_tese_H__2[[#This Row],[Coluna2]]/modelo_tese_H__2[[#This Row],[Coluna1]]</f>
        <v>-2.1707486032256469</v>
      </c>
      <c r="BD163" s="8">
        <f>modelo_tese_H__2[[#This Row],[D]]-modelo_tese_H__2[[#This Row],[Dw]]-modelo_tese_H__2[[#This Row],[Dr]]</f>
        <v>9.3132257461547852E-9</v>
      </c>
    </row>
    <row r="164" spans="1:56" x14ac:dyDescent="0.25">
      <c r="A164">
        <v>163</v>
      </c>
      <c r="B164">
        <v>163</v>
      </c>
      <c r="C164">
        <v>1647846.32922715</v>
      </c>
      <c r="D164">
        <v>748060.64684787102</v>
      </c>
      <c r="E164">
        <v>665773.97569460503</v>
      </c>
      <c r="F164">
        <v>87081.033423646295</v>
      </c>
      <c r="G164">
        <v>2407394.6441675299</v>
      </c>
      <c r="H164">
        <v>545727.38617905695</v>
      </c>
      <c r="I164">
        <v>1298582.3952973101</v>
      </c>
      <c r="J164">
        <v>981517.06865942501</v>
      </c>
      <c r="K164">
        <v>6148321.9359307401</v>
      </c>
      <c r="L164">
        <v>-550521.74844943802</v>
      </c>
      <c r="M164">
        <v>7129839.0045901705</v>
      </c>
      <c r="N164">
        <v>-10468773.102524601</v>
      </c>
      <c r="O164">
        <v>1215855.88089269</v>
      </c>
      <c r="P164">
        <v>802464.88138917706</v>
      </c>
      <c r="Q164">
        <v>1241591.38640874</v>
      </c>
      <c r="R164">
        <v>620795.69320437103</v>
      </c>
      <c r="S164">
        <v>620795.69320437103</v>
      </c>
      <c r="T164">
        <v>595060.18768832099</v>
      </c>
      <c r="U164">
        <v>245796.253758479</v>
      </c>
      <c r="V164">
        <v>4685279.2534839399</v>
      </c>
      <c r="W164">
        <v>788390.43894940801</v>
      </c>
      <c r="X164">
        <v>0.272852546598642</v>
      </c>
      <c r="Y164">
        <v>6966831.3075765604</v>
      </c>
      <c r="Z164">
        <v>3143558.9625896001</v>
      </c>
      <c r="AA164">
        <v>0.79706298783180995</v>
      </c>
      <c r="AB164">
        <v>3625105.8696073899</v>
      </c>
      <c r="AC164">
        <v>2101047.2766864798</v>
      </c>
      <c r="AD164">
        <v>2889437.7156358901</v>
      </c>
      <c r="AE164">
        <v>-5783493.8490406303</v>
      </c>
      <c r="AF164">
        <v>-304725.49469095899</v>
      </c>
      <c r="AG164">
        <v>5.5594999999999999E-2</v>
      </c>
      <c r="AH164">
        <v>-17598612.107114699</v>
      </c>
      <c r="AI164">
        <v>7828838.21607354</v>
      </c>
      <c r="AJ164">
        <v>0.06</v>
      </c>
      <c r="AK164">
        <v>0.05</v>
      </c>
      <c r="AL164">
        <v>8.8099999999999998E-2</v>
      </c>
      <c r="AM164">
        <v>3.8100000000000002E-2</v>
      </c>
      <c r="AN164">
        <v>0.89</v>
      </c>
      <c r="AO164">
        <v>0.66</v>
      </c>
      <c r="AP164">
        <v>0.42970000000000003</v>
      </c>
      <c r="AQ164">
        <v>0.57030000000000003</v>
      </c>
      <c r="AR164">
        <v>8.9999999999999993E-3</v>
      </c>
      <c r="AS164">
        <v>0.5</v>
      </c>
      <c r="AT164">
        <v>1.82</v>
      </c>
      <c r="AU164">
        <v>6.3545217126973294E-2</v>
      </c>
      <c r="AV164">
        <v>0.7893</v>
      </c>
      <c r="AW164">
        <v>3</v>
      </c>
      <c r="AX164">
        <v>0.05</v>
      </c>
      <c r="AY164">
        <v>1</v>
      </c>
      <c r="AZ164">
        <v>1</v>
      </c>
      <c r="BA164" s="2">
        <f>modelo_tese_H__2[[#This Row],[Vw]]+modelo_tese_H__2[[#This Row],[Vr]]+modelo_tese_H__2[[#This Row],[K]]-modelo_tese_H__2[[#This Row],[E]]</f>
        <v>-5946501.5460541993</v>
      </c>
      <c r="BB164" s="2">
        <f>modelo_tese_H__2[[#This Row],[K]]-modelo_tese_H__2[[#This Row],[Coluna1]]</f>
        <v>12913332.853630759</v>
      </c>
      <c r="BC164">
        <f>modelo_tese_H__2[[#This Row],[Coluna2]]/modelo_tese_H__2[[#This Row],[Coluna1]]</f>
        <v>-2.1715848812314529</v>
      </c>
      <c r="BD164" s="8">
        <f>modelo_tese_H__2[[#This Row],[D]]-modelo_tese_H__2[[#This Row],[Dw]]-modelo_tese_H__2[[#This Row],[Dr]]</f>
        <v>3.0733644962310791E-8</v>
      </c>
    </row>
    <row r="165" spans="1:56" x14ac:dyDescent="0.25">
      <c r="A165">
        <v>164</v>
      </c>
      <c r="B165">
        <v>164</v>
      </c>
      <c r="C165">
        <v>1739872.5795892</v>
      </c>
      <c r="D165">
        <v>790068.92381166294</v>
      </c>
      <c r="E165">
        <v>703161.34219237999</v>
      </c>
      <c r="F165">
        <v>91918.699286401403</v>
      </c>
      <c r="G165">
        <v>2541535.3279204099</v>
      </c>
      <c r="H165">
        <v>576067.10021368205</v>
      </c>
      <c r="I165">
        <v>1371147.14169246</v>
      </c>
      <c r="J165">
        <v>1036039.9676299</v>
      </c>
      <c r="K165">
        <v>6490137.9703854602</v>
      </c>
      <c r="L165">
        <v>-581078.21788080002</v>
      </c>
      <c r="M165">
        <v>7526177.9380153604</v>
      </c>
      <c r="N165">
        <v>-11049851.320405399</v>
      </c>
      <c r="O165">
        <v>1283603.7009699</v>
      </c>
      <c r="P165">
        <v>847178.442640136</v>
      </c>
      <c r="Q165">
        <v>1310929.7693310201</v>
      </c>
      <c r="R165">
        <v>655464.88466550899</v>
      </c>
      <c r="S165">
        <v>655464.88466550899</v>
      </c>
      <c r="T165">
        <v>628138.81630439404</v>
      </c>
      <c r="U165">
        <v>259413.37840765499</v>
      </c>
      <c r="V165">
        <v>4944692.6318915999</v>
      </c>
      <c r="W165">
        <v>832476.76458762097</v>
      </c>
      <c r="X165">
        <v>0.272871418524465</v>
      </c>
      <c r="Y165">
        <v>7356599.2640372301</v>
      </c>
      <c r="Z165">
        <v>3320570.8425117098</v>
      </c>
      <c r="AA165">
        <v>0.79698503234840701</v>
      </c>
      <c r="AB165">
        <v>3827929.2898772298</v>
      </c>
      <c r="AC165">
        <v>2218325.5843325998</v>
      </c>
      <c r="AD165">
        <v>3050802.34892022</v>
      </c>
      <c r="AE165">
        <v>-6105158.68851378</v>
      </c>
      <c r="AF165">
        <v>-321664.83947314502</v>
      </c>
      <c r="AG165">
        <v>5.5594999999999999E-2</v>
      </c>
      <c r="AH165">
        <v>-18576029.258420698</v>
      </c>
      <c r="AI165">
        <v>8265263.4744033096</v>
      </c>
      <c r="AJ165">
        <v>0.06</v>
      </c>
      <c r="AK165">
        <v>0.05</v>
      </c>
      <c r="AL165">
        <v>8.8099999999999998E-2</v>
      </c>
      <c r="AM165">
        <v>3.8100000000000002E-2</v>
      </c>
      <c r="AN165">
        <v>0.89</v>
      </c>
      <c r="AO165">
        <v>0.66</v>
      </c>
      <c r="AP165">
        <v>0.42970000000000003</v>
      </c>
      <c r="AQ165">
        <v>0.57030000000000003</v>
      </c>
      <c r="AR165">
        <v>8.9999999999999993E-3</v>
      </c>
      <c r="AS165">
        <v>0.5</v>
      </c>
      <c r="AT165">
        <v>1.82</v>
      </c>
      <c r="AU165">
        <v>6.3545217126973294E-2</v>
      </c>
      <c r="AV165">
        <v>0.7893</v>
      </c>
      <c r="AW165">
        <v>3</v>
      </c>
      <c r="AX165">
        <v>0.05</v>
      </c>
      <c r="AY165">
        <v>1</v>
      </c>
      <c r="AZ165">
        <v>1</v>
      </c>
      <c r="BA165" s="2">
        <f>modelo_tese_H__2[[#This Row],[Vw]]+modelo_tese_H__2[[#This Row],[Vr]]+modelo_tese_H__2[[#This Row],[K]]-modelo_tese_H__2[[#This Row],[E]]</f>
        <v>-6274737.3624918675</v>
      </c>
      <c r="BB165" s="2">
        <f>modelo_tese_H__2[[#This Row],[K]]-modelo_tese_H__2[[#This Row],[Coluna1]]</f>
        <v>13631336.626529098</v>
      </c>
      <c r="BC165">
        <f>modelo_tese_H__2[[#This Row],[Coluna2]]/modelo_tese_H__2[[#This Row],[Coluna1]]</f>
        <v>-2.1724154875409361</v>
      </c>
      <c r="BD165" s="8">
        <f>modelo_tese_H__2[[#This Row],[D]]-modelo_tese_H__2[[#This Row],[Dw]]-modelo_tese_H__2[[#This Row],[Dr]]</f>
        <v>1.9557774066925049E-8</v>
      </c>
    </row>
    <row r="166" spans="1:56" x14ac:dyDescent="0.25">
      <c r="A166">
        <v>165</v>
      </c>
      <c r="B166">
        <v>165</v>
      </c>
      <c r="C166">
        <v>1837033.9139950001</v>
      </c>
      <c r="D166">
        <v>834431.79745865206</v>
      </c>
      <c r="E166">
        <v>742644.29973820003</v>
      </c>
      <c r="F166">
        <v>97025.150173508198</v>
      </c>
      <c r="G166">
        <v>2683147.30320836</v>
      </c>
      <c r="H166">
        <v>608093.55065006099</v>
      </c>
      <c r="I166">
        <v>1447763.0005617701</v>
      </c>
      <c r="J166">
        <v>1093591.9950367101</v>
      </c>
      <c r="K166">
        <v>6850957.2643638402</v>
      </c>
      <c r="L166">
        <v>-613331.20310311799</v>
      </c>
      <c r="M166">
        <v>7944549.2594005503</v>
      </c>
      <c r="N166">
        <v>-11663182.5235085</v>
      </c>
      <c r="O166">
        <v>1355124.90061028</v>
      </c>
      <c r="P166">
        <v>894382.43440278806</v>
      </c>
      <c r="Q166">
        <v>1384137.2485422599</v>
      </c>
      <c r="R166">
        <v>692068.624271131</v>
      </c>
      <c r="S166">
        <v>692068.624271131</v>
      </c>
      <c r="T166">
        <v>663056.27633915399</v>
      </c>
      <c r="U166">
        <v>273785.362905922</v>
      </c>
      <c r="V166">
        <v>5218477.9947975203</v>
      </c>
      <c r="W166">
        <v>879025.72757270595</v>
      </c>
      <c r="X166">
        <v>0.27289010214543302</v>
      </c>
      <c r="Y166">
        <v>7768148.2940605599</v>
      </c>
      <c r="Z166">
        <v>3507527.9458132801</v>
      </c>
      <c r="AA166">
        <v>0.79690782458096199</v>
      </c>
      <c r="AB166">
        <v>4042087.5077127698</v>
      </c>
      <c r="AC166">
        <v>2342145.43496456</v>
      </c>
      <c r="AD166">
        <v>3221171.16253726</v>
      </c>
      <c r="AE166">
        <v>-6444704.5287109697</v>
      </c>
      <c r="AF166">
        <v>-339545.840197196</v>
      </c>
      <c r="AG166">
        <v>5.5594999999999999E-2</v>
      </c>
      <c r="AH166">
        <v>-19607731.782908998</v>
      </c>
      <c r="AI166">
        <v>8726005.9406107999</v>
      </c>
      <c r="AJ166">
        <v>0.06</v>
      </c>
      <c r="AK166">
        <v>0.05</v>
      </c>
      <c r="AL166">
        <v>8.8099999999999998E-2</v>
      </c>
      <c r="AM166">
        <v>3.8100000000000002E-2</v>
      </c>
      <c r="AN166">
        <v>0.89</v>
      </c>
      <c r="AO166">
        <v>0.66</v>
      </c>
      <c r="AP166">
        <v>0.42970000000000003</v>
      </c>
      <c r="AQ166">
        <v>0.57030000000000003</v>
      </c>
      <c r="AR166">
        <v>8.9999999999999993E-3</v>
      </c>
      <c r="AS166">
        <v>0.5</v>
      </c>
      <c r="AT166">
        <v>1.82</v>
      </c>
      <c r="AU166">
        <v>6.3545217126973294E-2</v>
      </c>
      <c r="AV166">
        <v>0.7893</v>
      </c>
      <c r="AW166">
        <v>3</v>
      </c>
      <c r="AX166">
        <v>0.05</v>
      </c>
      <c r="AY166">
        <v>1</v>
      </c>
      <c r="AZ166">
        <v>1</v>
      </c>
      <c r="BA166" s="2">
        <f>modelo_tese_H__2[[#This Row],[Vw]]+modelo_tese_H__2[[#This Row],[Vr]]+modelo_tese_H__2[[#This Row],[K]]-modelo_tese_H__2[[#This Row],[E]]</f>
        <v>-6621105.4940509181</v>
      </c>
      <c r="BB166" s="2">
        <f>modelo_tese_H__2[[#This Row],[K]]-modelo_tese_H__2[[#This Row],[Coluna1]]</f>
        <v>14389253.788111478</v>
      </c>
      <c r="BC166">
        <f>modelo_tese_H__2[[#This Row],[Coluna2]]/modelo_tese_H__2[[#This Row],[Coluna1]]</f>
        <v>-2.1732403751972029</v>
      </c>
      <c r="BD166" s="8">
        <f>modelo_tese_H__2[[#This Row],[D]]-modelo_tese_H__2[[#This Row],[Dw]]-modelo_tese_H__2[[#This Row],[Dr]]</f>
        <v>1.0244548320770264E-8</v>
      </c>
    </row>
    <row r="167" spans="1:56" x14ac:dyDescent="0.25">
      <c r="A167">
        <v>166</v>
      </c>
      <c r="B167">
        <v>166</v>
      </c>
      <c r="C167">
        <v>1939616.6732217199</v>
      </c>
      <c r="D167">
        <v>881281.03916064801</v>
      </c>
      <c r="E167">
        <v>784340.12485297595</v>
      </c>
      <c r="F167">
        <v>102415.321719748</v>
      </c>
      <c r="G167">
        <v>2832646.5592479398</v>
      </c>
      <c r="H167">
        <v>641900.51159845199</v>
      </c>
      <c r="I167">
        <v>1528655.95817118</v>
      </c>
      <c r="J167">
        <v>1154341.4617455599</v>
      </c>
      <c r="K167">
        <v>7231836.3041900303</v>
      </c>
      <c r="L167">
        <v>-647374.91901052801</v>
      </c>
      <c r="M167">
        <v>8386177.7659355896</v>
      </c>
      <c r="N167">
        <v>-12310557.442519</v>
      </c>
      <c r="O167">
        <v>1430629.57537775</v>
      </c>
      <c r="P167">
        <v>944215.51974931394</v>
      </c>
      <c r="Q167">
        <v>1461429.5712491199</v>
      </c>
      <c r="R167">
        <v>730714.78562455997</v>
      </c>
      <c r="S167">
        <v>730714.78562455997</v>
      </c>
      <c r="T167">
        <v>699914.78975318803</v>
      </c>
      <c r="U167">
        <v>288954.07470264501</v>
      </c>
      <c r="V167">
        <v>5507432.0695001697</v>
      </c>
      <c r="W167">
        <v>928174.76655034802</v>
      </c>
      <c r="X167">
        <v>0.27290859924628003</v>
      </c>
      <c r="Y167">
        <v>8202694.3905902999</v>
      </c>
      <c r="Z167">
        <v>3704987.9267390701</v>
      </c>
      <c r="AA167">
        <v>0.796831359369086</v>
      </c>
      <c r="AB167">
        <v>4268213.3483849196</v>
      </c>
      <c r="AC167">
        <v>2472871.4779204899</v>
      </c>
      <c r="AD167">
        <v>3401046.2444708399</v>
      </c>
      <c r="AE167">
        <v>-6803125.3730188496</v>
      </c>
      <c r="AF167">
        <v>-358420.844307883</v>
      </c>
      <c r="AG167">
        <v>5.5594999999999999E-2</v>
      </c>
      <c r="AH167">
        <v>-20696735.208454601</v>
      </c>
      <c r="AI167">
        <v>9212419.9962392393</v>
      </c>
      <c r="AJ167">
        <v>0.06</v>
      </c>
      <c r="AK167">
        <v>0.05</v>
      </c>
      <c r="AL167">
        <v>8.8099999999999998E-2</v>
      </c>
      <c r="AM167">
        <v>3.8100000000000002E-2</v>
      </c>
      <c r="AN167">
        <v>0.89</v>
      </c>
      <c r="AO167">
        <v>0.66</v>
      </c>
      <c r="AP167">
        <v>0.42970000000000003</v>
      </c>
      <c r="AQ167">
        <v>0.57030000000000003</v>
      </c>
      <c r="AR167">
        <v>8.9999999999999993E-3</v>
      </c>
      <c r="AS167">
        <v>0.5</v>
      </c>
      <c r="AT167">
        <v>1.82</v>
      </c>
      <c r="AU167">
        <v>6.3545217126973294E-2</v>
      </c>
      <c r="AV167">
        <v>0.7893</v>
      </c>
      <c r="AW167">
        <v>3</v>
      </c>
      <c r="AX167">
        <v>0.05</v>
      </c>
      <c r="AY167">
        <v>1</v>
      </c>
      <c r="AZ167">
        <v>1</v>
      </c>
      <c r="BA167" s="2">
        <f>modelo_tese_H__2[[#This Row],[Vw]]+modelo_tese_H__2[[#This Row],[Vr]]+modelo_tese_H__2[[#This Row],[K]]-modelo_tese_H__2[[#This Row],[E]]</f>
        <v>-6986608.7483641319</v>
      </c>
      <c r="BB167" s="2">
        <f>modelo_tese_H__2[[#This Row],[K]]-modelo_tese_H__2[[#This Row],[Coluna1]]</f>
        <v>15189303.138954431</v>
      </c>
      <c r="BC167">
        <f>modelo_tese_H__2[[#This Row],[Coluna2]]/modelo_tese_H__2[[#This Row],[Coluna1]]</f>
        <v>-2.174059502403209</v>
      </c>
      <c r="BD167" s="8">
        <f>modelo_tese_H__2[[#This Row],[D]]-modelo_tese_H__2[[#This Row],[Dw]]-modelo_tese_H__2[[#This Row],[Dr]]</f>
        <v>-1.9557774066925049E-8</v>
      </c>
    </row>
    <row r="168" spans="1:56" x14ac:dyDescent="0.25">
      <c r="A168">
        <v>167</v>
      </c>
      <c r="B168">
        <v>167</v>
      </c>
      <c r="C168">
        <v>2047923.1558748099</v>
      </c>
      <c r="D168">
        <v>930755.78536770004</v>
      </c>
      <c r="E168">
        <v>828372.648977253</v>
      </c>
      <c r="F168">
        <v>108104.979568347</v>
      </c>
      <c r="G168">
        <v>2990472.24034419</v>
      </c>
      <c r="H168">
        <v>677586.97054076695</v>
      </c>
      <c r="I168">
        <v>1614064.5990863701</v>
      </c>
      <c r="J168">
        <v>1218466.0316214</v>
      </c>
      <c r="K168">
        <v>7633890.3115411503</v>
      </c>
      <c r="L168">
        <v>-683308.81371866702</v>
      </c>
      <c r="M168">
        <v>8852356.3431625608</v>
      </c>
      <c r="N168">
        <v>-12993866.256237701</v>
      </c>
      <c r="O168">
        <v>1510339.51532535</v>
      </c>
      <c r="P168">
        <v>996824.080114729</v>
      </c>
      <c r="Q168">
        <v>1543034.5082928401</v>
      </c>
      <c r="R168">
        <v>771517.25414642098</v>
      </c>
      <c r="S168">
        <v>771517.25414642098</v>
      </c>
      <c r="T168">
        <v>738822.26117892505</v>
      </c>
      <c r="U168">
        <v>304963.70439047797</v>
      </c>
      <c r="V168">
        <v>5812395.7738906397</v>
      </c>
      <c r="W168">
        <v>980068.98496656097</v>
      </c>
      <c r="X168">
        <v>0.272926911599706</v>
      </c>
      <c r="Y168">
        <v>8661521.3794806004</v>
      </c>
      <c r="Z168">
        <v>3913539.65755921</v>
      </c>
      <c r="AA168">
        <v>0.79675563145231398</v>
      </c>
      <c r="AB168">
        <v>4506974.93988478</v>
      </c>
      <c r="AC168">
        <v>2610888.6792011</v>
      </c>
      <c r="AD168">
        <v>3590957.6641676598</v>
      </c>
      <c r="AE168">
        <v>-7181470.4823470404</v>
      </c>
      <c r="AF168">
        <v>-378345.10932818998</v>
      </c>
      <c r="AG168">
        <v>5.5594999999999999E-2</v>
      </c>
      <c r="AH168">
        <v>-21846222.5994002</v>
      </c>
      <c r="AI168">
        <v>9725935.4314498492</v>
      </c>
      <c r="AJ168">
        <v>0.06</v>
      </c>
      <c r="AK168">
        <v>0.05</v>
      </c>
      <c r="AL168">
        <v>8.8099999999999998E-2</v>
      </c>
      <c r="AM168">
        <v>3.8100000000000002E-2</v>
      </c>
      <c r="AN168">
        <v>0.89</v>
      </c>
      <c r="AO168">
        <v>0.66</v>
      </c>
      <c r="AP168">
        <v>0.42970000000000003</v>
      </c>
      <c r="AQ168">
        <v>0.57030000000000003</v>
      </c>
      <c r="AR168">
        <v>8.9999999999999993E-3</v>
      </c>
      <c r="AS168">
        <v>0.5</v>
      </c>
      <c r="AT168">
        <v>1.82</v>
      </c>
      <c r="AU168">
        <v>6.3545217126973294E-2</v>
      </c>
      <c r="AV168">
        <v>0.7893</v>
      </c>
      <c r="AW168">
        <v>3</v>
      </c>
      <c r="AX168">
        <v>0.05</v>
      </c>
      <c r="AY168">
        <v>1</v>
      </c>
      <c r="AZ168">
        <v>1</v>
      </c>
      <c r="BA168" s="2">
        <f>modelo_tese_H__2[[#This Row],[Vw]]+modelo_tese_H__2[[#This Row],[Vr]]+modelo_tese_H__2[[#This Row],[K]]-modelo_tese_H__2[[#This Row],[E]]</f>
        <v>-7372305.4460289609</v>
      </c>
      <c r="BB168" s="2">
        <f>modelo_tese_H__2[[#This Row],[K]]-modelo_tese_H__2[[#This Row],[Coluna1]]</f>
        <v>16033826.825509561</v>
      </c>
      <c r="BC168">
        <f>modelo_tese_H__2[[#This Row],[Coluna2]]/modelo_tese_H__2[[#This Row],[Coluna1]]</f>
        <v>-2.1748728322354123</v>
      </c>
      <c r="BD168" s="8">
        <f>modelo_tese_H__2[[#This Row],[D]]-modelo_tese_H__2[[#This Row],[Dw]]-modelo_tese_H__2[[#This Row],[Dr]]</f>
        <v>2.0489096641540527E-8</v>
      </c>
    </row>
    <row r="169" spans="1:56" x14ac:dyDescent="0.25">
      <c r="A169">
        <v>168</v>
      </c>
      <c r="B169">
        <v>168</v>
      </c>
      <c r="C169">
        <v>2162272.5073104599</v>
      </c>
      <c r="D169">
        <v>983002.94884076505</v>
      </c>
      <c r="E169">
        <v>874872.62446828105</v>
      </c>
      <c r="F169">
        <v>114110.76550003199</v>
      </c>
      <c r="G169">
        <v>3157087.9344689199</v>
      </c>
      <c r="H169">
        <v>715257.41816798097</v>
      </c>
      <c r="I169">
        <v>1704240.8081362899</v>
      </c>
      <c r="J169">
        <v>1286153.2413166601</v>
      </c>
      <c r="K169">
        <v>8058296.50883942</v>
      </c>
      <c r="L169">
        <v>-721237.85929552896</v>
      </c>
      <c r="M169">
        <v>9344449.7501560804</v>
      </c>
      <c r="N169">
        <v>-13715104.115533199</v>
      </c>
      <c r="O169">
        <v>1594488.8557923799</v>
      </c>
      <c r="P169">
        <v>1052362.64482297</v>
      </c>
      <c r="Q169">
        <v>1629192.52391953</v>
      </c>
      <c r="R169">
        <v>814596.26195976301</v>
      </c>
      <c r="S169">
        <v>814596.26195976301</v>
      </c>
      <c r="T169">
        <v>779892.593832621</v>
      </c>
      <c r="U169">
        <v>321860.89465845301</v>
      </c>
      <c r="V169">
        <v>6134256.6685490999</v>
      </c>
      <c r="W169">
        <v>1034861.57827072</v>
      </c>
      <c r="X169">
        <v>0.27294504096613298</v>
      </c>
      <c r="Y169">
        <v>9145984.7010423001</v>
      </c>
      <c r="Z169">
        <v>4133804.9738701698</v>
      </c>
      <c r="AA169">
        <v>0.79668063548119705</v>
      </c>
      <c r="AB169">
        <v>4759077.68103329</v>
      </c>
      <c r="AC169">
        <v>2756603.4529592702</v>
      </c>
      <c r="AD169">
        <v>3791465.0312299901</v>
      </c>
      <c r="AE169">
        <v>-7580847.4469841197</v>
      </c>
      <c r="AF169">
        <v>-399376.96463707602</v>
      </c>
      <c r="AG169">
        <v>5.5594999999999999E-2</v>
      </c>
      <c r="AH169">
        <v>-23059553.8656893</v>
      </c>
      <c r="AI169">
        <v>10268061.642419299</v>
      </c>
      <c r="AJ169">
        <v>0.06</v>
      </c>
      <c r="AK169">
        <v>0.05</v>
      </c>
      <c r="AL169">
        <v>8.8099999999999998E-2</v>
      </c>
      <c r="AM169">
        <v>3.8100000000000002E-2</v>
      </c>
      <c r="AN169">
        <v>0.89</v>
      </c>
      <c r="AO169">
        <v>0.66</v>
      </c>
      <c r="AP169">
        <v>0.42970000000000003</v>
      </c>
      <c r="AQ169">
        <v>0.57030000000000003</v>
      </c>
      <c r="AR169">
        <v>8.9999999999999993E-3</v>
      </c>
      <c r="AS169">
        <v>0.5</v>
      </c>
      <c r="AT169">
        <v>1.82</v>
      </c>
      <c r="AU169">
        <v>6.3545217126973294E-2</v>
      </c>
      <c r="AV169">
        <v>0.7893</v>
      </c>
      <c r="AW169">
        <v>3</v>
      </c>
      <c r="AX169">
        <v>0.05</v>
      </c>
      <c r="AY169">
        <v>1</v>
      </c>
      <c r="AZ169">
        <v>1</v>
      </c>
      <c r="BA169" s="2">
        <f>modelo_tese_H__2[[#This Row],[Vw]]+modelo_tese_H__2[[#This Row],[Vr]]+modelo_tese_H__2[[#This Row],[K]]-modelo_tese_H__2[[#This Row],[E]]</f>
        <v>-7779312.4960978702</v>
      </c>
      <c r="BB169" s="2">
        <f>modelo_tese_H__2[[#This Row],[K]]-modelo_tese_H__2[[#This Row],[Coluna1]]</f>
        <v>16925297.197140172</v>
      </c>
      <c r="BC169">
        <f>modelo_tese_H__2[[#This Row],[Coluna2]]/modelo_tese_H__2[[#This Row],[Coluna1]]</f>
        <v>-2.1756803323725533</v>
      </c>
      <c r="BD169" s="8">
        <f>modelo_tese_H__2[[#This Row],[D]]-modelo_tese_H__2[[#This Row],[Dw]]-modelo_tese_H__2[[#This Row],[Dr]]</f>
        <v>-2.0489096641540527E-8</v>
      </c>
    </row>
    <row r="170" spans="1:56" x14ac:dyDescent="0.25">
      <c r="A170">
        <v>169</v>
      </c>
      <c r="B170">
        <v>169</v>
      </c>
      <c r="C170">
        <v>2283001.6580563299</v>
      </c>
      <c r="D170">
        <v>1038177.65282666</v>
      </c>
      <c r="E170">
        <v>923978.11101572798</v>
      </c>
      <c r="F170">
        <v>120450.246125954</v>
      </c>
      <c r="G170">
        <v>3332983.0335348002</v>
      </c>
      <c r="H170">
        <v>755022.15433102997</v>
      </c>
      <c r="I170">
        <v>1799450.5114727099</v>
      </c>
      <c r="J170">
        <v>1357601.04894845</v>
      </c>
      <c r="K170">
        <v>8506297.5661836695</v>
      </c>
      <c r="L170">
        <v>-761272.85864605103</v>
      </c>
      <c r="M170">
        <v>9863898.6151321102</v>
      </c>
      <c r="N170">
        <v>-14476376.9741793</v>
      </c>
      <c r="O170">
        <v>1683324.76441152</v>
      </c>
      <c r="P170">
        <v>1110994.3445116</v>
      </c>
      <c r="Q170">
        <v>1720157.4828455299</v>
      </c>
      <c r="R170">
        <v>860078.741422766</v>
      </c>
      <c r="S170">
        <v>860078.741422766</v>
      </c>
      <c r="T170">
        <v>823246.02298875002</v>
      </c>
      <c r="U170">
        <v>339694.87640512898</v>
      </c>
      <c r="V170">
        <v>6473951.5449542198</v>
      </c>
      <c r="W170">
        <v>1092714.2849175499</v>
      </c>
      <c r="X170">
        <v>0.27296298909350603</v>
      </c>
      <c r="Y170">
        <v>9657515.4022921491</v>
      </c>
      <c r="Z170">
        <v>4366440.5173649602</v>
      </c>
      <c r="AA170">
        <v>0.79660636602760704</v>
      </c>
      <c r="AB170">
        <v>5025266.31925401</v>
      </c>
      <c r="AC170">
        <v>2910444.8559843102</v>
      </c>
      <c r="AD170">
        <v>4003159.1409018701</v>
      </c>
      <c r="AE170">
        <v>-8002425.4292250397</v>
      </c>
      <c r="AF170">
        <v>-421577.98224092298</v>
      </c>
      <c r="AG170">
        <v>5.5594999999999999E-2</v>
      </c>
      <c r="AH170">
        <v>-24340275.589311399</v>
      </c>
      <c r="AI170">
        <v>10840392.0623192</v>
      </c>
      <c r="AJ170">
        <v>0.06</v>
      </c>
      <c r="AK170">
        <v>0.05</v>
      </c>
      <c r="AL170">
        <v>8.8099999999999998E-2</v>
      </c>
      <c r="AM170">
        <v>3.8100000000000002E-2</v>
      </c>
      <c r="AN170">
        <v>0.89</v>
      </c>
      <c r="AO170">
        <v>0.66</v>
      </c>
      <c r="AP170">
        <v>0.42970000000000003</v>
      </c>
      <c r="AQ170">
        <v>0.57030000000000003</v>
      </c>
      <c r="AR170">
        <v>8.9999999999999993E-3</v>
      </c>
      <c r="AS170">
        <v>0.5</v>
      </c>
      <c r="AT170">
        <v>1.82</v>
      </c>
      <c r="AU170">
        <v>6.3545217126973294E-2</v>
      </c>
      <c r="AV170">
        <v>0.7893</v>
      </c>
      <c r="AW170">
        <v>3</v>
      </c>
      <c r="AX170">
        <v>0.05</v>
      </c>
      <c r="AY170">
        <v>1</v>
      </c>
      <c r="AZ170">
        <v>1</v>
      </c>
      <c r="BA170" s="2">
        <f>modelo_tese_H__2[[#This Row],[Vw]]+modelo_tese_H__2[[#This Row],[Vr]]+modelo_tese_H__2[[#This Row],[K]]-modelo_tese_H__2[[#This Row],[E]]</f>
        <v>-8208808.6420650091</v>
      </c>
      <c r="BB170" s="2">
        <f>modelo_tese_H__2[[#This Row],[K]]-modelo_tese_H__2[[#This Row],[Coluna1]]</f>
        <v>17866324.044357158</v>
      </c>
      <c r="BC170">
        <f>modelo_tese_H__2[[#This Row],[Coluna2]]/modelo_tese_H__2[[#This Row],[Coluna1]]</f>
        <v>-2.1764819748390072</v>
      </c>
      <c r="BD170" s="8">
        <f>modelo_tese_H__2[[#This Row],[D]]-modelo_tese_H__2[[#This Row],[Dw]]-modelo_tese_H__2[[#This Row],[Dr]]</f>
        <v>4.0046870708465576E-8</v>
      </c>
    </row>
    <row r="171" spans="1:56" x14ac:dyDescent="0.25">
      <c r="A171">
        <v>170</v>
      </c>
      <c r="B171">
        <v>170</v>
      </c>
      <c r="C171">
        <v>2410466.3144860999</v>
      </c>
      <c r="D171">
        <v>1096443.6894543199</v>
      </c>
      <c r="E171">
        <v>975834.88361434801</v>
      </c>
      <c r="F171">
        <v>127141.96428696399</v>
      </c>
      <c r="G171">
        <v>3518674.1693536299</v>
      </c>
      <c r="H171">
        <v>796997.61100106395</v>
      </c>
      <c r="I171">
        <v>1899974.45890238</v>
      </c>
      <c r="J171">
        <v>1433018.41327047</v>
      </c>
      <c r="K171">
        <v>8979205.2399131302</v>
      </c>
      <c r="L171">
        <v>-803530.76944805298</v>
      </c>
      <c r="M171">
        <v>10412223.6531836</v>
      </c>
      <c r="N171">
        <v>-15279907.7436273</v>
      </c>
      <c r="O171">
        <v>1777108.16634022</v>
      </c>
      <c r="P171">
        <v>1172891.38978454</v>
      </c>
      <c r="Q171">
        <v>1816197.3966941501</v>
      </c>
      <c r="R171">
        <v>908098.69834707596</v>
      </c>
      <c r="S171">
        <v>908098.69834707596</v>
      </c>
      <c r="T171">
        <v>869009.46799313906</v>
      </c>
      <c r="U171">
        <v>358517.61240942002</v>
      </c>
      <c r="V171">
        <v>6832469.1573636401</v>
      </c>
      <c r="W171">
        <v>1153797.8624933299</v>
      </c>
      <c r="X171">
        <v>0.27298075771709701</v>
      </c>
      <c r="Y171">
        <v>10197624.351639699</v>
      </c>
      <c r="Z171">
        <v>4612139.6815112103</v>
      </c>
      <c r="AA171">
        <v>0.79653281759429395</v>
      </c>
      <c r="AB171">
        <v>5306327.14411656</v>
      </c>
      <c r="AC171">
        <v>3072865.84868692</v>
      </c>
      <c r="AD171">
        <v>4226663.7111802502</v>
      </c>
      <c r="AE171">
        <v>-8447438.5862636808</v>
      </c>
      <c r="AF171">
        <v>-445013.15703863202</v>
      </c>
      <c r="AG171">
        <v>5.5594999999999999E-2</v>
      </c>
      <c r="AH171">
        <v>-25692131.3968109</v>
      </c>
      <c r="AI171">
        <v>11444608.838874901</v>
      </c>
      <c r="AJ171">
        <v>0.06</v>
      </c>
      <c r="AK171">
        <v>0.05</v>
      </c>
      <c r="AL171">
        <v>8.8099999999999998E-2</v>
      </c>
      <c r="AM171">
        <v>3.8100000000000002E-2</v>
      </c>
      <c r="AN171">
        <v>0.89</v>
      </c>
      <c r="AO171">
        <v>0.66</v>
      </c>
      <c r="AP171">
        <v>0.42970000000000003</v>
      </c>
      <c r="AQ171">
        <v>0.57030000000000003</v>
      </c>
      <c r="AR171">
        <v>8.9999999999999993E-3</v>
      </c>
      <c r="AS171">
        <v>0.5</v>
      </c>
      <c r="AT171">
        <v>1.82</v>
      </c>
      <c r="AU171">
        <v>6.3545217126973294E-2</v>
      </c>
      <c r="AV171">
        <v>0.7893</v>
      </c>
      <c r="AW171">
        <v>3</v>
      </c>
      <c r="AX171">
        <v>0.05</v>
      </c>
      <c r="AY171">
        <v>1</v>
      </c>
      <c r="AZ171">
        <v>1</v>
      </c>
      <c r="BA171" s="2">
        <f>modelo_tese_H__2[[#This Row],[Vw]]+modelo_tese_H__2[[#This Row],[Vr]]+modelo_tese_H__2[[#This Row],[K]]-modelo_tese_H__2[[#This Row],[E]]</f>
        <v>-8662037.8878075108</v>
      </c>
      <c r="BB171" s="2">
        <f>modelo_tese_H__2[[#This Row],[K]]-modelo_tese_H__2[[#This Row],[Coluna1]]</f>
        <v>18859662.23944721</v>
      </c>
      <c r="BC171">
        <f>modelo_tese_H__2[[#This Row],[Coluna2]]/modelo_tese_H__2[[#This Row],[Coluna1]]</f>
        <v>-2.1772777357616553</v>
      </c>
      <c r="BD171" s="8">
        <f>modelo_tese_H__2[[#This Row],[D]]-modelo_tese_H__2[[#This Row],[Dw]]-modelo_tese_H__2[[#This Row],[Dr]]</f>
        <v>-2.0489096641540527E-8</v>
      </c>
    </row>
    <row r="172" spans="1:56" x14ac:dyDescent="0.25">
      <c r="A172">
        <v>171</v>
      </c>
      <c r="B172">
        <v>171</v>
      </c>
      <c r="C172">
        <v>2545042.0046564001</v>
      </c>
      <c r="D172">
        <v>1157974.00370275</v>
      </c>
      <c r="E172">
        <v>1030596.86329545</v>
      </c>
      <c r="F172">
        <v>134205.493309691</v>
      </c>
      <c r="G172">
        <v>3714706.7294892799</v>
      </c>
      <c r="H172">
        <v>841306.69318466797</v>
      </c>
      <c r="I172">
        <v>2006109.0497898101</v>
      </c>
      <c r="J172">
        <v>1512625.90503456</v>
      </c>
      <c r="K172">
        <v>9478404.2134571094</v>
      </c>
      <c r="L172">
        <v>-848135.04608705605</v>
      </c>
      <c r="M172">
        <v>10991030.1184917</v>
      </c>
      <c r="N172">
        <v>-16128042.7897144</v>
      </c>
      <c r="O172">
        <v>1876114.5098430701</v>
      </c>
      <c r="P172">
        <v>1238235.57649643</v>
      </c>
      <c r="Q172">
        <v>1917595.21199519</v>
      </c>
      <c r="R172">
        <v>958797.605997595</v>
      </c>
      <c r="S172">
        <v>958797.605997595</v>
      </c>
      <c r="T172">
        <v>917316.90384547599</v>
      </c>
      <c r="U172">
        <v>378383.94897888298</v>
      </c>
      <c r="V172">
        <v>7210853.1063425299</v>
      </c>
      <c r="W172">
        <v>1218292.59036536</v>
      </c>
      <c r="X172">
        <v>0.27299834855934701</v>
      </c>
      <c r="Y172">
        <v>10767906.688400799</v>
      </c>
      <c r="Z172">
        <v>4871634.6658789702</v>
      </c>
      <c r="AA172">
        <v>0.79645998462376399</v>
      </c>
      <c r="AB172">
        <v>5603090.3030987503</v>
      </c>
      <c r="AC172">
        <v>3244344.6262862398</v>
      </c>
      <c r="AD172">
        <v>4462637.2166515896</v>
      </c>
      <c r="AE172">
        <v>-8917189.6833718494</v>
      </c>
      <c r="AF172">
        <v>-469751.09710817301</v>
      </c>
      <c r="AG172">
        <v>5.5594999999999999E-2</v>
      </c>
      <c r="AH172">
        <v>-27119072.908206001</v>
      </c>
      <c r="AI172">
        <v>12082487.7722215</v>
      </c>
      <c r="AJ172">
        <v>0.06</v>
      </c>
      <c r="AK172">
        <v>0.05</v>
      </c>
      <c r="AL172">
        <v>8.8099999999999998E-2</v>
      </c>
      <c r="AM172">
        <v>3.8100000000000002E-2</v>
      </c>
      <c r="AN172">
        <v>0.89</v>
      </c>
      <c r="AO172">
        <v>0.66</v>
      </c>
      <c r="AP172">
        <v>0.42970000000000003</v>
      </c>
      <c r="AQ172">
        <v>0.57030000000000003</v>
      </c>
      <c r="AR172">
        <v>8.9999999999999993E-3</v>
      </c>
      <c r="AS172">
        <v>0.5</v>
      </c>
      <c r="AT172">
        <v>1.82</v>
      </c>
      <c r="AU172">
        <v>6.3545217126973294E-2</v>
      </c>
      <c r="AV172">
        <v>0.7893</v>
      </c>
      <c r="AW172">
        <v>3</v>
      </c>
      <c r="AX172">
        <v>0.05</v>
      </c>
      <c r="AY172">
        <v>1</v>
      </c>
      <c r="AZ172">
        <v>1</v>
      </c>
      <c r="BA172" s="2">
        <f>modelo_tese_H__2[[#This Row],[Vw]]+modelo_tese_H__2[[#This Row],[Vr]]+modelo_tese_H__2[[#This Row],[K]]-modelo_tese_H__2[[#This Row],[E]]</f>
        <v>-9140313.1134626716</v>
      </c>
      <c r="BB172" s="2">
        <f>modelo_tese_H__2[[#This Row],[K]]-modelo_tese_H__2[[#This Row],[Coluna1]]</f>
        <v>19908219.801863469</v>
      </c>
      <c r="BC172">
        <f>modelo_tese_H__2[[#This Row],[Coluna2]]/modelo_tese_H__2[[#This Row],[Coluna1]]</f>
        <v>-2.1780675951396962</v>
      </c>
      <c r="BD172" s="8">
        <f>modelo_tese_H__2[[#This Row],[D]]-modelo_tese_H__2[[#This Row],[Dw]]-modelo_tese_H__2[[#This Row],[Dr]]</f>
        <v>2.0489096641540527E-8</v>
      </c>
    </row>
    <row r="173" spans="1:56" x14ac:dyDescent="0.25">
      <c r="A173">
        <v>172</v>
      </c>
      <c r="B173">
        <v>172</v>
      </c>
      <c r="C173">
        <v>2687125.1823771</v>
      </c>
      <c r="D173">
        <v>1222951.20436629</v>
      </c>
      <c r="E173">
        <v>1088426.571886</v>
      </c>
      <c r="F173">
        <v>141661.494278197</v>
      </c>
      <c r="G173">
        <v>3921656.4574499298</v>
      </c>
      <c r="H173">
        <v>888079.13879226998</v>
      </c>
      <c r="I173">
        <v>2118167.2049564701</v>
      </c>
      <c r="J173">
        <v>1596656.3523309401</v>
      </c>
      <c r="K173">
        <v>10005356.1517167</v>
      </c>
      <c r="L173">
        <v>-895216.00059017399</v>
      </c>
      <c r="M173">
        <v>11602012.504047601</v>
      </c>
      <c r="N173">
        <v>-17023258.790304501</v>
      </c>
      <c r="O173">
        <v>1980634.5744696599</v>
      </c>
      <c r="P173">
        <v>1307218.8191499801</v>
      </c>
      <c r="Q173">
        <v>2024649.6420610901</v>
      </c>
      <c r="R173">
        <v>1012324.8210305501</v>
      </c>
      <c r="S173">
        <v>1012324.8210305501</v>
      </c>
      <c r="T173">
        <v>968309.75343911594</v>
      </c>
      <c r="U173">
        <v>399351.77601848199</v>
      </c>
      <c r="V173">
        <v>7610204.8823610097</v>
      </c>
      <c r="W173">
        <v>1286388.80033175</v>
      </c>
      <c r="X173">
        <v>0.27301576332972199</v>
      </c>
      <c r="Y173">
        <v>11370046.5202152</v>
      </c>
      <c r="Z173">
        <v>5145698.6451801704</v>
      </c>
      <c r="AA173">
        <v>0.79638786150654095</v>
      </c>
      <c r="AB173">
        <v>5916432.24637408</v>
      </c>
      <c r="AC173">
        <v>3425386.0241064499</v>
      </c>
      <c r="AD173">
        <v>4711774.8244381901</v>
      </c>
      <c r="AE173">
        <v>-9413053.9079435393</v>
      </c>
      <c r="AF173">
        <v>-495864.224571692</v>
      </c>
      <c r="AG173">
        <v>5.5594999999999999E-2</v>
      </c>
      <c r="AH173">
        <v>-28625271.2943522</v>
      </c>
      <c r="AI173">
        <v>12755903.5275412</v>
      </c>
      <c r="AJ173">
        <v>0.06</v>
      </c>
      <c r="AK173">
        <v>0.05</v>
      </c>
      <c r="AL173">
        <v>8.8099999999999998E-2</v>
      </c>
      <c r="AM173">
        <v>3.8100000000000002E-2</v>
      </c>
      <c r="AN173">
        <v>0.89</v>
      </c>
      <c r="AO173">
        <v>0.66</v>
      </c>
      <c r="AP173">
        <v>0.42970000000000003</v>
      </c>
      <c r="AQ173">
        <v>0.57030000000000003</v>
      </c>
      <c r="AR173">
        <v>8.9999999999999993E-3</v>
      </c>
      <c r="AS173">
        <v>0.5</v>
      </c>
      <c r="AT173">
        <v>1.82</v>
      </c>
      <c r="AU173">
        <v>6.3545217126973294E-2</v>
      </c>
      <c r="AV173">
        <v>0.7893</v>
      </c>
      <c r="AW173">
        <v>3</v>
      </c>
      <c r="AX173">
        <v>0.05</v>
      </c>
      <c r="AY173">
        <v>1</v>
      </c>
      <c r="AZ173">
        <v>1</v>
      </c>
      <c r="BA173" s="2">
        <f>modelo_tese_H__2[[#This Row],[Vw]]+modelo_tese_H__2[[#This Row],[Vr]]+modelo_tese_H__2[[#This Row],[K]]-modelo_tese_H__2[[#This Row],[E]]</f>
        <v>-9645019.8917759694</v>
      </c>
      <c r="BB173" s="2">
        <f>modelo_tese_H__2[[#This Row],[K]]-modelo_tese_H__2[[#This Row],[Coluna1]]</f>
        <v>21015066.411991172</v>
      </c>
      <c r="BC173">
        <f>modelo_tese_H__2[[#This Row],[Coluna2]]/modelo_tese_H__2[[#This Row],[Coluna1]]</f>
        <v>-2.1788515366267012</v>
      </c>
      <c r="BD173" s="8">
        <f>modelo_tese_H__2[[#This Row],[D]]-modelo_tese_H__2[[#This Row],[Dw]]-modelo_tese_H__2[[#This Row],[Dr]]</f>
        <v>-4.8428773880004883E-8</v>
      </c>
    </row>
    <row r="174" spans="1:56" x14ac:dyDescent="0.25">
      <c r="A174">
        <v>173</v>
      </c>
      <c r="B174">
        <v>173</v>
      </c>
      <c r="C174">
        <v>2837134.3927559801</v>
      </c>
      <c r="D174">
        <v>1291568.1035221</v>
      </c>
      <c r="E174">
        <v>1149495.6121346699</v>
      </c>
      <c r="F174">
        <v>149531.77648882399</v>
      </c>
      <c r="G174">
        <v>4140131.14191115</v>
      </c>
      <c r="H174">
        <v>937451.89851342596</v>
      </c>
      <c r="I174">
        <v>2236479.2871369198</v>
      </c>
      <c r="J174">
        <v>1685355.5217959599</v>
      </c>
      <c r="K174">
        <v>10561603.9808497</v>
      </c>
      <c r="L174">
        <v>-944911.18361481896</v>
      </c>
      <c r="M174">
        <v>12246959.502645601</v>
      </c>
      <c r="N174">
        <v>-17968169.973919399</v>
      </c>
      <c r="O174">
        <v>2090975.3241975501</v>
      </c>
      <c r="P174">
        <v>1380043.7139703799</v>
      </c>
      <c r="Q174">
        <v>2137676.04518191</v>
      </c>
      <c r="R174">
        <v>1068838.0225909599</v>
      </c>
      <c r="S174">
        <v>1068838.0225909599</v>
      </c>
      <c r="T174">
        <v>1022137.30160659</v>
      </c>
      <c r="U174">
        <v>421482.19598753302</v>
      </c>
      <c r="V174">
        <v>8031687.0783485398</v>
      </c>
      <c r="W174">
        <v>1358287.43683059</v>
      </c>
      <c r="X174">
        <v>0.273033003724586</v>
      </c>
      <c r="Y174">
        <v>12005821.8821749</v>
      </c>
      <c r="Z174">
        <v>5435148.0594198098</v>
      </c>
      <c r="AA174">
        <v>0.79631644258880596</v>
      </c>
      <c r="AB174">
        <v>6247278.3078105301</v>
      </c>
      <c r="AC174">
        <v>3616523.0011073002</v>
      </c>
      <c r="AD174">
        <v>4974810.4379378902</v>
      </c>
      <c r="AE174">
        <v>-9936482.8955708295</v>
      </c>
      <c r="AF174">
        <v>-523428.987627286</v>
      </c>
      <c r="AG174">
        <v>5.5594999999999999E-2</v>
      </c>
      <c r="AH174">
        <v>-30215129.476565</v>
      </c>
      <c r="AI174">
        <v>13466835.137768401</v>
      </c>
      <c r="AJ174">
        <v>0.06</v>
      </c>
      <c r="AK174">
        <v>0.05</v>
      </c>
      <c r="AL174">
        <v>8.8099999999999998E-2</v>
      </c>
      <c r="AM174">
        <v>3.8100000000000002E-2</v>
      </c>
      <c r="AN174">
        <v>0.89</v>
      </c>
      <c r="AO174">
        <v>0.66</v>
      </c>
      <c r="AP174">
        <v>0.42970000000000003</v>
      </c>
      <c r="AQ174">
        <v>0.57030000000000003</v>
      </c>
      <c r="AR174">
        <v>8.9999999999999993E-3</v>
      </c>
      <c r="AS174">
        <v>0.5</v>
      </c>
      <c r="AT174">
        <v>1.82</v>
      </c>
      <c r="AU174">
        <v>6.3545217126973294E-2</v>
      </c>
      <c r="AV174">
        <v>0.7893</v>
      </c>
      <c r="AW174">
        <v>3</v>
      </c>
      <c r="AX174">
        <v>0.05</v>
      </c>
      <c r="AY174">
        <v>1</v>
      </c>
      <c r="AZ174">
        <v>1</v>
      </c>
      <c r="BA174" s="2">
        <f>modelo_tese_H__2[[#This Row],[Vw]]+modelo_tese_H__2[[#This Row],[Vr]]+modelo_tese_H__2[[#This Row],[K]]-modelo_tese_H__2[[#This Row],[E]]</f>
        <v>-10177620.51604151</v>
      </c>
      <c r="BB174" s="2">
        <f>modelo_tese_H__2[[#This Row],[K]]-modelo_tese_H__2[[#This Row],[Coluna1]]</f>
        <v>22183442.398216411</v>
      </c>
      <c r="BC174">
        <f>modelo_tese_H__2[[#This Row],[Coluna2]]/modelo_tese_H__2[[#This Row],[Coluna1]]</f>
        <v>-2.1796295473241374</v>
      </c>
      <c r="BD174" s="8">
        <f>modelo_tese_H__2[[#This Row],[D]]-modelo_tese_H__2[[#This Row],[Dw]]-modelo_tese_H__2[[#This Row],[Dr]]</f>
        <v>2.9802322387695313E-8</v>
      </c>
    </row>
    <row r="175" spans="1:56" x14ac:dyDescent="0.25">
      <c r="A175">
        <v>174</v>
      </c>
      <c r="B175">
        <v>174</v>
      </c>
      <c r="C175">
        <v>2995511.50264009</v>
      </c>
      <c r="D175">
        <v>1364028.28608877</v>
      </c>
      <c r="E175">
        <v>1213985.17461901</v>
      </c>
      <c r="F175">
        <v>157839.36126518701</v>
      </c>
      <c r="G175">
        <v>4370772.39992275</v>
      </c>
      <c r="H175">
        <v>989569.53681127995</v>
      </c>
      <c r="I175">
        <v>2361394.0726954699</v>
      </c>
      <c r="J175">
        <v>1778982.83768072</v>
      </c>
      <c r="K175">
        <v>11148776.405990601</v>
      </c>
      <c r="L175">
        <v>-997365.78660670202</v>
      </c>
      <c r="M175">
        <v>12927759.2436713</v>
      </c>
      <c r="N175">
        <v>-18965535.760526098</v>
      </c>
      <c r="O175">
        <v>2207460.80804179</v>
      </c>
      <c r="P175">
        <v>1456924.1333075799</v>
      </c>
      <c r="Q175">
        <v>2257007.3517174199</v>
      </c>
      <c r="R175">
        <v>1128503.67585871</v>
      </c>
      <c r="S175">
        <v>1128503.67585871</v>
      </c>
      <c r="T175">
        <v>1078957.1321830801</v>
      </c>
      <c r="U175">
        <v>444839.70223846397</v>
      </c>
      <c r="V175">
        <v>8476526.7805870101</v>
      </c>
      <c r="W175">
        <v>1434200.64835446</v>
      </c>
      <c r="X175">
        <v>0.27305007142709298</v>
      </c>
      <c r="Y175">
        <v>12677109.9722388</v>
      </c>
      <c r="Z175">
        <v>5740845.0319155501</v>
      </c>
      <c r="AA175">
        <v>0.79624572217948997</v>
      </c>
      <c r="AB175">
        <v>6596605.4297664203</v>
      </c>
      <c r="AC175">
        <v>3818318.2060030601</v>
      </c>
      <c r="AD175">
        <v>5252518.8543575099</v>
      </c>
      <c r="AE175">
        <v>-10489008.979939099</v>
      </c>
      <c r="AF175">
        <v>-552526.08436823799</v>
      </c>
      <c r="AG175">
        <v>5.5594999999999999E-2</v>
      </c>
      <c r="AH175">
        <v>-31893295.0041974</v>
      </c>
      <c r="AI175">
        <v>14217371.8125026</v>
      </c>
      <c r="AJ175">
        <v>0.06</v>
      </c>
      <c r="AK175">
        <v>0.05</v>
      </c>
      <c r="AL175">
        <v>8.8099999999999998E-2</v>
      </c>
      <c r="AM175">
        <v>3.8100000000000002E-2</v>
      </c>
      <c r="AN175">
        <v>0.89</v>
      </c>
      <c r="AO175">
        <v>0.66</v>
      </c>
      <c r="AP175">
        <v>0.42970000000000003</v>
      </c>
      <c r="AQ175">
        <v>0.57030000000000003</v>
      </c>
      <c r="AR175">
        <v>8.9999999999999993E-3</v>
      </c>
      <c r="AS175">
        <v>0.5</v>
      </c>
      <c r="AT175">
        <v>1.82</v>
      </c>
      <c r="AU175">
        <v>6.3545217126973294E-2</v>
      </c>
      <c r="AV175">
        <v>0.7893</v>
      </c>
      <c r="AW175">
        <v>3</v>
      </c>
      <c r="AX175">
        <v>0.05</v>
      </c>
      <c r="AY175">
        <v>1</v>
      </c>
      <c r="AZ175">
        <v>1</v>
      </c>
      <c r="BA175" s="2">
        <f>modelo_tese_H__2[[#This Row],[Vw]]+modelo_tese_H__2[[#This Row],[Vr]]+modelo_tese_H__2[[#This Row],[K]]-modelo_tese_H__2[[#This Row],[E]]</f>
        <v>-10739658.251371551</v>
      </c>
      <c r="BB175" s="2">
        <f>modelo_tese_H__2[[#This Row],[K]]-modelo_tese_H__2[[#This Row],[Coluna1]]</f>
        <v>23416768.223610349</v>
      </c>
      <c r="BC175">
        <f>modelo_tese_H__2[[#This Row],[Coluna2]]/modelo_tese_H__2[[#This Row],[Coluna1]]</f>
        <v>-2.1804016175859058</v>
      </c>
      <c r="BD175" s="8">
        <f>modelo_tese_H__2[[#This Row],[D]]-modelo_tese_H__2[[#This Row],[Dw]]-modelo_tese_H__2[[#This Row],[Dr]]</f>
        <v>0</v>
      </c>
    </row>
    <row r="176" spans="1:56" x14ac:dyDescent="0.25">
      <c r="A176">
        <v>175</v>
      </c>
      <c r="B176">
        <v>175</v>
      </c>
      <c r="C176">
        <v>3162722.9995659902</v>
      </c>
      <c r="D176">
        <v>1440546.7111535401</v>
      </c>
      <c r="E176">
        <v>1282086.5729266501</v>
      </c>
      <c r="F176">
        <v>166608.549320049</v>
      </c>
      <c r="G176">
        <v>4614257.5593276303</v>
      </c>
      <c r="H176">
        <v>1044584.6552103</v>
      </c>
      <c r="I176">
        <v>2493279.77745701</v>
      </c>
      <c r="J176">
        <v>1877812.14088513</v>
      </c>
      <c r="K176">
        <v>11768592.6801327</v>
      </c>
      <c r="L176">
        <v>-1052733.0663034599</v>
      </c>
      <c r="M176">
        <v>13646404.8210178</v>
      </c>
      <c r="N176">
        <v>-20018268.8268295</v>
      </c>
      <c r="O176">
        <v>2330433.1107715298</v>
      </c>
      <c r="P176">
        <v>1538085.85310921</v>
      </c>
      <c r="Q176">
        <v>2382995.0428081802</v>
      </c>
      <c r="R176">
        <v>1191497.5214040901</v>
      </c>
      <c r="S176">
        <v>1191497.5214040901</v>
      </c>
      <c r="T176">
        <v>1138935.58936744</v>
      </c>
      <c r="U176">
        <v>469492.36725846102</v>
      </c>
      <c r="V176">
        <v>8946019.1478454694</v>
      </c>
      <c r="W176">
        <v>1514352.4118079499</v>
      </c>
      <c r="X176">
        <v>0.27306696810710201</v>
      </c>
      <c r="Y176">
        <v>13385892.678318299</v>
      </c>
      <c r="Z176">
        <v>6063699.9223194104</v>
      </c>
      <c r="AA176">
        <v>0.79617569455686699</v>
      </c>
      <c r="AB176">
        <v>6965445.0396916298</v>
      </c>
      <c r="AC176">
        <v>4031365.6305662198</v>
      </c>
      <c r="AD176">
        <v>5545718.0423741704</v>
      </c>
      <c r="AE176">
        <v>-11072249.6789841</v>
      </c>
      <c r="AF176">
        <v>-583240.69904500095</v>
      </c>
      <c r="AG176">
        <v>5.5594999999999999E-2</v>
      </c>
      <c r="AH176">
        <v>-33664673.647847302</v>
      </c>
      <c r="AI176">
        <v>15009719.0701649</v>
      </c>
      <c r="AJ176">
        <v>0.06</v>
      </c>
      <c r="AK176">
        <v>0.05</v>
      </c>
      <c r="AL176">
        <v>8.8099999999999998E-2</v>
      </c>
      <c r="AM176">
        <v>3.8100000000000002E-2</v>
      </c>
      <c r="AN176">
        <v>0.89</v>
      </c>
      <c r="AO176">
        <v>0.66</v>
      </c>
      <c r="AP176">
        <v>0.42970000000000003</v>
      </c>
      <c r="AQ176">
        <v>0.57030000000000003</v>
      </c>
      <c r="AR176">
        <v>8.9999999999999993E-3</v>
      </c>
      <c r="AS176">
        <v>0.5</v>
      </c>
      <c r="AT176">
        <v>1.82</v>
      </c>
      <c r="AU176">
        <v>6.3545217126973294E-2</v>
      </c>
      <c r="AV176">
        <v>0.7893</v>
      </c>
      <c r="AW176">
        <v>3</v>
      </c>
      <c r="AX176">
        <v>0.05</v>
      </c>
      <c r="AY176">
        <v>1</v>
      </c>
      <c r="AZ176">
        <v>1</v>
      </c>
      <c r="BA176" s="2">
        <f>modelo_tese_H__2[[#This Row],[Vw]]+modelo_tese_H__2[[#This Row],[Vr]]+modelo_tese_H__2[[#This Row],[K]]-modelo_tese_H__2[[#This Row],[E]]</f>
        <v>-11332761.821683513</v>
      </c>
      <c r="BB176" s="2">
        <f>modelo_tese_H__2[[#This Row],[K]]-modelo_tese_H__2[[#This Row],[Coluna1]]</f>
        <v>24718654.50000181</v>
      </c>
      <c r="BC176">
        <f>modelo_tese_H__2[[#This Row],[Coluna2]]/modelo_tese_H__2[[#This Row],[Coluna1]]</f>
        <v>-2.1811677408331684</v>
      </c>
      <c r="BD176" s="8">
        <f>modelo_tese_H__2[[#This Row],[D]]-modelo_tese_H__2[[#This Row],[Dw]]-modelo_tese_H__2[[#This Row],[Dr]]</f>
        <v>-6.891787052154541E-8</v>
      </c>
    </row>
    <row r="177" spans="1:56" x14ac:dyDescent="0.25">
      <c r="A177">
        <v>176</v>
      </c>
      <c r="B177">
        <v>176</v>
      </c>
      <c r="C177">
        <v>3339261.3630321799</v>
      </c>
      <c r="D177">
        <v>1521350.34683883</v>
      </c>
      <c r="E177">
        <v>1354001.80868656</v>
      </c>
      <c r="F177">
        <v>175864.991861252</v>
      </c>
      <c r="G177">
        <v>4871301.6459116098</v>
      </c>
      <c r="H177">
        <v>1102658.33911672</v>
      </c>
      <c r="I177">
        <v>2632525.1396645298</v>
      </c>
      <c r="J177">
        <v>1982132.49017866</v>
      </c>
      <c r="K177">
        <v>12422867.638136299</v>
      </c>
      <c r="L177">
        <v>-1111174.7928257</v>
      </c>
      <c r="M177">
        <v>14405000.128315</v>
      </c>
      <c r="N177">
        <v>-21129443.619655199</v>
      </c>
      <c r="O177">
        <v>2460253.3565210099</v>
      </c>
      <c r="P177">
        <v>1623767.2153038699</v>
      </c>
      <c r="Q177">
        <v>2516010.18357869</v>
      </c>
      <c r="R177">
        <v>1258005.0917893499</v>
      </c>
      <c r="S177">
        <v>1258005.0917893499</v>
      </c>
      <c r="T177">
        <v>1202248.26473167</v>
      </c>
      <c r="U177">
        <v>495512.04136401799</v>
      </c>
      <c r="V177">
        <v>9441531.1892094892</v>
      </c>
      <c r="W177">
        <v>1598979.19164247</v>
      </c>
      <c r="X177">
        <v>0.27308369542109501</v>
      </c>
      <c r="Y177">
        <v>14134262.413278701</v>
      </c>
      <c r="Z177">
        <v>6404674.0221725404</v>
      </c>
      <c r="AA177">
        <v>0.79610635397463902</v>
      </c>
      <c r="AB177">
        <v>7354886.08698807</v>
      </c>
      <c r="AC177">
        <v>4256292.3549683997</v>
      </c>
      <c r="AD177">
        <v>5855271.5466108797</v>
      </c>
      <c r="AE177">
        <v>-11687912.430445701</v>
      </c>
      <c r="AF177">
        <v>-615662.75146168296</v>
      </c>
      <c r="AG177">
        <v>5.5594999999999999E-2</v>
      </c>
      <c r="AH177">
        <v>-35534443.747970201</v>
      </c>
      <c r="AI177">
        <v>15846205.211382</v>
      </c>
      <c r="AJ177">
        <v>0.06</v>
      </c>
      <c r="AK177">
        <v>0.05</v>
      </c>
      <c r="AL177">
        <v>8.8099999999999998E-2</v>
      </c>
      <c r="AM177">
        <v>3.8100000000000002E-2</v>
      </c>
      <c r="AN177">
        <v>0.89</v>
      </c>
      <c r="AO177">
        <v>0.66</v>
      </c>
      <c r="AP177">
        <v>0.42970000000000003</v>
      </c>
      <c r="AQ177">
        <v>0.57030000000000003</v>
      </c>
      <c r="AR177">
        <v>8.9999999999999993E-3</v>
      </c>
      <c r="AS177">
        <v>0.5</v>
      </c>
      <c r="AT177">
        <v>1.82</v>
      </c>
      <c r="AU177">
        <v>6.3545217126973294E-2</v>
      </c>
      <c r="AV177">
        <v>0.7893</v>
      </c>
      <c r="AW177">
        <v>3</v>
      </c>
      <c r="AX177">
        <v>0.05</v>
      </c>
      <c r="AY177">
        <v>1</v>
      </c>
      <c r="AZ177">
        <v>1</v>
      </c>
      <c r="BA177" s="2">
        <f>modelo_tese_H__2[[#This Row],[Vw]]+modelo_tese_H__2[[#This Row],[Vr]]+modelo_tese_H__2[[#This Row],[K]]-modelo_tese_H__2[[#This Row],[E]]</f>
        <v>-11958650.145482039</v>
      </c>
      <c r="BB177" s="2">
        <f>modelo_tese_H__2[[#This Row],[K]]-modelo_tese_H__2[[#This Row],[Coluna1]]</f>
        <v>26092912.55876074</v>
      </c>
      <c r="BC177">
        <f>modelo_tese_H__2[[#This Row],[Coluna2]]/modelo_tese_H__2[[#This Row],[Coluna1]]</f>
        <v>-2.1819279133789697</v>
      </c>
      <c r="BD177" s="8">
        <f>modelo_tese_H__2[[#This Row],[D]]-modelo_tese_H__2[[#This Row],[Dw]]-modelo_tese_H__2[[#This Row],[Dr]]</f>
        <v>0</v>
      </c>
    </row>
    <row r="178" spans="1:56" x14ac:dyDescent="0.25">
      <c r="A178">
        <v>177</v>
      </c>
      <c r="B178">
        <v>177</v>
      </c>
      <c r="C178">
        <v>3525646.5121193998</v>
      </c>
      <c r="D178">
        <v>1606678.8405776499</v>
      </c>
      <c r="E178">
        <v>1429944.1681141099</v>
      </c>
      <c r="F178">
        <v>185635.76564980601</v>
      </c>
      <c r="G178">
        <v>5142659.4811102198</v>
      </c>
      <c r="H178">
        <v>1163960.62947991</v>
      </c>
      <c r="I178">
        <v>2779540.5632438301</v>
      </c>
      <c r="J178">
        <v>2092249.0079526601</v>
      </c>
      <c r="K178">
        <v>13113517.010603201</v>
      </c>
      <c r="L178">
        <v>-1172861.72266618</v>
      </c>
      <c r="M178">
        <v>15205766.0185559</v>
      </c>
      <c r="N178">
        <v>-22302305.3423214</v>
      </c>
      <c r="O178">
        <v>2597302.7682374902</v>
      </c>
      <c r="P178">
        <v>1714219.82703674</v>
      </c>
      <c r="Q178">
        <v>2656444.51386587</v>
      </c>
      <c r="R178">
        <v>1328222.2569329401</v>
      </c>
      <c r="S178">
        <v>1328222.2569329401</v>
      </c>
      <c r="T178">
        <v>1269080.5113045501</v>
      </c>
      <c r="U178">
        <v>522974.56242897402</v>
      </c>
      <c r="V178">
        <v>9964505.7516384609</v>
      </c>
      <c r="W178">
        <v>1688330.6357047099</v>
      </c>
      <c r="X178">
        <v>0.27310025501212098</v>
      </c>
      <c r="Y178">
        <v>14924428.275002001</v>
      </c>
      <c r="Z178">
        <v>6764782.4009443102</v>
      </c>
      <c r="AA178">
        <v>0.796037694667596</v>
      </c>
      <c r="AB178">
        <v>7766078.2490542103</v>
      </c>
      <c r="AC178">
        <v>4493760.3902805699</v>
      </c>
      <c r="AD178">
        <v>6182091.0259852801</v>
      </c>
      <c r="AE178">
        <v>-12337799.590683</v>
      </c>
      <c r="AF178">
        <v>-649887.16023720405</v>
      </c>
      <c r="AG178">
        <v>5.5594999999999999E-2</v>
      </c>
      <c r="AH178">
        <v>-37508071.360877298</v>
      </c>
      <c r="AI178">
        <v>16729288.1525828</v>
      </c>
      <c r="AJ178">
        <v>0.06</v>
      </c>
      <c r="AK178">
        <v>0.05</v>
      </c>
      <c r="AL178">
        <v>8.8099999999999998E-2</v>
      </c>
      <c r="AM178">
        <v>3.8100000000000002E-2</v>
      </c>
      <c r="AN178">
        <v>0.89</v>
      </c>
      <c r="AO178">
        <v>0.66</v>
      </c>
      <c r="AP178">
        <v>0.42970000000000003</v>
      </c>
      <c r="AQ178">
        <v>0.57030000000000003</v>
      </c>
      <c r="AR178">
        <v>8.9999999999999993E-3</v>
      </c>
      <c r="AS178">
        <v>0.5</v>
      </c>
      <c r="AT178">
        <v>1.82</v>
      </c>
      <c r="AU178">
        <v>6.3545217126973294E-2</v>
      </c>
      <c r="AV178">
        <v>0.7893</v>
      </c>
      <c r="AW178">
        <v>3</v>
      </c>
      <c r="AX178">
        <v>0.05</v>
      </c>
      <c r="AY178">
        <v>1</v>
      </c>
      <c r="AZ178">
        <v>1</v>
      </c>
      <c r="BA178" s="2">
        <f>modelo_tese_H__2[[#This Row],[Vw]]+modelo_tese_H__2[[#This Row],[Vr]]+modelo_tese_H__2[[#This Row],[K]]-modelo_tese_H__2[[#This Row],[E]]</f>
        <v>-12619137.334236804</v>
      </c>
      <c r="BB178" s="2">
        <f>modelo_tese_H__2[[#This Row],[K]]-modelo_tese_H__2[[#This Row],[Coluna1]]</f>
        <v>27543565.609238803</v>
      </c>
      <c r="BC178">
        <f>modelo_tese_H__2[[#This Row],[Coluna2]]/modelo_tese_H__2[[#This Row],[Coluna1]]</f>
        <v>-2.1826821342621212</v>
      </c>
      <c r="BD178" s="8">
        <f>modelo_tese_H__2[[#This Row],[D]]-modelo_tese_H__2[[#This Row],[Dw]]-modelo_tese_H__2[[#This Row],[Dr]]</f>
        <v>-6.1467289924621582E-8</v>
      </c>
    </row>
    <row r="179" spans="1:56" x14ac:dyDescent="0.25">
      <c r="A179">
        <v>178</v>
      </c>
      <c r="B179">
        <v>178</v>
      </c>
      <c r="C179">
        <v>3722427.3337083198</v>
      </c>
      <c r="D179">
        <v>1696785.2267716101</v>
      </c>
      <c r="E179">
        <v>1510138.85182674</v>
      </c>
      <c r="F179">
        <v>195949.452229802</v>
      </c>
      <c r="G179">
        <v>5429127.8964227801</v>
      </c>
      <c r="H179">
        <v>1228671.0206758501</v>
      </c>
      <c r="I179">
        <v>2934759.3247323902</v>
      </c>
      <c r="J179">
        <v>2208483.7729794602</v>
      </c>
      <c r="K179">
        <v>13842563.0331751</v>
      </c>
      <c r="L179">
        <v>-1237974.0979607699</v>
      </c>
      <c r="M179">
        <v>16051046.806154599</v>
      </c>
      <c r="N179">
        <v>-23540279.4402822</v>
      </c>
      <c r="O179">
        <v>2741983.7860721098</v>
      </c>
      <c r="P179">
        <v>1809709.29880759</v>
      </c>
      <c r="Q179">
        <v>2804711.59967467</v>
      </c>
      <c r="R179">
        <v>1402355.7998373399</v>
      </c>
      <c r="S179">
        <v>1402355.7998373399</v>
      </c>
      <c r="T179">
        <v>1339627.9862347699</v>
      </c>
      <c r="U179">
        <v>551959.97725884302</v>
      </c>
      <c r="V179">
        <v>10516465.7288973</v>
      </c>
      <c r="W179">
        <v>1782670.30984301</v>
      </c>
      <c r="X179">
        <v>0.27311664850974399</v>
      </c>
      <c r="Y179">
        <v>15758722.549613999</v>
      </c>
      <c r="Z179">
        <v>7145096.9109499799</v>
      </c>
      <c r="AA179">
        <v>0.79596971085684598</v>
      </c>
      <c r="AB179">
        <v>8200235.3159351498</v>
      </c>
      <c r="AC179">
        <v>4744468.6235399796</v>
      </c>
      <c r="AD179">
        <v>6527138.9333829898</v>
      </c>
      <c r="AE179">
        <v>-13023813.7113849</v>
      </c>
      <c r="AF179">
        <v>-686014.120701932</v>
      </c>
      <c r="AG179">
        <v>5.5594999999999999E-2</v>
      </c>
      <c r="AH179">
        <v>-39591326.246436797</v>
      </c>
      <c r="AI179">
        <v>17661562.639847301</v>
      </c>
      <c r="AJ179">
        <v>0.06</v>
      </c>
      <c r="AK179">
        <v>0.05</v>
      </c>
      <c r="AL179">
        <v>8.8099999999999998E-2</v>
      </c>
      <c r="AM179">
        <v>3.8100000000000002E-2</v>
      </c>
      <c r="AN179">
        <v>0.89</v>
      </c>
      <c r="AO179">
        <v>0.66</v>
      </c>
      <c r="AP179">
        <v>0.42970000000000003</v>
      </c>
      <c r="AQ179">
        <v>0.57030000000000003</v>
      </c>
      <c r="AR179">
        <v>8.9999999999999993E-3</v>
      </c>
      <c r="AS179">
        <v>0.5</v>
      </c>
      <c r="AT179">
        <v>1.82</v>
      </c>
      <c r="AU179">
        <v>6.3545217126973294E-2</v>
      </c>
      <c r="AV179">
        <v>0.7893</v>
      </c>
      <c r="AW179">
        <v>3</v>
      </c>
      <c r="AX179">
        <v>0.05</v>
      </c>
      <c r="AY179">
        <v>1</v>
      </c>
      <c r="AZ179">
        <v>1</v>
      </c>
      <c r="BA179" s="2">
        <f>modelo_tese_H__2[[#This Row],[Vw]]+modelo_tese_H__2[[#This Row],[Vr]]+modelo_tese_H__2[[#This Row],[K]]-modelo_tese_H__2[[#This Row],[E]]</f>
        <v>-13316137.967925478</v>
      </c>
      <c r="BB179" s="2">
        <f>modelo_tese_H__2[[#This Row],[K]]-modelo_tese_H__2[[#This Row],[Coluna1]]</f>
        <v>29074860.517539479</v>
      </c>
      <c r="BC179">
        <f>modelo_tese_H__2[[#This Row],[Coluna2]]/modelo_tese_H__2[[#This Row],[Coluna1]]</f>
        <v>-2.1834304050898217</v>
      </c>
      <c r="BD179" s="8">
        <f>modelo_tese_H__2[[#This Row],[D]]-modelo_tese_H__2[[#This Row],[Dw]]-modelo_tese_H__2[[#This Row],[Dr]]</f>
        <v>0</v>
      </c>
    </row>
    <row r="180" spans="1:56" x14ac:dyDescent="0.25">
      <c r="A180">
        <v>179</v>
      </c>
      <c r="B180">
        <v>179</v>
      </c>
      <c r="C180">
        <v>3930183.2957806499</v>
      </c>
      <c r="D180">
        <v>1791936.67391502</v>
      </c>
      <c r="E180">
        <v>1594823.6397843701</v>
      </c>
      <c r="F180">
        <v>206836.22156205599</v>
      </c>
      <c r="G180">
        <v>5731548.0710255001</v>
      </c>
      <c r="H180">
        <v>1296978.98607032</v>
      </c>
      <c r="I180">
        <v>3098638.8474167502</v>
      </c>
      <c r="J180">
        <v>2331176.7627909998</v>
      </c>
      <c r="K180">
        <v>14612140.3676815</v>
      </c>
      <c r="L180">
        <v>-1306702.17350173</v>
      </c>
      <c r="M180">
        <v>16943317.1304725</v>
      </c>
      <c r="N180">
        <v>-24846981.6137839</v>
      </c>
      <c r="O180">
        <v>2894721.2479926702</v>
      </c>
      <c r="P180">
        <v>1910516.02367517</v>
      </c>
      <c r="Q180">
        <v>2961248.0487409201</v>
      </c>
      <c r="R180">
        <v>1480624.0243704601</v>
      </c>
      <c r="S180">
        <v>1480624.0243704601</v>
      </c>
      <c r="T180">
        <v>1414097.2236222201</v>
      </c>
      <c r="U180">
        <v>582552.77525832003</v>
      </c>
      <c r="V180">
        <v>11099018.5041556</v>
      </c>
      <c r="W180">
        <v>1882276.4734296501</v>
      </c>
      <c r="X180">
        <v>0.27313287753000798</v>
      </c>
      <c r="Y180">
        <v>16639607.5769847</v>
      </c>
      <c r="Z180">
        <v>7546749.3600091701</v>
      </c>
      <c r="AA180">
        <v>0.79590239675464203</v>
      </c>
      <c r="AB180">
        <v>8658638.7635242008</v>
      </c>
      <c r="AC180">
        <v>5009154.8710919097</v>
      </c>
      <c r="AD180">
        <v>6891431.3445215598</v>
      </c>
      <c r="AE180">
        <v>-13747963.109628299</v>
      </c>
      <c r="AF180">
        <v>-724149.39824340702</v>
      </c>
      <c r="AG180">
        <v>5.5594999999999999E-2</v>
      </c>
      <c r="AH180">
        <v>-41790298.7442564</v>
      </c>
      <c r="AI180">
        <v>18645767.864164799</v>
      </c>
      <c r="AJ180">
        <v>0.06</v>
      </c>
      <c r="AK180">
        <v>0.05</v>
      </c>
      <c r="AL180">
        <v>8.8099999999999998E-2</v>
      </c>
      <c r="AM180">
        <v>3.8100000000000002E-2</v>
      </c>
      <c r="AN180">
        <v>0.89</v>
      </c>
      <c r="AO180">
        <v>0.66</v>
      </c>
      <c r="AP180">
        <v>0.42970000000000003</v>
      </c>
      <c r="AQ180">
        <v>0.57030000000000003</v>
      </c>
      <c r="AR180">
        <v>8.9999999999999993E-3</v>
      </c>
      <c r="AS180">
        <v>0.5</v>
      </c>
      <c r="AT180">
        <v>1.82</v>
      </c>
      <c r="AU180">
        <v>6.3545217126973294E-2</v>
      </c>
      <c r="AV180">
        <v>0.7893</v>
      </c>
      <c r="AW180">
        <v>3</v>
      </c>
      <c r="AX180">
        <v>0.05</v>
      </c>
      <c r="AY180">
        <v>1</v>
      </c>
      <c r="AZ180">
        <v>1</v>
      </c>
      <c r="BA180" s="2">
        <f>modelo_tese_H__2[[#This Row],[Vw]]+modelo_tese_H__2[[#This Row],[Vr]]+modelo_tese_H__2[[#This Row],[K]]-modelo_tese_H__2[[#This Row],[E]]</f>
        <v>-14051672.663116071</v>
      </c>
      <c r="BB180" s="2">
        <f>modelo_tese_H__2[[#This Row],[K]]-modelo_tese_H__2[[#This Row],[Coluna1]]</f>
        <v>30691280.240100771</v>
      </c>
      <c r="BC180">
        <f>modelo_tese_H__2[[#This Row],[Coluna2]]/modelo_tese_H__2[[#This Row],[Coluna1]]</f>
        <v>-2.1841727298887088</v>
      </c>
      <c r="BD180" s="8">
        <f>modelo_tese_H__2[[#This Row],[D]]-modelo_tese_H__2[[#This Row],[Dw]]-modelo_tese_H__2[[#This Row],[Dr]]</f>
        <v>0</v>
      </c>
    </row>
    <row r="181" spans="1:56" x14ac:dyDescent="0.25">
      <c r="A181">
        <v>180</v>
      </c>
      <c r="B181">
        <v>180</v>
      </c>
      <c r="C181">
        <v>4149526.15053959</v>
      </c>
      <c r="D181">
        <v>1892415.2733849201</v>
      </c>
      <c r="E181">
        <v>1684249.5933125799</v>
      </c>
      <c r="F181">
        <v>218327.92030623899</v>
      </c>
      <c r="G181">
        <v>6050807.9994373601</v>
      </c>
      <c r="H181">
        <v>1369084.5328009001</v>
      </c>
      <c r="I181">
        <v>3271662.0464197202</v>
      </c>
      <c r="J181">
        <v>2460686.8484348999</v>
      </c>
      <c r="K181">
        <v>15424502.3524737</v>
      </c>
      <c r="L181">
        <v>-1379246.7730348001</v>
      </c>
      <c r="M181">
        <v>17885189.200908601</v>
      </c>
      <c r="N181">
        <v>-26226228.3868187</v>
      </c>
      <c r="O181">
        <v>3055963.6360794702</v>
      </c>
      <c r="P181">
        <v>2016935.99981245</v>
      </c>
      <c r="Q181">
        <v>3126514.7937697</v>
      </c>
      <c r="R181">
        <v>1563257.39688485</v>
      </c>
      <c r="S181">
        <v>1563257.39688485</v>
      </c>
      <c r="T181">
        <v>1492706.2391946199</v>
      </c>
      <c r="U181">
        <v>614842.13507475797</v>
      </c>
      <c r="V181">
        <v>11713860.6392304</v>
      </c>
      <c r="W181">
        <v>1987442.8980771101</v>
      </c>
      <c r="X181">
        <v>0.27314894367541198</v>
      </c>
      <c r="Y181">
        <v>17569682.998674698</v>
      </c>
      <c r="Z181">
        <v>7970934.86120144</v>
      </c>
      <c r="AA181">
        <v>0.79583574656888401</v>
      </c>
      <c r="AB181">
        <v>9142641.5258157793</v>
      </c>
      <c r="AC181">
        <v>5288598.0462321704</v>
      </c>
      <c r="AD181">
        <v>7276040.9443092896</v>
      </c>
      <c r="AE181">
        <v>-14512367.747588299</v>
      </c>
      <c r="AF181">
        <v>-764404.63796004304</v>
      </c>
      <c r="AG181">
        <v>5.5594999999999999E-2</v>
      </c>
      <c r="AH181">
        <v>-44111417.587727301</v>
      </c>
      <c r="AI181">
        <v>19684795.500431798</v>
      </c>
      <c r="AJ181">
        <v>0.06</v>
      </c>
      <c r="AK181">
        <v>0.05</v>
      </c>
      <c r="AL181">
        <v>8.8099999999999998E-2</v>
      </c>
      <c r="AM181">
        <v>3.8100000000000002E-2</v>
      </c>
      <c r="AN181">
        <v>0.89</v>
      </c>
      <c r="AO181">
        <v>0.66</v>
      </c>
      <c r="AP181">
        <v>0.42970000000000003</v>
      </c>
      <c r="AQ181">
        <v>0.57030000000000003</v>
      </c>
      <c r="AR181">
        <v>8.9999999999999993E-3</v>
      </c>
      <c r="AS181">
        <v>0.5</v>
      </c>
      <c r="AT181">
        <v>1.82</v>
      </c>
      <c r="AU181">
        <v>6.3545217126973294E-2</v>
      </c>
      <c r="AV181">
        <v>0.7893</v>
      </c>
      <c r="AW181">
        <v>3</v>
      </c>
      <c r="AX181">
        <v>0.05</v>
      </c>
      <c r="AY181">
        <v>1</v>
      </c>
      <c r="AZ181">
        <v>1</v>
      </c>
      <c r="BA181" s="2">
        <f>modelo_tese_H__2[[#This Row],[Vw]]+modelo_tese_H__2[[#This Row],[Vr]]+modelo_tese_H__2[[#This Row],[K]]-modelo_tese_H__2[[#This Row],[E]]</f>
        <v>-14827873.949822243</v>
      </c>
      <c r="BB181" s="2">
        <f>modelo_tese_H__2[[#This Row],[K]]-modelo_tese_H__2[[#This Row],[Coluna1]]</f>
        <v>32397556.948496941</v>
      </c>
      <c r="BC181">
        <f>modelo_tese_H__2[[#This Row],[Coluna2]]/modelo_tese_H__2[[#This Row],[Coluna1]]</f>
        <v>-2.1849091149635327</v>
      </c>
      <c r="BD181" s="8">
        <f>modelo_tese_H__2[[#This Row],[D]]-modelo_tese_H__2[[#This Row],[Dw]]-modelo_tese_H__2[[#This Row],[Dr]]</f>
        <v>0</v>
      </c>
    </row>
    <row r="182" spans="1:56" x14ac:dyDescent="0.25">
      <c r="A182">
        <v>181</v>
      </c>
      <c r="B182">
        <v>181</v>
      </c>
      <c r="C182">
        <v>4381101.7323485697</v>
      </c>
      <c r="D182">
        <v>1998518.8722191199</v>
      </c>
      <c r="E182">
        <v>1778681.7962750201</v>
      </c>
      <c r="F182">
        <v>230458.16500988899</v>
      </c>
      <c r="G182">
        <v>6387845.09647281</v>
      </c>
      <c r="H182">
        <v>1445198.78740197</v>
      </c>
      <c r="I182">
        <v>3454338.7486868799</v>
      </c>
      <c r="J182">
        <v>2597392.8445194201</v>
      </c>
      <c r="K182">
        <v>16282027.6002464</v>
      </c>
      <c r="L182">
        <v>-1455819.87646776</v>
      </c>
      <c r="M182">
        <v>18879420.444765799</v>
      </c>
      <c r="N182">
        <v>-27682048.263286501</v>
      </c>
      <c r="O182">
        <v>3226184.3921579798</v>
      </c>
      <c r="P182">
        <v>2129281.6988242702</v>
      </c>
      <c r="Q182">
        <v>3300998.4471158702</v>
      </c>
      <c r="R182">
        <v>1650499.22355793</v>
      </c>
      <c r="S182">
        <v>1650499.22355793</v>
      </c>
      <c r="T182">
        <v>1575685.16860005</v>
      </c>
      <c r="U182">
        <v>648922.18493835395</v>
      </c>
      <c r="V182">
        <v>12362782.824168701</v>
      </c>
      <c r="W182">
        <v>2098479.7319532898</v>
      </c>
      <c r="X182">
        <v>0.27316484853489797</v>
      </c>
      <c r="Y182">
        <v>18551693.409625102</v>
      </c>
      <c r="Z182">
        <v>8418915.3695967998</v>
      </c>
      <c r="AA182">
        <v>0.79576975450723297</v>
      </c>
      <c r="AB182">
        <v>9653671.9772938006</v>
      </c>
      <c r="AC182">
        <v>5583620.4475111403</v>
      </c>
      <c r="AD182">
        <v>7682100.1794644399</v>
      </c>
      <c r="AE182">
        <v>-15319265.4391177</v>
      </c>
      <c r="AF182">
        <v>-806897.69152940204</v>
      </c>
      <c r="AG182">
        <v>5.5594999999999999E-2</v>
      </c>
      <c r="AH182">
        <v>-46561468.7080523</v>
      </c>
      <c r="AI182">
        <v>20781698.193765499</v>
      </c>
      <c r="AJ182">
        <v>0.06</v>
      </c>
      <c r="AK182">
        <v>0.05</v>
      </c>
      <c r="AL182">
        <v>8.8099999999999998E-2</v>
      </c>
      <c r="AM182">
        <v>3.8100000000000002E-2</v>
      </c>
      <c r="AN182">
        <v>0.89</v>
      </c>
      <c r="AO182">
        <v>0.66</v>
      </c>
      <c r="AP182">
        <v>0.42970000000000003</v>
      </c>
      <c r="AQ182">
        <v>0.57030000000000003</v>
      </c>
      <c r="AR182">
        <v>8.9999999999999993E-3</v>
      </c>
      <c r="AS182">
        <v>0.5</v>
      </c>
      <c r="AT182">
        <v>1.82</v>
      </c>
      <c r="AU182">
        <v>6.3545217126973294E-2</v>
      </c>
      <c r="AV182">
        <v>0.7893</v>
      </c>
      <c r="AW182">
        <v>3</v>
      </c>
      <c r="AX182">
        <v>0.05</v>
      </c>
      <c r="AY182">
        <v>1</v>
      </c>
      <c r="AZ182">
        <v>1</v>
      </c>
      <c r="BA182" s="2">
        <f>modelo_tese_H__2[[#This Row],[Vw]]+modelo_tese_H__2[[#This Row],[Vr]]+modelo_tese_H__2[[#This Row],[K]]-modelo_tese_H__2[[#This Row],[E]]</f>
        <v>-15646992.474258499</v>
      </c>
      <c r="BB182" s="2">
        <f>modelo_tese_H__2[[#This Row],[K]]-modelo_tese_H__2[[#This Row],[Coluna1]]</f>
        <v>34198685.883883603</v>
      </c>
      <c r="BC182">
        <f>modelo_tese_H__2[[#This Row],[Coluna2]]/modelo_tese_H__2[[#This Row],[Coluna1]]</f>
        <v>-2.1856395687634698</v>
      </c>
      <c r="BD182" s="8">
        <f>modelo_tese_H__2[[#This Row],[D]]-modelo_tese_H__2[[#This Row],[Dw]]-modelo_tese_H__2[[#This Row],[Dr]]</f>
        <v>1.0058283805847168E-7</v>
      </c>
    </row>
    <row r="183" spans="1:56" x14ac:dyDescent="0.25">
      <c r="A183">
        <v>182</v>
      </c>
      <c r="B183">
        <v>182</v>
      </c>
      <c r="C183">
        <v>4625591.8557659704</v>
      </c>
      <c r="D183">
        <v>2110561.95233401</v>
      </c>
      <c r="E183">
        <v>1878400.1375772699</v>
      </c>
      <c r="F183">
        <v>243262.44047705299</v>
      </c>
      <c r="G183">
        <v>6743648.9471183401</v>
      </c>
      <c r="H183">
        <v>1525544.6139875799</v>
      </c>
      <c r="I183">
        <v>3647207.1920419098</v>
      </c>
      <c r="J183">
        <v>2741694.6176202898</v>
      </c>
      <c r="K183">
        <v>17187226.9626646</v>
      </c>
      <c r="L183">
        <v>-1536645.23970789</v>
      </c>
      <c r="M183">
        <v>19928921.580284901</v>
      </c>
      <c r="N183">
        <v>-29218693.5029944</v>
      </c>
      <c r="O183">
        <v>3405883.3066254202</v>
      </c>
      <c r="P183">
        <v>2247882.9823727799</v>
      </c>
      <c r="Q183">
        <v>3485212.7308831098</v>
      </c>
      <c r="R183">
        <v>1742606.36544155</v>
      </c>
      <c r="S183">
        <v>1742606.36544155</v>
      </c>
      <c r="T183">
        <v>1663276.94118387</v>
      </c>
      <c r="U183">
        <v>684892.27745981002</v>
      </c>
      <c r="V183">
        <v>13047675.101628499</v>
      </c>
      <c r="W183">
        <v>2215714.4122343902</v>
      </c>
      <c r="X183">
        <v>0.27318059368384001</v>
      </c>
      <c r="Y183">
        <v>19588536.436071899</v>
      </c>
      <c r="Z183">
        <v>8892023.4163896292</v>
      </c>
      <c r="AA183">
        <v>0.795704414780947</v>
      </c>
      <c r="AB183">
        <v>10193238.137156701</v>
      </c>
      <c r="AC183">
        <v>5895090.1744146897</v>
      </c>
      <c r="AD183">
        <v>8110804.5866490696</v>
      </c>
      <c r="AE183">
        <v>-16171018.4013658</v>
      </c>
      <c r="AF183">
        <v>-851752.96224808402</v>
      </c>
      <c r="AG183">
        <v>5.5594999999999999E-2</v>
      </c>
      <c r="AH183">
        <v>-49147615.083279297</v>
      </c>
      <c r="AI183">
        <v>21939698.518018201</v>
      </c>
      <c r="AJ183">
        <v>0.06</v>
      </c>
      <c r="AK183">
        <v>0.05</v>
      </c>
      <c r="AL183">
        <v>8.8099999999999998E-2</v>
      </c>
      <c r="AM183">
        <v>3.8100000000000002E-2</v>
      </c>
      <c r="AN183">
        <v>0.89</v>
      </c>
      <c r="AO183">
        <v>0.66</v>
      </c>
      <c r="AP183">
        <v>0.42970000000000003</v>
      </c>
      <c r="AQ183">
        <v>0.57030000000000003</v>
      </c>
      <c r="AR183">
        <v>8.9999999999999993E-3</v>
      </c>
      <c r="AS183">
        <v>0.5</v>
      </c>
      <c r="AT183">
        <v>1.82</v>
      </c>
      <c r="AU183">
        <v>6.3545217126973294E-2</v>
      </c>
      <c r="AV183">
        <v>0.7893</v>
      </c>
      <c r="AW183">
        <v>3</v>
      </c>
      <c r="AX183">
        <v>0.05</v>
      </c>
      <c r="AY183">
        <v>1</v>
      </c>
      <c r="AZ183">
        <v>1</v>
      </c>
      <c r="BA183" s="2">
        <f>modelo_tese_H__2[[#This Row],[Vw]]+modelo_tese_H__2[[#This Row],[Vr]]+modelo_tese_H__2[[#This Row],[K]]-modelo_tese_H__2[[#This Row],[E]]</f>
        <v>-16511403.545578826</v>
      </c>
      <c r="BB183" s="2">
        <f>modelo_tese_H__2[[#This Row],[K]]-modelo_tese_H__2[[#This Row],[Coluna1]]</f>
        <v>36099939.981650725</v>
      </c>
      <c r="BC183">
        <f>modelo_tese_H__2[[#This Row],[Coluna2]]/modelo_tese_H__2[[#This Row],[Coluna1]]</f>
        <v>-2.1863641017554212</v>
      </c>
      <c r="BD183" s="8">
        <f>modelo_tese_H__2[[#This Row],[D]]-modelo_tese_H__2[[#This Row],[Dw]]-modelo_tese_H__2[[#This Row],[Dr]]</f>
        <v>1.0058283805847168E-7</v>
      </c>
    </row>
    <row r="184" spans="1:56" x14ac:dyDescent="0.25">
      <c r="A184">
        <v>183</v>
      </c>
      <c r="B184">
        <v>183</v>
      </c>
      <c r="C184">
        <v>4883716.3192467196</v>
      </c>
      <c r="D184">
        <v>2228876.5587701998</v>
      </c>
      <c r="E184">
        <v>1983700.13730548</v>
      </c>
      <c r="F184">
        <v>256778.20360445199</v>
      </c>
      <c r="G184">
        <v>7119264.2093945099</v>
      </c>
      <c r="H184">
        <v>1610357.2668022199</v>
      </c>
      <c r="I184">
        <v>3850835.6077121501</v>
      </c>
      <c r="J184">
        <v>2894014.25629341</v>
      </c>
      <c r="K184">
        <v>18142750.8821893</v>
      </c>
      <c r="L184">
        <v>-1621959.0489419501</v>
      </c>
      <c r="M184">
        <v>21036765.138482701</v>
      </c>
      <c r="N184">
        <v>-30840652.551936299</v>
      </c>
      <c r="O184">
        <v>3595587.98454268</v>
      </c>
      <c r="P184">
        <v>2373088.0697981701</v>
      </c>
      <c r="Q184">
        <v>3679699.9866391602</v>
      </c>
      <c r="R184">
        <v>1839849.9933195801</v>
      </c>
      <c r="S184">
        <v>1839849.9933195801</v>
      </c>
      <c r="T184">
        <v>1755737.9912231001</v>
      </c>
      <c r="U184">
        <v>722857.27968853305</v>
      </c>
      <c r="V184">
        <v>13770532.3813171</v>
      </c>
      <c r="W184">
        <v>2339492.62837556</v>
      </c>
      <c r="X184">
        <v>0.27319618068405499</v>
      </c>
      <c r="Y184">
        <v>20683271.263417602</v>
      </c>
      <c r="Z184">
        <v>9391666.0514456108</v>
      </c>
      <c r="AA184">
        <v>0.79563972160840502</v>
      </c>
      <c r="AB184">
        <v>10762932.107731801</v>
      </c>
      <c r="AC184">
        <v>6223923.6775103202</v>
      </c>
      <c r="AD184">
        <v>8563416.3058858793</v>
      </c>
      <c r="AE184">
        <v>-17070120.170619201</v>
      </c>
      <c r="AF184">
        <v>-899101.76925341901</v>
      </c>
      <c r="AG184">
        <v>5.5594999999999999E-2</v>
      </c>
      <c r="AH184">
        <v>-51877417.690419003</v>
      </c>
      <c r="AI184">
        <v>23162198.432762701</v>
      </c>
      <c r="AJ184">
        <v>0.06</v>
      </c>
      <c r="AK184">
        <v>0.05</v>
      </c>
      <c r="AL184">
        <v>8.8099999999999998E-2</v>
      </c>
      <c r="AM184">
        <v>3.8100000000000002E-2</v>
      </c>
      <c r="AN184">
        <v>0.89</v>
      </c>
      <c r="AO184">
        <v>0.66</v>
      </c>
      <c r="AP184">
        <v>0.42970000000000003</v>
      </c>
      <c r="AQ184">
        <v>0.57030000000000003</v>
      </c>
      <c r="AR184">
        <v>8.9999999999999993E-3</v>
      </c>
      <c r="AS184">
        <v>0.5</v>
      </c>
      <c r="AT184">
        <v>1.82</v>
      </c>
      <c r="AU184">
        <v>6.3545217126973294E-2</v>
      </c>
      <c r="AV184">
        <v>0.7893</v>
      </c>
      <c r="AW184">
        <v>3</v>
      </c>
      <c r="AX184">
        <v>0.05</v>
      </c>
      <c r="AY184">
        <v>1</v>
      </c>
      <c r="AZ184">
        <v>1</v>
      </c>
      <c r="BA184" s="2">
        <f>modelo_tese_H__2[[#This Row],[Vw]]+modelo_tese_H__2[[#This Row],[Vr]]+modelo_tese_H__2[[#This Row],[K]]-modelo_tese_H__2[[#This Row],[E]]</f>
        <v>-17423614.045684312</v>
      </c>
      <c r="BB184" s="2">
        <f>modelo_tese_H__2[[#This Row],[K]]-modelo_tese_H__2[[#This Row],[Coluna1]]</f>
        <v>38106885.309101909</v>
      </c>
      <c r="BC184">
        <f>modelo_tese_H__2[[#This Row],[Coluna2]]/modelo_tese_H__2[[#This Row],[Coluna1]]</f>
        <v>-2.1870827263038852</v>
      </c>
      <c r="BD184" s="8">
        <f>modelo_tese_H__2[[#This Row],[D]]-modelo_tese_H__2[[#This Row],[Dw]]-modelo_tese_H__2[[#This Row],[Dr]]</f>
        <v>0</v>
      </c>
    </row>
    <row r="185" spans="1:56" x14ac:dyDescent="0.25">
      <c r="A185">
        <v>184</v>
      </c>
      <c r="B185">
        <v>184</v>
      </c>
      <c r="C185">
        <v>5156235.0203921096</v>
      </c>
      <c r="D185">
        <v>2353813.2796983998</v>
      </c>
      <c r="E185">
        <v>2094893.8189315801</v>
      </c>
      <c r="F185">
        <v>271044.99298908899</v>
      </c>
      <c r="G185">
        <v>7515793.6787133403</v>
      </c>
      <c r="H185">
        <v>1699885.0790500899</v>
      </c>
      <c r="I185">
        <v>4065823.8909707498</v>
      </c>
      <c r="J185">
        <v>3054797.3061177102</v>
      </c>
      <c r="K185">
        <v>19151397.152628001</v>
      </c>
      <c r="L185">
        <v>-1712010.61127236</v>
      </c>
      <c r="M185">
        <v>22206194.458745699</v>
      </c>
      <c r="N185">
        <v>-32552663.163208701</v>
      </c>
      <c r="O185">
        <v>3795855.3932895702</v>
      </c>
      <c r="P185">
        <v>2505264.55957112</v>
      </c>
      <c r="Q185">
        <v>3885032.7691784799</v>
      </c>
      <c r="R185">
        <v>1942516.38458924</v>
      </c>
      <c r="S185">
        <v>1942516.38458924</v>
      </c>
      <c r="T185">
        <v>1853339.00870033</v>
      </c>
      <c r="U185">
        <v>762927.87927897705</v>
      </c>
      <c r="V185">
        <v>14533460.2605961</v>
      </c>
      <c r="W185">
        <v>2470179.3390287198</v>
      </c>
      <c r="X185">
        <v>0.27321161108380998</v>
      </c>
      <c r="Y185">
        <v>21839127.639116399</v>
      </c>
      <c r="Z185">
        <v>9919329.0058850795</v>
      </c>
      <c r="AA185">
        <v>0.79557566921836698</v>
      </c>
      <c r="AB185">
        <v>11364434.7601196</v>
      </c>
      <c r="AC185">
        <v>6571088.4505418697</v>
      </c>
      <c r="AD185">
        <v>9041267.7895705905</v>
      </c>
      <c r="AE185">
        <v>-18019202.9026126</v>
      </c>
      <c r="AF185">
        <v>-949082.73199337802</v>
      </c>
      <c r="AG185">
        <v>5.5594999999999999E-2</v>
      </c>
      <c r="AH185">
        <v>-54758857.621954396</v>
      </c>
      <c r="AI185">
        <v>24452789.266481102</v>
      </c>
      <c r="AJ185">
        <v>0.06</v>
      </c>
      <c r="AK185">
        <v>0.05</v>
      </c>
      <c r="AL185">
        <v>8.8099999999999998E-2</v>
      </c>
      <c r="AM185">
        <v>3.8100000000000002E-2</v>
      </c>
      <c r="AN185">
        <v>0.89</v>
      </c>
      <c r="AO185">
        <v>0.66</v>
      </c>
      <c r="AP185">
        <v>0.42970000000000003</v>
      </c>
      <c r="AQ185">
        <v>0.57030000000000003</v>
      </c>
      <c r="AR185">
        <v>8.9999999999999993E-3</v>
      </c>
      <c r="AS185">
        <v>0.5</v>
      </c>
      <c r="AT185">
        <v>1.82</v>
      </c>
      <c r="AU185">
        <v>6.3545217126973294E-2</v>
      </c>
      <c r="AV185">
        <v>0.7893</v>
      </c>
      <c r="AW185">
        <v>3</v>
      </c>
      <c r="AX185">
        <v>0.05</v>
      </c>
      <c r="AY185">
        <v>1</v>
      </c>
      <c r="AZ185">
        <v>1</v>
      </c>
      <c r="BA185" s="2">
        <f>modelo_tese_H__2[[#This Row],[Vw]]+modelo_tese_H__2[[#This Row],[Vr]]+modelo_tese_H__2[[#This Row],[K]]-modelo_tese_H__2[[#This Row],[E]]</f>
        <v>-18386269.722241975</v>
      </c>
      <c r="BB185" s="2">
        <f>modelo_tese_H__2[[#This Row],[K]]-modelo_tese_H__2[[#This Row],[Coluna1]]</f>
        <v>40225397.361358374</v>
      </c>
      <c r="BC185">
        <f>modelo_tese_H__2[[#This Row],[Coluna2]]/modelo_tese_H__2[[#This Row],[Coluna1]]</f>
        <v>-2.1877954565573181</v>
      </c>
      <c r="BD185" s="8">
        <f>modelo_tese_H__2[[#This Row],[D]]-modelo_tese_H__2[[#This Row],[Dw]]-modelo_tese_H__2[[#This Row],[Dr]]</f>
        <v>0</v>
      </c>
    </row>
    <row r="186" spans="1:56" x14ac:dyDescent="0.25">
      <c r="A186">
        <v>185</v>
      </c>
      <c r="B186">
        <v>185</v>
      </c>
      <c r="C186">
        <v>5443950.1889559003</v>
      </c>
      <c r="D186">
        <v>2485742.2810700499</v>
      </c>
      <c r="E186">
        <v>2212310.63015234</v>
      </c>
      <c r="F186">
        <v>286104.54462810699</v>
      </c>
      <c r="G186">
        <v>7934401.5227144901</v>
      </c>
      <c r="H186">
        <v>1794390.19001988</v>
      </c>
      <c r="I186">
        <v>4292805.3648003303</v>
      </c>
      <c r="J186">
        <v>3224514.0733827399</v>
      </c>
      <c r="K186">
        <v>20216119.1111327</v>
      </c>
      <c r="L186">
        <v>-1807063.0837302799</v>
      </c>
      <c r="M186">
        <v>23440633.184515499</v>
      </c>
      <c r="N186">
        <v>-34359726.246939003</v>
      </c>
      <c r="O186">
        <v>4007273.4963204502</v>
      </c>
      <c r="P186">
        <v>2644800.5075714998</v>
      </c>
      <c r="Q186">
        <v>4101815.5290099098</v>
      </c>
      <c r="R186">
        <v>2050907.76450495</v>
      </c>
      <c r="S186">
        <v>2050907.76450495</v>
      </c>
      <c r="T186">
        <v>1956365.7318155</v>
      </c>
      <c r="U186">
        <v>805220.90765992599</v>
      </c>
      <c r="V186">
        <v>15338681.168256</v>
      </c>
      <c r="W186">
        <v>2608159.84559398</v>
      </c>
      <c r="X186">
        <v>0.27322688641784498</v>
      </c>
      <c r="Y186">
        <v>23059515.377018999</v>
      </c>
      <c r="Z186">
        <v>10476581.086974099</v>
      </c>
      <c r="AA186">
        <v>0.79551225185296404</v>
      </c>
      <c r="AB186">
        <v>11999520.6808332</v>
      </c>
      <c r="AC186">
        <v>6937605.87237183</v>
      </c>
      <c r="AD186">
        <v>9545765.7179658096</v>
      </c>
      <c r="AE186">
        <v>-19021045.078683</v>
      </c>
      <c r="AF186">
        <v>-1001842.17607036</v>
      </c>
      <c r="AG186">
        <v>5.5594999999999999E-2</v>
      </c>
      <c r="AH186">
        <v>-57800359.431454398</v>
      </c>
      <c r="AI186">
        <v>25815262.255230099</v>
      </c>
      <c r="AJ186">
        <v>0.06</v>
      </c>
      <c r="AK186">
        <v>0.05</v>
      </c>
      <c r="AL186">
        <v>8.8099999999999998E-2</v>
      </c>
      <c r="AM186">
        <v>3.8100000000000002E-2</v>
      </c>
      <c r="AN186">
        <v>0.89</v>
      </c>
      <c r="AO186">
        <v>0.66</v>
      </c>
      <c r="AP186">
        <v>0.42970000000000003</v>
      </c>
      <c r="AQ186">
        <v>0.57030000000000003</v>
      </c>
      <c r="AR186">
        <v>8.9999999999999993E-3</v>
      </c>
      <c r="AS186">
        <v>0.5</v>
      </c>
      <c r="AT186">
        <v>1.82</v>
      </c>
      <c r="AU186">
        <v>6.3545217126973294E-2</v>
      </c>
      <c r="AV186">
        <v>0.7893</v>
      </c>
      <c r="AW186">
        <v>3</v>
      </c>
      <c r="AX186">
        <v>0.05</v>
      </c>
      <c r="AY186">
        <v>1</v>
      </c>
      <c r="AZ186">
        <v>1</v>
      </c>
      <c r="BA186" s="2">
        <f>modelo_tese_H__2[[#This Row],[Vw]]+modelo_tese_H__2[[#This Row],[Vr]]+modelo_tese_H__2[[#This Row],[K]]-modelo_tese_H__2[[#This Row],[E]]</f>
        <v>-19402162.886179399</v>
      </c>
      <c r="BB186" s="2">
        <f>modelo_tese_H__2[[#This Row],[K]]-modelo_tese_H__2[[#This Row],[Coluna1]]</f>
        <v>42461678.263198398</v>
      </c>
      <c r="BC186">
        <f>modelo_tese_H__2[[#This Row],[Coluna2]]/modelo_tese_H__2[[#This Row],[Coluna1]]</f>
        <v>-2.1885023083403148</v>
      </c>
      <c r="BD186" s="8">
        <f>modelo_tese_H__2[[#This Row],[D]]-modelo_tese_H__2[[#This Row],[Dw]]-modelo_tese_H__2[[#This Row],[Dr]]</f>
        <v>0</v>
      </c>
    </row>
    <row r="187" spans="1:56" x14ac:dyDescent="0.25">
      <c r="A187">
        <v>186</v>
      </c>
      <c r="B187">
        <v>186</v>
      </c>
      <c r="C187">
        <v>5747708.7441608403</v>
      </c>
      <c r="D187">
        <v>2625054.3989579799</v>
      </c>
      <c r="E187">
        <v>2336298.4150725999</v>
      </c>
      <c r="F187">
        <v>302000.914049524</v>
      </c>
      <c r="G187">
        <v>8376316.6960630901</v>
      </c>
      <c r="H187">
        <v>1894149.3126340399</v>
      </c>
      <c r="I187">
        <v>4532448.6417561602</v>
      </c>
      <c r="J187">
        <v>3403661.0012363801</v>
      </c>
      <c r="K187">
        <v>21340034.285632599</v>
      </c>
      <c r="L187">
        <v>-1907394.2427981801</v>
      </c>
      <c r="M187">
        <v>24743695.286869001</v>
      </c>
      <c r="N187">
        <v>-36267120.489737101</v>
      </c>
      <c r="O187">
        <v>4230462.9778096396</v>
      </c>
      <c r="P187">
        <v>2792105.5653543598</v>
      </c>
      <c r="Q187">
        <v>4330686.3885076502</v>
      </c>
      <c r="R187">
        <v>2165343.1942538298</v>
      </c>
      <c r="S187">
        <v>2165343.1942538298</v>
      </c>
      <c r="T187">
        <v>2065119.7835558101</v>
      </c>
      <c r="U187">
        <v>849859.68115113</v>
      </c>
      <c r="V187">
        <v>16188540.849407099</v>
      </c>
      <c r="W187">
        <v>2753840.9255579798</v>
      </c>
      <c r="X187">
        <v>0.27324200820739702</v>
      </c>
      <c r="Y187">
        <v>24348034.391101498</v>
      </c>
      <c r="Z187">
        <v>11065078.8182783</v>
      </c>
      <c r="AA187">
        <v>0.79544946377046899</v>
      </c>
      <c r="AB187">
        <v>12670063.3939665</v>
      </c>
      <c r="AC187">
        <v>7324554.2071105205</v>
      </c>
      <c r="AD187">
        <v>10078395.132668501</v>
      </c>
      <c r="AE187">
        <v>-20078579.640330002</v>
      </c>
      <c r="AF187">
        <v>-1057534.5616470501</v>
      </c>
      <c r="AG187">
        <v>5.5594999999999999E-2</v>
      </c>
      <c r="AH187">
        <v>-61010815.776606098</v>
      </c>
      <c r="AI187">
        <v>27253619.667685401</v>
      </c>
      <c r="AJ187">
        <v>0.06</v>
      </c>
      <c r="AK187">
        <v>0.05</v>
      </c>
      <c r="AL187">
        <v>8.8099999999999998E-2</v>
      </c>
      <c r="AM187">
        <v>3.8100000000000002E-2</v>
      </c>
      <c r="AN187">
        <v>0.89</v>
      </c>
      <c r="AO187">
        <v>0.66</v>
      </c>
      <c r="AP187">
        <v>0.42970000000000003</v>
      </c>
      <c r="AQ187">
        <v>0.57030000000000003</v>
      </c>
      <c r="AR187">
        <v>8.9999999999999993E-3</v>
      </c>
      <c r="AS187">
        <v>0.5</v>
      </c>
      <c r="AT187">
        <v>1.82</v>
      </c>
      <c r="AU187">
        <v>6.3545217126973294E-2</v>
      </c>
      <c r="AV187">
        <v>0.7893</v>
      </c>
      <c r="AW187">
        <v>3</v>
      </c>
      <c r="AX187">
        <v>0.05</v>
      </c>
      <c r="AY187">
        <v>1</v>
      </c>
      <c r="AZ187">
        <v>1</v>
      </c>
      <c r="BA187" s="2">
        <f>modelo_tese_H__2[[#This Row],[Vw]]+modelo_tese_H__2[[#This Row],[Vr]]+modelo_tese_H__2[[#This Row],[K]]-modelo_tese_H__2[[#This Row],[E]]</f>
        <v>-20474240.536097497</v>
      </c>
      <c r="BB187" s="2">
        <f>modelo_tese_H__2[[#This Row],[K]]-modelo_tese_H__2[[#This Row],[Coluna1]]</f>
        <v>44822274.927198991</v>
      </c>
      <c r="BC187">
        <f>modelo_tese_H__2[[#This Row],[Coluna2]]/modelo_tese_H__2[[#This Row],[Coluna1]]</f>
        <v>-2.1892032990515196</v>
      </c>
      <c r="BD187" s="8">
        <f>modelo_tese_H__2[[#This Row],[D]]-modelo_tese_H__2[[#This Row],[Dw]]-modelo_tese_H__2[[#This Row],[Dr]]</f>
        <v>0</v>
      </c>
    </row>
    <row r="188" spans="1:56" x14ac:dyDescent="0.25">
      <c r="A188">
        <v>187</v>
      </c>
      <c r="B188">
        <v>187</v>
      </c>
      <c r="C188">
        <v>6068404.7832438899</v>
      </c>
      <c r="D188">
        <v>2772162.2928019199</v>
      </c>
      <c r="E188">
        <v>2467224.4405937102</v>
      </c>
      <c r="F188">
        <v>318780.60523130198</v>
      </c>
      <c r="G188">
        <v>8842836.5452197492</v>
      </c>
      <c r="H188">
        <v>1999454.54366993</v>
      </c>
      <c r="I188">
        <v>4785459.5894949399</v>
      </c>
      <c r="J188">
        <v>3592762.1223205798</v>
      </c>
      <c r="K188">
        <v>22526433.523019899</v>
      </c>
      <c r="L188">
        <v>-2013297.29669302</v>
      </c>
      <c r="M188">
        <v>26119195.645340499</v>
      </c>
      <c r="N188">
        <v>-38280417.786430098</v>
      </c>
      <c r="O188">
        <v>4466079.0632423004</v>
      </c>
      <c r="P188">
        <v>2947612.1817399198</v>
      </c>
      <c r="Q188">
        <v>4572319.0169382803</v>
      </c>
      <c r="R188">
        <v>2286159.5084691402</v>
      </c>
      <c r="S188">
        <v>2286159.5084691402</v>
      </c>
      <c r="T188">
        <v>2179919.5547731598</v>
      </c>
      <c r="U188">
        <v>896974.36102419998</v>
      </c>
      <c r="V188">
        <v>17085515.2104313</v>
      </c>
      <c r="W188">
        <v>2907652.0289473198</v>
      </c>
      <c r="X188">
        <v>0.27325697796023701</v>
      </c>
      <c r="Y188">
        <v>25708485.2880513</v>
      </c>
      <c r="Z188">
        <v>11686571.338756399</v>
      </c>
      <c r="AA188">
        <v>0.79538729924783103</v>
      </c>
      <c r="AB188">
        <v>13378040.874231599</v>
      </c>
      <c r="AC188">
        <v>7733071.7712348504</v>
      </c>
      <c r="AD188">
        <v>10640723.800182199</v>
      </c>
      <c r="AE188">
        <v>-21194902.575998802</v>
      </c>
      <c r="AF188">
        <v>-1116322.93566882</v>
      </c>
      <c r="AG188">
        <v>5.5594999999999999E-2</v>
      </c>
      <c r="AH188">
        <v>-64399613.431770697</v>
      </c>
      <c r="AI188">
        <v>28772086.549187701</v>
      </c>
      <c r="AJ188">
        <v>0.06</v>
      </c>
      <c r="AK188">
        <v>0.05</v>
      </c>
      <c r="AL188">
        <v>8.8099999999999998E-2</v>
      </c>
      <c r="AM188">
        <v>3.8100000000000002E-2</v>
      </c>
      <c r="AN188">
        <v>0.89</v>
      </c>
      <c r="AO188">
        <v>0.66</v>
      </c>
      <c r="AP188">
        <v>0.42970000000000003</v>
      </c>
      <c r="AQ188">
        <v>0.57030000000000003</v>
      </c>
      <c r="AR188">
        <v>8.9999999999999993E-3</v>
      </c>
      <c r="AS188">
        <v>0.5</v>
      </c>
      <c r="AT188">
        <v>1.82</v>
      </c>
      <c r="AU188">
        <v>6.3545217126973294E-2</v>
      </c>
      <c r="AV188">
        <v>0.7893</v>
      </c>
      <c r="AW188">
        <v>3</v>
      </c>
      <c r="AX188">
        <v>0.05</v>
      </c>
      <c r="AY188">
        <v>1</v>
      </c>
      <c r="AZ188">
        <v>1</v>
      </c>
      <c r="BA188" s="2">
        <f>modelo_tese_H__2[[#This Row],[Vw]]+modelo_tese_H__2[[#This Row],[Vr]]+modelo_tese_H__2[[#This Row],[K]]-modelo_tese_H__2[[#This Row],[E]]</f>
        <v>-21605612.93328809</v>
      </c>
      <c r="BB188" s="2">
        <f>modelo_tese_H__2[[#This Row],[K]]-modelo_tese_H__2[[#This Row],[Coluna1]]</f>
        <v>47314098.22133939</v>
      </c>
      <c r="BC188">
        <f>modelo_tese_H__2[[#This Row],[Coluna2]]/modelo_tese_H__2[[#This Row],[Coluna1]]</f>
        <v>-2.1898984475669216</v>
      </c>
      <c r="BD188" s="8">
        <f>modelo_tese_H__2[[#This Row],[D]]-modelo_tese_H__2[[#This Row],[Dw]]-modelo_tese_H__2[[#This Row],[Dr]]</f>
        <v>0</v>
      </c>
    </row>
    <row r="189" spans="1:56" x14ac:dyDescent="0.25">
      <c r="A189">
        <v>188</v>
      </c>
      <c r="B189">
        <v>188</v>
      </c>
      <c r="C189">
        <v>6406982.2085337499</v>
      </c>
      <c r="D189">
        <v>2927501.6629528501</v>
      </c>
      <c r="E189">
        <v>2605476.48002803</v>
      </c>
      <c r="F189">
        <v>336492.70668609301</v>
      </c>
      <c r="G189">
        <v>9335330.6137499008</v>
      </c>
      <c r="H189">
        <v>2110614.2190252501</v>
      </c>
      <c r="I189">
        <v>5052583.40573938</v>
      </c>
      <c r="J189">
        <v>3792370.5921462602</v>
      </c>
      <c r="K189">
        <v>23778790.624818102</v>
      </c>
      <c r="L189">
        <v>-2125081.7427865402</v>
      </c>
      <c r="M189">
        <v>27571161.216964401</v>
      </c>
      <c r="N189">
        <v>-40405499.529216699</v>
      </c>
      <c r="O189">
        <v>4714813.4412878295</v>
      </c>
      <c r="P189">
        <v>3111776.87124997</v>
      </c>
      <c r="Q189">
        <v>4827424.6098666498</v>
      </c>
      <c r="R189">
        <v>2413712.30493333</v>
      </c>
      <c r="S189">
        <v>2413712.30493333</v>
      </c>
      <c r="T189">
        <v>2301101.1363545</v>
      </c>
      <c r="U189">
        <v>946702.333560128</v>
      </c>
      <c r="V189">
        <v>18032217.543991402</v>
      </c>
      <c r="W189">
        <v>3070046.5414110599</v>
      </c>
      <c r="X189">
        <v>0.27327179717070399</v>
      </c>
      <c r="Y189">
        <v>27144880.549827501</v>
      </c>
      <c r="Z189">
        <v>12342905.575234201</v>
      </c>
      <c r="AA189">
        <v>0.79532575258301397</v>
      </c>
      <c r="AB189">
        <v>14125541.367061101</v>
      </c>
      <c r="AC189">
        <v>8164360.2769893501</v>
      </c>
      <c r="AD189">
        <v>11234406.8184004</v>
      </c>
      <c r="AE189">
        <v>-22373281.985225201</v>
      </c>
      <c r="AF189">
        <v>-1178379.4092264101</v>
      </c>
      <c r="AG189">
        <v>5.5594999999999999E-2</v>
      </c>
      <c r="AH189">
        <v>-67976660.746181101</v>
      </c>
      <c r="AI189">
        <v>30375123.119225599</v>
      </c>
      <c r="AJ189">
        <v>0.06</v>
      </c>
      <c r="AK189">
        <v>0.05</v>
      </c>
      <c r="AL189">
        <v>8.8099999999999998E-2</v>
      </c>
      <c r="AM189">
        <v>3.8100000000000002E-2</v>
      </c>
      <c r="AN189">
        <v>0.89</v>
      </c>
      <c r="AO189">
        <v>0.66</v>
      </c>
      <c r="AP189">
        <v>0.42970000000000003</v>
      </c>
      <c r="AQ189">
        <v>0.57030000000000003</v>
      </c>
      <c r="AR189">
        <v>8.9999999999999993E-3</v>
      </c>
      <c r="AS189">
        <v>0.5</v>
      </c>
      <c r="AT189">
        <v>1.82</v>
      </c>
      <c r="AU189">
        <v>6.3545217126973294E-2</v>
      </c>
      <c r="AV189">
        <v>0.7893</v>
      </c>
      <c r="AW189">
        <v>3</v>
      </c>
      <c r="AX189">
        <v>0.05</v>
      </c>
      <c r="AY189">
        <v>1</v>
      </c>
      <c r="AZ189">
        <v>1</v>
      </c>
      <c r="BA189" s="2">
        <f>modelo_tese_H__2[[#This Row],[Vw]]+modelo_tese_H__2[[#This Row],[Vr]]+modelo_tese_H__2[[#This Row],[K]]-modelo_tese_H__2[[#This Row],[E]]</f>
        <v>-22799562.652362201</v>
      </c>
      <c r="BB189" s="2">
        <f>modelo_tese_H__2[[#This Row],[K]]-modelo_tese_H__2[[#This Row],[Coluna1]]</f>
        <v>49944443.202189699</v>
      </c>
      <c r="BC189">
        <f>modelo_tese_H__2[[#This Row],[Coluna2]]/modelo_tese_H__2[[#This Row],[Coluna1]]</f>
        <v>-2.1905877741481627</v>
      </c>
      <c r="BD189" s="8">
        <f>modelo_tese_H__2[[#This Row],[D]]-modelo_tese_H__2[[#This Row],[Dw]]-modelo_tese_H__2[[#This Row],[Dr]]</f>
        <v>9.6857547760009766E-8</v>
      </c>
    </row>
    <row r="190" spans="1:56" x14ac:dyDescent="0.25">
      <c r="A190">
        <v>189</v>
      </c>
      <c r="B190">
        <v>189</v>
      </c>
      <c r="C190">
        <v>6764437.5007704003</v>
      </c>
      <c r="D190">
        <v>3091532.5360989198</v>
      </c>
      <c r="E190">
        <v>2751463.95712804</v>
      </c>
      <c r="F190">
        <v>355189.03510995797</v>
      </c>
      <c r="G190">
        <v>9855244.6593271904</v>
      </c>
      <c r="H190">
        <v>2227953.8165319599</v>
      </c>
      <c r="I190">
        <v>5334606.80876996</v>
      </c>
      <c r="J190">
        <v>4003070.30769544</v>
      </c>
      <c r="K190">
        <v>25100772.518544499</v>
      </c>
      <c r="L190">
        <v>-2243074.2726710401</v>
      </c>
      <c r="M190">
        <v>29103842.826239999</v>
      </c>
      <c r="N190">
        <v>-42648573.801887698</v>
      </c>
      <c r="O190">
        <v>4977396.2925894903</v>
      </c>
      <c r="P190">
        <v>3285081.55310906</v>
      </c>
      <c r="Q190">
        <v>5096753.9787498498</v>
      </c>
      <c r="R190">
        <v>2548376.98937493</v>
      </c>
      <c r="S190">
        <v>2548376.98937493</v>
      </c>
      <c r="T190">
        <v>2429019.3032145598</v>
      </c>
      <c r="U190">
        <v>999188.61121411796</v>
      </c>
      <c r="V190">
        <v>19031406.1552056</v>
      </c>
      <c r="W190">
        <v>3241503.1176412301</v>
      </c>
      <c r="X190">
        <v>0.27328646731975398</v>
      </c>
      <c r="Y190">
        <v>28661456.339044198</v>
      </c>
      <c r="Z190">
        <v>13036031.7035005</v>
      </c>
      <c r="AA190">
        <v>0.79526481809712801</v>
      </c>
      <c r="AB190">
        <v>14914769.532872301</v>
      </c>
      <c r="AC190">
        <v>8619688.3618790209</v>
      </c>
      <c r="AD190">
        <v>11861191.4795203</v>
      </c>
      <c r="AE190">
        <v>-23617167.646682199</v>
      </c>
      <c r="AF190">
        <v>-1243885.66145692</v>
      </c>
      <c r="AG190">
        <v>5.5594999999999999E-2</v>
      </c>
      <c r="AH190">
        <v>-71752416.628127694</v>
      </c>
      <c r="AI190">
        <v>32067437.858706001</v>
      </c>
      <c r="AJ190">
        <v>0.06</v>
      </c>
      <c r="AK190">
        <v>0.05</v>
      </c>
      <c r="AL190">
        <v>8.8099999999999998E-2</v>
      </c>
      <c r="AM190">
        <v>3.8100000000000002E-2</v>
      </c>
      <c r="AN190">
        <v>0.89</v>
      </c>
      <c r="AO190">
        <v>0.66</v>
      </c>
      <c r="AP190">
        <v>0.42970000000000003</v>
      </c>
      <c r="AQ190">
        <v>0.57030000000000003</v>
      </c>
      <c r="AR190">
        <v>8.9999999999999993E-3</v>
      </c>
      <c r="AS190">
        <v>0.5</v>
      </c>
      <c r="AT190">
        <v>1.82</v>
      </c>
      <c r="AU190">
        <v>6.3545217126973294E-2</v>
      </c>
      <c r="AV190">
        <v>0.7893</v>
      </c>
      <c r="AW190">
        <v>3</v>
      </c>
      <c r="AX190">
        <v>0.05</v>
      </c>
      <c r="AY190">
        <v>1</v>
      </c>
      <c r="AZ190">
        <v>1</v>
      </c>
      <c r="BA190" s="2">
        <f>modelo_tese_H__2[[#This Row],[Vw]]+modelo_tese_H__2[[#This Row],[Vr]]+modelo_tese_H__2[[#This Row],[K]]-modelo_tese_H__2[[#This Row],[E]]</f>
        <v>-24059554.133878</v>
      </c>
      <c r="BB190" s="2">
        <f>modelo_tese_H__2[[#This Row],[K]]-modelo_tese_H__2[[#This Row],[Coluna1]]</f>
        <v>52721010.472922198</v>
      </c>
      <c r="BC190">
        <f>modelo_tese_H__2[[#This Row],[Coluna2]]/modelo_tese_H__2[[#This Row],[Coluna1]]</f>
        <v>-2.1912713003557416</v>
      </c>
      <c r="BD190" s="8">
        <f>modelo_tese_H__2[[#This Row],[D]]-modelo_tese_H__2[[#This Row],[Dw]]-modelo_tese_H__2[[#This Row],[Dr]]</f>
        <v>-1.0058283805847168E-7</v>
      </c>
    </row>
    <row r="191" spans="1:56" x14ac:dyDescent="0.25">
      <c r="A191">
        <v>190</v>
      </c>
      <c r="B191">
        <v>190</v>
      </c>
      <c r="C191">
        <v>7141822.6468058703</v>
      </c>
      <c r="D191">
        <v>3264740.6223560101</v>
      </c>
      <c r="E191">
        <v>2905619.1538968398</v>
      </c>
      <c r="F191">
        <v>374924.287015496</v>
      </c>
      <c r="G191">
        <v>10404104.8942068</v>
      </c>
      <c r="H191">
        <v>2351816.9089620602</v>
      </c>
      <c r="I191">
        <v>5632360.3498743996</v>
      </c>
      <c r="J191">
        <v>4225477.6159877405</v>
      </c>
      <c r="K191">
        <v>26496249.994550001</v>
      </c>
      <c r="L191">
        <v>-2367619.7275183899</v>
      </c>
      <c r="M191">
        <v>30721727.610537801</v>
      </c>
      <c r="N191">
        <v>-45016193.529406101</v>
      </c>
      <c r="O191">
        <v>5254598.4314175602</v>
      </c>
      <c r="P191">
        <v>3468034.9647355899</v>
      </c>
      <c r="Q191">
        <v>5381099.7568516303</v>
      </c>
      <c r="R191">
        <v>2690549.87842581</v>
      </c>
      <c r="S191">
        <v>2690549.87842581</v>
      </c>
      <c r="T191">
        <v>2564048.5529917399</v>
      </c>
      <c r="U191">
        <v>1054586.2560602699</v>
      </c>
      <c r="V191">
        <v>20085992.411265802</v>
      </c>
      <c r="W191">
        <v>3422527.08904752</v>
      </c>
      <c r="X191">
        <v>0.273300989875011</v>
      </c>
      <c r="Y191">
        <v>30262684.961851899</v>
      </c>
      <c r="Z191">
        <v>13768008.9141222</v>
      </c>
      <c r="AA191">
        <v>0.79520449013641104</v>
      </c>
      <c r="AB191">
        <v>15748052.933540801</v>
      </c>
      <c r="AC191">
        <v>9100395.3146099895</v>
      </c>
      <c r="AD191">
        <v>12522922.4036575</v>
      </c>
      <c r="AE191">
        <v>-24930201.118140299</v>
      </c>
      <c r="AF191">
        <v>-1313033.4714581301</v>
      </c>
      <c r="AG191">
        <v>5.5594999999999999E-2</v>
      </c>
      <c r="AH191">
        <v>-75737921.139943898</v>
      </c>
      <c r="AI191">
        <v>33854001.325387999</v>
      </c>
      <c r="AJ191">
        <v>0.06</v>
      </c>
      <c r="AK191">
        <v>0.05</v>
      </c>
      <c r="AL191">
        <v>8.8099999999999998E-2</v>
      </c>
      <c r="AM191">
        <v>3.8100000000000002E-2</v>
      </c>
      <c r="AN191">
        <v>0.89</v>
      </c>
      <c r="AO191">
        <v>0.66</v>
      </c>
      <c r="AP191">
        <v>0.42970000000000003</v>
      </c>
      <c r="AQ191">
        <v>0.57030000000000003</v>
      </c>
      <c r="AR191">
        <v>8.9999999999999993E-3</v>
      </c>
      <c r="AS191">
        <v>0.5</v>
      </c>
      <c r="AT191">
        <v>1.82</v>
      </c>
      <c r="AU191">
        <v>6.3545217126973294E-2</v>
      </c>
      <c r="AV191">
        <v>0.7893</v>
      </c>
      <c r="AW191">
        <v>3</v>
      </c>
      <c r="AX191">
        <v>0.05</v>
      </c>
      <c r="AY191">
        <v>1</v>
      </c>
      <c r="AZ191">
        <v>1</v>
      </c>
      <c r="BA191" s="2">
        <f>modelo_tese_H__2[[#This Row],[Vw]]+modelo_tese_H__2[[#This Row],[Vr]]+modelo_tese_H__2[[#This Row],[K]]-modelo_tese_H__2[[#This Row],[E]]</f>
        <v>-25389243.766826198</v>
      </c>
      <c r="BB191" s="2">
        <f>modelo_tese_H__2[[#This Row],[K]]-modelo_tese_H__2[[#This Row],[Coluna1]]</f>
        <v>55651928.728678092</v>
      </c>
      <c r="BC191">
        <f>modelo_tese_H__2[[#This Row],[Coluna2]]/modelo_tese_H__2[[#This Row],[Coluna1]]</f>
        <v>-2.1919490489666877</v>
      </c>
      <c r="BD191" s="8">
        <f>modelo_tese_H__2[[#This Row],[D]]-modelo_tese_H__2[[#This Row],[Dw]]-modelo_tese_H__2[[#This Row],[Dr]]</f>
        <v>0</v>
      </c>
    </row>
    <row r="192" spans="1:56" x14ac:dyDescent="0.25">
      <c r="A192">
        <v>191</v>
      </c>
      <c r="B192">
        <v>191</v>
      </c>
      <c r="C192">
        <v>7540248.2302774601</v>
      </c>
      <c r="D192">
        <v>3447638.7480154401</v>
      </c>
      <c r="E192">
        <v>3068398.48573374</v>
      </c>
      <c r="F192">
        <v>395756.19879321702</v>
      </c>
      <c r="G192">
        <v>10983522.4615981</v>
      </c>
      <c r="H192">
        <v>2482566.1700157998</v>
      </c>
      <c r="I192">
        <v>5946720.8545427602</v>
      </c>
      <c r="J192">
        <v>4460243.1176118199</v>
      </c>
      <c r="K192">
        <v>27969309.039773501</v>
      </c>
      <c r="L192">
        <v>-2499082.1065273201</v>
      </c>
      <c r="M192">
        <v>32429552.157385301</v>
      </c>
      <c r="N192">
        <v>-47515275.635933399</v>
      </c>
      <c r="O192">
        <v>5547233.56646368</v>
      </c>
      <c r="P192">
        <v>3661174.1538660298</v>
      </c>
      <c r="Q192">
        <v>5681298.7279506</v>
      </c>
      <c r="R192">
        <v>2840649.3639753</v>
      </c>
      <c r="S192">
        <v>2840649.3639753</v>
      </c>
      <c r="T192">
        <v>2706584.20248838</v>
      </c>
      <c r="U192">
        <v>1113056.8267536799</v>
      </c>
      <c r="V192">
        <v>21199049.2380195</v>
      </c>
      <c r="W192">
        <v>3613651.9498192701</v>
      </c>
      <c r="X192">
        <v>0.27331536629081399</v>
      </c>
      <c r="Y192">
        <v>31953288.024925102</v>
      </c>
      <c r="Z192">
        <v>14541011.4999662</v>
      </c>
      <c r="AA192">
        <v>0.79514476307400805</v>
      </c>
      <c r="AB192">
        <v>16627848.880138399</v>
      </c>
      <c r="AC192">
        <v>9607895.0084087905</v>
      </c>
      <c r="AD192">
        <v>13221546.9582281</v>
      </c>
      <c r="AE192">
        <v>-26316226.397913899</v>
      </c>
      <c r="AF192">
        <v>-1386025.27977365</v>
      </c>
      <c r="AG192">
        <v>5.5594999999999999E-2</v>
      </c>
      <c r="AH192">
        <v>-79944827.793318704</v>
      </c>
      <c r="AI192">
        <v>35740060.7379857</v>
      </c>
      <c r="AJ192">
        <v>0.06</v>
      </c>
      <c r="AK192">
        <v>0.05</v>
      </c>
      <c r="AL192">
        <v>8.8099999999999998E-2</v>
      </c>
      <c r="AM192">
        <v>3.8100000000000002E-2</v>
      </c>
      <c r="AN192">
        <v>0.89</v>
      </c>
      <c r="AO192">
        <v>0.66</v>
      </c>
      <c r="AP192">
        <v>0.42970000000000003</v>
      </c>
      <c r="AQ192">
        <v>0.57030000000000003</v>
      </c>
      <c r="AR192">
        <v>8.9999999999999993E-3</v>
      </c>
      <c r="AS192">
        <v>0.5</v>
      </c>
      <c r="AT192">
        <v>1.82</v>
      </c>
      <c r="AU192">
        <v>6.3545217126973294E-2</v>
      </c>
      <c r="AV192">
        <v>0.7893</v>
      </c>
      <c r="AW192">
        <v>3</v>
      </c>
      <c r="AX192">
        <v>0.05</v>
      </c>
      <c r="AY192">
        <v>1</v>
      </c>
      <c r="AZ192">
        <v>1</v>
      </c>
      <c r="BA192" s="2">
        <f>modelo_tese_H__2[[#This Row],[Vw]]+modelo_tese_H__2[[#This Row],[Vr]]+modelo_tese_H__2[[#This Row],[K]]-modelo_tese_H__2[[#This Row],[E]]</f>
        <v>-26792490.530374102</v>
      </c>
      <c r="BB192" s="2">
        <f>modelo_tese_H__2[[#This Row],[K]]-modelo_tese_H__2[[#This Row],[Coluna1]]</f>
        <v>58745778.555299208</v>
      </c>
      <c r="BC192">
        <f>modelo_tese_H__2[[#This Row],[Coluna2]]/modelo_tese_H__2[[#This Row],[Coluna1]]</f>
        <v>-2.1926210438966214</v>
      </c>
      <c r="BD192" s="8">
        <f>modelo_tese_H__2[[#This Row],[D]]-modelo_tese_H__2[[#This Row],[Dw]]-modelo_tese_H__2[[#This Row],[Dr]]</f>
        <v>0</v>
      </c>
    </row>
    <row r="193" spans="1:56" x14ac:dyDescent="0.25">
      <c r="A193">
        <v>192</v>
      </c>
      <c r="B193">
        <v>192</v>
      </c>
      <c r="C193">
        <v>7960886.6943236096</v>
      </c>
      <c r="D193">
        <v>3640768.3681650502</v>
      </c>
      <c r="E193">
        <v>3240283.8476668899</v>
      </c>
      <c r="F193">
        <v>417745.715669628</v>
      </c>
      <c r="G193">
        <v>11595198.161059501</v>
      </c>
      <c r="H193">
        <v>2620584.4362378302</v>
      </c>
      <c r="I193">
        <v>6278613.9995743502</v>
      </c>
      <c r="J193">
        <v>4708053.57050044</v>
      </c>
      <c r="K193">
        <v>29524262.801596001</v>
      </c>
      <c r="L193">
        <v>-2637845.6314093098</v>
      </c>
      <c r="M193">
        <v>34232316.372096397</v>
      </c>
      <c r="N193">
        <v>-50153121.267342702</v>
      </c>
      <c r="O193">
        <v>5856160.6874037599</v>
      </c>
      <c r="P193">
        <v>3865066.05368648</v>
      </c>
      <c r="Q193">
        <v>5998234.2846762398</v>
      </c>
      <c r="R193">
        <v>2999117.1423381199</v>
      </c>
      <c r="S193">
        <v>2999117.1423381199</v>
      </c>
      <c r="T193">
        <v>2857043.5450656498</v>
      </c>
      <c r="U193">
        <v>1174770.8503163899</v>
      </c>
      <c r="V193">
        <v>22373820.088335901</v>
      </c>
      <c r="W193">
        <v>3815440.9257390099</v>
      </c>
      <c r="X193">
        <v>0.27332959800828499</v>
      </c>
      <c r="Y193">
        <v>33738250.3251995</v>
      </c>
      <c r="Z193">
        <v>15357335.283367099</v>
      </c>
      <c r="AA193">
        <v>0.79508563131162302</v>
      </c>
      <c r="AB193">
        <v>17556751.662046801</v>
      </c>
      <c r="AC193">
        <v>10143680.053260799</v>
      </c>
      <c r="AD193">
        <v>13959120.978999799</v>
      </c>
      <c r="AE193">
        <v>-27779301.179006901</v>
      </c>
      <c r="AF193">
        <v>-1463074.7810929201</v>
      </c>
      <c r="AG193">
        <v>5.5594999999999999E-2</v>
      </c>
      <c r="AH193">
        <v>-84385437.639439106</v>
      </c>
      <c r="AI193">
        <v>37731155.371702902</v>
      </c>
      <c r="AJ193">
        <v>0.06</v>
      </c>
      <c r="AK193">
        <v>0.05</v>
      </c>
      <c r="AL193">
        <v>8.8099999999999998E-2</v>
      </c>
      <c r="AM193">
        <v>3.8100000000000002E-2</v>
      </c>
      <c r="AN193">
        <v>0.89</v>
      </c>
      <c r="AO193">
        <v>0.66</v>
      </c>
      <c r="AP193">
        <v>0.42970000000000003</v>
      </c>
      <c r="AQ193">
        <v>0.57030000000000003</v>
      </c>
      <c r="AR193">
        <v>8.9999999999999993E-3</v>
      </c>
      <c r="AS193">
        <v>0.5</v>
      </c>
      <c r="AT193">
        <v>1.82</v>
      </c>
      <c r="AU193">
        <v>6.3545217126973294E-2</v>
      </c>
      <c r="AV193">
        <v>0.7893</v>
      </c>
      <c r="AW193">
        <v>3</v>
      </c>
      <c r="AX193">
        <v>0.05</v>
      </c>
      <c r="AY193">
        <v>1</v>
      </c>
      <c r="AZ193">
        <v>1</v>
      </c>
      <c r="BA193" s="2">
        <f>modelo_tese_H__2[[#This Row],[Vw]]+modelo_tese_H__2[[#This Row],[Vr]]+modelo_tese_H__2[[#This Row],[K]]-modelo_tese_H__2[[#This Row],[E]]</f>
        <v>-28273367.225903802</v>
      </c>
      <c r="BB193" s="2">
        <f>modelo_tese_H__2[[#This Row],[K]]-modelo_tese_H__2[[#This Row],[Coluna1]]</f>
        <v>62011617.551103301</v>
      </c>
      <c r="BC193">
        <f>modelo_tese_H__2[[#This Row],[Coluna2]]/modelo_tese_H__2[[#This Row],[Coluna1]]</f>
        <v>-2.1932873101258639</v>
      </c>
      <c r="BD193" s="8">
        <f>modelo_tese_H__2[[#This Row],[D]]-modelo_tese_H__2[[#This Row],[Dw]]-modelo_tese_H__2[[#This Row],[Dr]]</f>
        <v>-1.0058283805847168E-7</v>
      </c>
    </row>
    <row r="194" spans="1:56" x14ac:dyDescent="0.25">
      <c r="A194">
        <v>193</v>
      </c>
      <c r="B194">
        <v>193</v>
      </c>
      <c r="C194">
        <v>8404975.7859167308</v>
      </c>
      <c r="D194">
        <v>3844701.1636337899</v>
      </c>
      <c r="E194">
        <v>3421784.0356340799</v>
      </c>
      <c r="F194">
        <v>440957.17005656601</v>
      </c>
      <c r="G194">
        <v>12240927.436765401</v>
      </c>
      <c r="H194">
        <v>2766275.8279704698</v>
      </c>
      <c r="I194">
        <v>6629017.0336611196</v>
      </c>
      <c r="J194">
        <v>4969633.8995209401</v>
      </c>
      <c r="K194">
        <v>31165664.216825601</v>
      </c>
      <c r="L194">
        <v>-2784315.87002732</v>
      </c>
      <c r="M194">
        <v>36135298.116346598</v>
      </c>
      <c r="N194">
        <v>-52937437.137370102</v>
      </c>
      <c r="O194">
        <v>6182286.5842249496</v>
      </c>
      <c r="P194">
        <v>4080309.1455884702</v>
      </c>
      <c r="Q194">
        <v>6332839.0236865096</v>
      </c>
      <c r="R194">
        <v>3166419.5118432599</v>
      </c>
      <c r="S194">
        <v>3166419.5118432599</v>
      </c>
      <c r="T194">
        <v>3015867.0723816901</v>
      </c>
      <c r="U194">
        <v>1239908.32012608</v>
      </c>
      <c r="V194">
        <v>23613728.408461999</v>
      </c>
      <c r="W194">
        <v>4028488.6303536599</v>
      </c>
      <c r="X194">
        <v>0.27334368645538298</v>
      </c>
      <c r="Y194">
        <v>35622834.513154201</v>
      </c>
      <c r="Z194">
        <v>16219404.4018775</v>
      </c>
      <c r="AA194">
        <v>0.79502708928102295</v>
      </c>
      <c r="AB194">
        <v>18537500.178681102</v>
      </c>
      <c r="AC194">
        <v>10709326.1792496</v>
      </c>
      <c r="AD194">
        <v>14737814.809603199</v>
      </c>
      <c r="AE194">
        <v>-29323708.728908099</v>
      </c>
      <c r="AF194">
        <v>-1544407.54990124</v>
      </c>
      <c r="AG194">
        <v>5.5594999999999999E-2</v>
      </c>
      <c r="AH194">
        <v>-89072735.253716603</v>
      </c>
      <c r="AI194">
        <v>39833132.810339399</v>
      </c>
      <c r="AJ194">
        <v>0.06</v>
      </c>
      <c r="AK194">
        <v>0.05</v>
      </c>
      <c r="AL194">
        <v>8.8099999999999998E-2</v>
      </c>
      <c r="AM194">
        <v>3.8100000000000002E-2</v>
      </c>
      <c r="AN194">
        <v>0.89</v>
      </c>
      <c r="AO194">
        <v>0.66</v>
      </c>
      <c r="AP194">
        <v>0.42970000000000003</v>
      </c>
      <c r="AQ194">
        <v>0.57030000000000003</v>
      </c>
      <c r="AR194">
        <v>8.9999999999999993E-3</v>
      </c>
      <c r="AS194">
        <v>0.5</v>
      </c>
      <c r="AT194">
        <v>1.82</v>
      </c>
      <c r="AU194">
        <v>6.3545217126973294E-2</v>
      </c>
      <c r="AV194">
        <v>0.7893</v>
      </c>
      <c r="AW194">
        <v>3</v>
      </c>
      <c r="AX194">
        <v>0.05</v>
      </c>
      <c r="AY194">
        <v>1</v>
      </c>
      <c r="AZ194">
        <v>1</v>
      </c>
      <c r="BA194" s="2">
        <f>modelo_tese_H__2[[#This Row],[Vw]]+modelo_tese_H__2[[#This Row],[Vr]]+modelo_tese_H__2[[#This Row],[K]]-modelo_tese_H__2[[#This Row],[E]]</f>
        <v>-29836172.332100503</v>
      </c>
      <c r="BB194" s="2">
        <f>modelo_tese_H__2[[#This Row],[K]]-modelo_tese_H__2[[#This Row],[Coluna1]]</f>
        <v>65459006.845254704</v>
      </c>
      <c r="BC194">
        <f>modelo_tese_H__2[[#This Row],[Coluna2]]/modelo_tese_H__2[[#This Row],[Coluna1]]</f>
        <v>-2.1939478736294826</v>
      </c>
      <c r="BD194" s="8">
        <f>modelo_tese_H__2[[#This Row],[D]]-modelo_tese_H__2[[#This Row],[Dw]]-modelo_tese_H__2[[#This Row],[Dr]]</f>
        <v>0</v>
      </c>
    </row>
    <row r="195" spans="1:56" x14ac:dyDescent="0.25">
      <c r="A195">
        <v>194</v>
      </c>
      <c r="B195">
        <v>194</v>
      </c>
      <c r="C195">
        <v>8873822.1919199601</v>
      </c>
      <c r="D195">
        <v>4060040.7269580401</v>
      </c>
      <c r="E195">
        <v>3613436.24699265</v>
      </c>
      <c r="F195">
        <v>465458.46981380298</v>
      </c>
      <c r="G195">
        <v>12922605.643268701</v>
      </c>
      <c r="H195">
        <v>2920066.93262649</v>
      </c>
      <c r="I195">
        <v>6998961.6494329497</v>
      </c>
      <c r="J195">
        <v>5245749.3177629998</v>
      </c>
      <c r="K195">
        <v>32898319.342791099</v>
      </c>
      <c r="L195">
        <v>-2938920.92247491</v>
      </c>
      <c r="M195">
        <v>38144068.660554104</v>
      </c>
      <c r="N195">
        <v>-55876358.059845001</v>
      </c>
      <c r="O195">
        <v>6526568.5067013698</v>
      </c>
      <c r="P195">
        <v>4307535.2144229095</v>
      </c>
      <c r="Q195">
        <v>6686097.4853024799</v>
      </c>
      <c r="R195">
        <v>3343048.74265124</v>
      </c>
      <c r="S195">
        <v>3343048.74265124</v>
      </c>
      <c r="T195">
        <v>3183519.7640501298</v>
      </c>
      <c r="U195">
        <v>1308659.2215631199</v>
      </c>
      <c r="V195">
        <v>24922387.6300251</v>
      </c>
      <c r="W195">
        <v>4253422.8133665901</v>
      </c>
      <c r="X195">
        <v>0.27335763304697802</v>
      </c>
      <c r="Y195">
        <v>37612596.572704203</v>
      </c>
      <c r="Z195">
        <v>17129778.472592801</v>
      </c>
      <c r="AA195">
        <v>0.79496913144538395</v>
      </c>
      <c r="AB195">
        <v>19572985.9962386</v>
      </c>
      <c r="AC195">
        <v>11306496.8638559</v>
      </c>
      <c r="AD195">
        <v>15559919.677222401</v>
      </c>
      <c r="AE195">
        <v>-30953970.429819901</v>
      </c>
      <c r="AF195">
        <v>-1630261.7009117899</v>
      </c>
      <c r="AG195">
        <v>5.5594999999999999E-2</v>
      </c>
      <c r="AH195">
        <v>-94020426.720399007</v>
      </c>
      <c r="AI195">
        <v>42052166.102617897</v>
      </c>
      <c r="AJ195">
        <v>0.06</v>
      </c>
      <c r="AK195">
        <v>0.05</v>
      </c>
      <c r="AL195">
        <v>8.8099999999999998E-2</v>
      </c>
      <c r="AM195">
        <v>3.8100000000000002E-2</v>
      </c>
      <c r="AN195">
        <v>0.89</v>
      </c>
      <c r="AO195">
        <v>0.66</v>
      </c>
      <c r="AP195">
        <v>0.42970000000000003</v>
      </c>
      <c r="AQ195">
        <v>0.57030000000000003</v>
      </c>
      <c r="AR195">
        <v>8.9999999999999993E-3</v>
      </c>
      <c r="AS195">
        <v>0.5</v>
      </c>
      <c r="AT195">
        <v>1.82</v>
      </c>
      <c r="AU195">
        <v>6.3545217126973294E-2</v>
      </c>
      <c r="AV195">
        <v>0.7893</v>
      </c>
      <c r="AW195">
        <v>3</v>
      </c>
      <c r="AX195">
        <v>0.05</v>
      </c>
      <c r="AY195">
        <v>1</v>
      </c>
      <c r="AZ195">
        <v>1</v>
      </c>
      <c r="BA195" s="2">
        <f>modelo_tese_H__2[[#This Row],[Vw]]+modelo_tese_H__2[[#This Row],[Vr]]+modelo_tese_H__2[[#This Row],[K]]-modelo_tese_H__2[[#This Row],[E]]</f>
        <v>-31485442.517669708</v>
      </c>
      <c r="BB195" s="2">
        <f>modelo_tese_H__2[[#This Row],[K]]-modelo_tese_H__2[[#This Row],[Coluna1]]</f>
        <v>69098039.090373904</v>
      </c>
      <c r="BC195">
        <f>modelo_tese_H__2[[#This Row],[Coluna2]]/modelo_tese_H__2[[#This Row],[Coluna1]]</f>
        <v>-2.1946027613109109</v>
      </c>
      <c r="BD195" s="8">
        <f>modelo_tese_H__2[[#This Row],[D]]-modelo_tese_H__2[[#This Row],[Dw]]-modelo_tese_H__2[[#This Row],[Dr]]</f>
        <v>0</v>
      </c>
    </row>
    <row r="196" spans="1:56" x14ac:dyDescent="0.25">
      <c r="A196">
        <v>195</v>
      </c>
      <c r="B196">
        <v>195</v>
      </c>
      <c r="C196">
        <v>9368805.3775378</v>
      </c>
      <c r="D196">
        <v>4287424.3423298402</v>
      </c>
      <c r="E196">
        <v>3815807.6646735598</v>
      </c>
      <c r="F196">
        <v>491321.29697594501</v>
      </c>
      <c r="G196">
        <v>13642233.604192499</v>
      </c>
      <c r="H196">
        <v>3082408.0537458598</v>
      </c>
      <c r="I196">
        <v>7389537.0153953601</v>
      </c>
      <c r="J196">
        <v>5537207.5657321699</v>
      </c>
      <c r="K196">
        <v>34727301.429576598</v>
      </c>
      <c r="L196">
        <v>-3102112.6730655301</v>
      </c>
      <c r="M196">
        <v>40264508.995308802</v>
      </c>
      <c r="N196">
        <v>-58978470.732910499</v>
      </c>
      <c r="O196">
        <v>6890016.97181438</v>
      </c>
      <c r="P196">
        <v>4547411.2013974898</v>
      </c>
      <c r="Q196">
        <v>7059049.0456391303</v>
      </c>
      <c r="R196">
        <v>3529524.52281956</v>
      </c>
      <c r="S196">
        <v>3529524.52281956</v>
      </c>
      <c r="T196">
        <v>3360492.4489948102</v>
      </c>
      <c r="U196">
        <v>1381224.0868523701</v>
      </c>
      <c r="V196">
        <v>26303611.716877501</v>
      </c>
      <c r="W196">
        <v>4490906.2063840805</v>
      </c>
      <c r="X196">
        <v>0.27337143918491302</v>
      </c>
      <c r="Y196">
        <v>39713402.163166501</v>
      </c>
      <c r="Z196">
        <v>18091160.1561573</v>
      </c>
      <c r="AA196">
        <v>0.794911752300552</v>
      </c>
      <c r="AB196">
        <v>20666261.8531342</v>
      </c>
      <c r="AC196">
        <v>11936948.2167929</v>
      </c>
      <c r="AD196">
        <v>16427854.4231769</v>
      </c>
      <c r="AE196">
        <v>-32674859.016033001</v>
      </c>
      <c r="AF196">
        <v>-1720888.5862131501</v>
      </c>
      <c r="AG196">
        <v>5.5594999999999999E-2</v>
      </c>
      <c r="AH196">
        <v>-99242979.728219301</v>
      </c>
      <c r="AI196">
        <v>44394771.873034798</v>
      </c>
      <c r="AJ196">
        <v>0.06</v>
      </c>
      <c r="AK196">
        <v>0.05</v>
      </c>
      <c r="AL196">
        <v>8.8099999999999998E-2</v>
      </c>
      <c r="AM196">
        <v>3.8100000000000002E-2</v>
      </c>
      <c r="AN196">
        <v>0.89</v>
      </c>
      <c r="AO196">
        <v>0.66</v>
      </c>
      <c r="AP196">
        <v>0.42970000000000003</v>
      </c>
      <c r="AQ196">
        <v>0.57030000000000003</v>
      </c>
      <c r="AR196">
        <v>8.9999999999999993E-3</v>
      </c>
      <c r="AS196">
        <v>0.5</v>
      </c>
      <c r="AT196">
        <v>1.82</v>
      </c>
      <c r="AU196">
        <v>6.3545217126973294E-2</v>
      </c>
      <c r="AV196">
        <v>0.7893</v>
      </c>
      <c r="AW196">
        <v>3</v>
      </c>
      <c r="AX196">
        <v>0.05</v>
      </c>
      <c r="AY196">
        <v>1</v>
      </c>
      <c r="AZ196">
        <v>1</v>
      </c>
      <c r="BA196" s="2">
        <f>modelo_tese_H__2[[#This Row],[Vw]]+modelo_tese_H__2[[#This Row],[Vr]]+modelo_tese_H__2[[#This Row],[K]]-modelo_tese_H__2[[#This Row],[E]]</f>
        <v>-33225965.848175302</v>
      </c>
      <c r="BB196" s="2">
        <f>modelo_tese_H__2[[#This Row],[K]]-modelo_tese_H__2[[#This Row],[Coluna1]]</f>
        <v>72939368.01134181</v>
      </c>
      <c r="BC196">
        <f>modelo_tese_H__2[[#This Row],[Coluna2]]/modelo_tese_H__2[[#This Row],[Coluna1]]</f>
        <v>-2.1952520009391234</v>
      </c>
      <c r="BD196" s="8">
        <f>modelo_tese_H__2[[#This Row],[D]]-modelo_tese_H__2[[#This Row],[Dw]]-modelo_tese_H__2[[#This Row],[Dr]]</f>
        <v>0</v>
      </c>
    </row>
    <row r="197" spans="1:56" x14ac:dyDescent="0.25">
      <c r="A197">
        <v>196</v>
      </c>
      <c r="B197">
        <v>196</v>
      </c>
      <c r="C197">
        <v>9891381.6384233609</v>
      </c>
      <c r="D197">
        <v>4527524.864763</v>
      </c>
      <c r="E197">
        <v>4029497.12963907</v>
      </c>
      <c r="F197">
        <v>518621.31752530101</v>
      </c>
      <c r="G197">
        <v>14401923.480145101</v>
      </c>
      <c r="H197">
        <v>3253774.52949386</v>
      </c>
      <c r="I197">
        <v>7801892.9766582297</v>
      </c>
      <c r="J197">
        <v>5844861.2750030803</v>
      </c>
      <c r="K197">
        <v>36657965.774603598</v>
      </c>
      <c r="L197">
        <v>-3274368.1118952301</v>
      </c>
      <c r="M197">
        <v>42502827.049606703</v>
      </c>
      <c r="N197">
        <v>-62252838.844805703</v>
      </c>
      <c r="O197">
        <v>7273698.7273460003</v>
      </c>
      <c r="P197">
        <v>4800641.16004836</v>
      </c>
      <c r="Q197">
        <v>7452790.9697185997</v>
      </c>
      <c r="R197">
        <v>3726395.4848592998</v>
      </c>
      <c r="S197">
        <v>3726395.4848592998</v>
      </c>
      <c r="T197">
        <v>3547303.2424866999</v>
      </c>
      <c r="U197">
        <v>1457814.58072158</v>
      </c>
      <c r="V197">
        <v>27761426.297598999</v>
      </c>
      <c r="W197">
        <v>4741638.4714353597</v>
      </c>
      <c r="X197">
        <v>0.27338510625808199</v>
      </c>
      <c r="Y197">
        <v>41931443.871292703</v>
      </c>
      <c r="Z197">
        <v>19106403.142733399</v>
      </c>
      <c r="AA197">
        <v>0.79485494637615395</v>
      </c>
      <c r="AB197">
        <v>21820550.6391025</v>
      </c>
      <c r="AC197">
        <v>12602534.1367066</v>
      </c>
      <c r="AD197">
        <v>17344172.608142</v>
      </c>
      <c r="AE197">
        <v>-34491412.5472067</v>
      </c>
      <c r="AF197">
        <v>-1816553.5311736499</v>
      </c>
      <c r="AG197">
        <v>5.5594999999999999E-2</v>
      </c>
      <c r="AH197">
        <v>-104755665.894412</v>
      </c>
      <c r="AI197">
        <v>46867829.440332398</v>
      </c>
      <c r="AJ197">
        <v>0.06</v>
      </c>
      <c r="AK197">
        <v>0.05</v>
      </c>
      <c r="AL197">
        <v>8.8099999999999998E-2</v>
      </c>
      <c r="AM197">
        <v>3.8100000000000002E-2</v>
      </c>
      <c r="AN197">
        <v>0.89</v>
      </c>
      <c r="AO197">
        <v>0.66</v>
      </c>
      <c r="AP197">
        <v>0.42970000000000003</v>
      </c>
      <c r="AQ197">
        <v>0.57030000000000003</v>
      </c>
      <c r="AR197">
        <v>8.9999999999999993E-3</v>
      </c>
      <c r="AS197">
        <v>0.5</v>
      </c>
      <c r="AT197">
        <v>1.82</v>
      </c>
      <c r="AU197">
        <v>6.3545217126973294E-2</v>
      </c>
      <c r="AV197">
        <v>0.7893</v>
      </c>
      <c r="AW197">
        <v>3</v>
      </c>
      <c r="AX197">
        <v>0.05</v>
      </c>
      <c r="AY197">
        <v>1</v>
      </c>
      <c r="AZ197">
        <v>1</v>
      </c>
      <c r="BA197" s="2">
        <f>modelo_tese_H__2[[#This Row],[Vw]]+modelo_tese_H__2[[#This Row],[Vr]]+modelo_tese_H__2[[#This Row],[K]]-modelo_tese_H__2[[#This Row],[E]]</f>
        <v>-35062795.725520298</v>
      </c>
      <c r="BB197" s="2">
        <f>modelo_tese_H__2[[#This Row],[K]]-modelo_tese_H__2[[#This Row],[Coluna1]]</f>
        <v>76994239.596812993</v>
      </c>
      <c r="BC197">
        <f>modelo_tese_H__2[[#This Row],[Coluna2]]/modelo_tese_H__2[[#This Row],[Coluna1]]</f>
        <v>-2.1958956210891389</v>
      </c>
      <c r="BD197" s="8">
        <f>modelo_tese_H__2[[#This Row],[D]]-modelo_tese_H__2[[#This Row],[Dw]]-modelo_tese_H__2[[#This Row],[Dr]]</f>
        <v>0</v>
      </c>
    </row>
    <row r="198" spans="1:56" x14ac:dyDescent="0.25">
      <c r="A198">
        <v>197</v>
      </c>
      <c r="B198">
        <v>197</v>
      </c>
      <c r="C198">
        <v>10443088.3783323</v>
      </c>
      <c r="D198">
        <v>4781052.7040049797</v>
      </c>
      <c r="E198">
        <v>4255136.9065644303</v>
      </c>
      <c r="F198">
        <v>547438.40282471303</v>
      </c>
      <c r="G198">
        <v>15203904.963058701</v>
      </c>
      <c r="H198">
        <v>3434668.1244610799</v>
      </c>
      <c r="I198">
        <v>8237243.4338502102</v>
      </c>
      <c r="J198">
        <v>6169610.4632501705</v>
      </c>
      <c r="K198">
        <v>38695965.4030523</v>
      </c>
      <c r="L198">
        <v>-3456190.7298452398</v>
      </c>
      <c r="M198">
        <v>44865575.866302401</v>
      </c>
      <c r="N198">
        <v>-65709029.574651003</v>
      </c>
      <c r="O198">
        <v>7678739.8803326702</v>
      </c>
      <c r="P198">
        <v>5067968.3210195601</v>
      </c>
      <c r="Q198">
        <v>7868481.6345246499</v>
      </c>
      <c r="R198">
        <v>3934240.8172623198</v>
      </c>
      <c r="S198">
        <v>3934240.8172623198</v>
      </c>
      <c r="T198">
        <v>3744499.0630703499</v>
      </c>
      <c r="U198">
        <v>1538654.1185882201</v>
      </c>
      <c r="V198">
        <v>29300080.416187301</v>
      </c>
      <c r="W198">
        <v>5006358.2579872096</v>
      </c>
      <c r="X198">
        <v>0.273398635642502</v>
      </c>
      <c r="Y198">
        <v>44273259.424031101</v>
      </c>
      <c r="Z198">
        <v>20178520.583458301</v>
      </c>
      <c r="AA198">
        <v>0.79479870823662002</v>
      </c>
      <c r="AB198">
        <v>23039254.8743366</v>
      </c>
      <c r="AC198">
        <v>13305211.7548698</v>
      </c>
      <c r="AD198">
        <v>18311570.012857001</v>
      </c>
      <c r="AE198">
        <v>-36408949.158463702</v>
      </c>
      <c r="AF198">
        <v>-1917536.6112570199</v>
      </c>
      <c r="AG198">
        <v>5.5594999999999999E-2</v>
      </c>
      <c r="AH198">
        <v>-110574605.440953</v>
      </c>
      <c r="AI198">
        <v>49478600.999645501</v>
      </c>
      <c r="AJ198">
        <v>0.06</v>
      </c>
      <c r="AK198">
        <v>0.05</v>
      </c>
      <c r="AL198">
        <v>8.8099999999999998E-2</v>
      </c>
      <c r="AM198">
        <v>3.8100000000000002E-2</v>
      </c>
      <c r="AN198">
        <v>0.89</v>
      </c>
      <c r="AO198">
        <v>0.66</v>
      </c>
      <c r="AP198">
        <v>0.42970000000000003</v>
      </c>
      <c r="AQ198">
        <v>0.57030000000000003</v>
      </c>
      <c r="AR198">
        <v>8.9999999999999993E-3</v>
      </c>
      <c r="AS198">
        <v>0.5</v>
      </c>
      <c r="AT198">
        <v>1.82</v>
      </c>
      <c r="AU198">
        <v>6.3545217126973294E-2</v>
      </c>
      <c r="AV198">
        <v>0.7893</v>
      </c>
      <c r="AW198">
        <v>3</v>
      </c>
      <c r="AX198">
        <v>0.05</v>
      </c>
      <c r="AY198">
        <v>1</v>
      </c>
      <c r="AZ198">
        <v>1</v>
      </c>
      <c r="BA198" s="2">
        <f>modelo_tese_H__2[[#This Row],[Vw]]+modelo_tese_H__2[[#This Row],[Vr]]+modelo_tese_H__2[[#This Row],[K]]-modelo_tese_H__2[[#This Row],[E]]</f>
        <v>-37001265.600734696</v>
      </c>
      <c r="BB198" s="2">
        <f>modelo_tese_H__2[[#This Row],[K]]-modelo_tese_H__2[[#This Row],[Coluna1]]</f>
        <v>81274525.02476579</v>
      </c>
      <c r="BC198">
        <f>modelo_tese_H__2[[#This Row],[Coluna2]]/modelo_tese_H__2[[#This Row],[Coluna1]]</f>
        <v>-2.1965336510854918</v>
      </c>
      <c r="BD198" s="8">
        <f>modelo_tese_H__2[[#This Row],[D]]-modelo_tese_H__2[[#This Row],[Dw]]-modelo_tese_H__2[[#This Row],[Dr]]</f>
        <v>0</v>
      </c>
    </row>
    <row r="199" spans="1:56" x14ac:dyDescent="0.25">
      <c r="A199">
        <v>198</v>
      </c>
      <c r="B199">
        <v>198</v>
      </c>
      <c r="C199">
        <v>11025548.6248751</v>
      </c>
      <c r="D199">
        <v>5048757.9190300796</v>
      </c>
      <c r="E199">
        <v>4493394.5479367701</v>
      </c>
      <c r="F199">
        <v>577856.86335849098</v>
      </c>
      <c r="G199">
        <v>16050531.815106601</v>
      </c>
      <c r="H199">
        <v>3625618.4988404899</v>
      </c>
      <c r="I199">
        <v>8696869.9101357497</v>
      </c>
      <c r="J199">
        <v>6512405.1679588296</v>
      </c>
      <c r="K199">
        <v>40847267.620036498</v>
      </c>
      <c r="L199">
        <v>-3648111.9911056701</v>
      </c>
      <c r="M199">
        <v>47359672.787995301</v>
      </c>
      <c r="N199">
        <v>-69357141.565756604</v>
      </c>
      <c r="O199">
        <v>8106329.19954878</v>
      </c>
      <c r="P199">
        <v>5350177.2717021899</v>
      </c>
      <c r="Q199">
        <v>8307343.9314550702</v>
      </c>
      <c r="R199">
        <v>4153671.96572753</v>
      </c>
      <c r="S199">
        <v>4153671.96572753</v>
      </c>
      <c r="T199">
        <v>3952657.2338212398</v>
      </c>
      <c r="U199">
        <v>1623978.5190819099</v>
      </c>
      <c r="V199">
        <v>30924058.935269199</v>
      </c>
      <c r="W199">
        <v>5285845.3744922103</v>
      </c>
      <c r="X199">
        <v>0.27341202870139097</v>
      </c>
      <c r="Y199">
        <v>46745750.915504403</v>
      </c>
      <c r="Z199">
        <v>21310693.992222901</v>
      </c>
      <c r="AA199">
        <v>0.79474303248209399</v>
      </c>
      <c r="AB199">
        <v>24325966.716500599</v>
      </c>
      <c r="AC199">
        <v>14047047.1818379</v>
      </c>
      <c r="AD199">
        <v>19332892.5563302</v>
      </c>
      <c r="AE199">
        <v>-38433082.630487502</v>
      </c>
      <c r="AF199">
        <v>-2024133.47202376</v>
      </c>
      <c r="AG199">
        <v>5.5594999999999999E-2</v>
      </c>
      <c r="AH199">
        <v>-116716814.353752</v>
      </c>
      <c r="AI199">
        <v>52234752.927492097</v>
      </c>
      <c r="AJ199">
        <v>0.06</v>
      </c>
      <c r="AK199">
        <v>0.05</v>
      </c>
      <c r="AL199">
        <v>8.8099999999999998E-2</v>
      </c>
      <c r="AM199">
        <v>3.8100000000000002E-2</v>
      </c>
      <c r="AN199">
        <v>0.89</v>
      </c>
      <c r="AO199">
        <v>0.66</v>
      </c>
      <c r="AP199">
        <v>0.42970000000000003</v>
      </c>
      <c r="AQ199">
        <v>0.57030000000000003</v>
      </c>
      <c r="AR199">
        <v>8.9999999999999993E-3</v>
      </c>
      <c r="AS199">
        <v>0.5</v>
      </c>
      <c r="AT199">
        <v>1.82</v>
      </c>
      <c r="AU199">
        <v>6.3545217126973294E-2</v>
      </c>
      <c r="AV199">
        <v>0.7893</v>
      </c>
      <c r="AW199">
        <v>3</v>
      </c>
      <c r="AX199">
        <v>0.05</v>
      </c>
      <c r="AY199">
        <v>1</v>
      </c>
      <c r="AZ199">
        <v>1</v>
      </c>
      <c r="BA199" s="2">
        <f>modelo_tese_H__2[[#This Row],[Vw]]+modelo_tese_H__2[[#This Row],[Vr]]+modelo_tese_H__2[[#This Row],[K]]-modelo_tese_H__2[[#This Row],[E]]</f>
        <v>-39047004.502978399</v>
      </c>
      <c r="BB199" s="2">
        <f>modelo_tese_H__2[[#This Row],[K]]-modelo_tese_H__2[[#This Row],[Coluna1]]</f>
        <v>85792755.41848281</v>
      </c>
      <c r="BC199">
        <f>modelo_tese_H__2[[#This Row],[Coluna2]]/modelo_tese_H__2[[#This Row],[Coluna1]]</f>
        <v>-2.197166120948888</v>
      </c>
      <c r="BD199" s="8">
        <f>modelo_tese_H__2[[#This Row],[D]]-modelo_tese_H__2[[#This Row],[Dw]]-modelo_tese_H__2[[#This Row],[Dr]]</f>
        <v>-9.6857547760009766E-8</v>
      </c>
    </row>
    <row r="200" spans="1:56" x14ac:dyDescent="0.25">
      <c r="A200">
        <v>199</v>
      </c>
      <c r="B200">
        <v>199</v>
      </c>
      <c r="C200">
        <v>11640475.7966165</v>
      </c>
      <c r="D200">
        <v>5331432.4292748002</v>
      </c>
      <c r="E200">
        <v>4744974.8620545799</v>
      </c>
      <c r="F200">
        <v>609965.69546558498</v>
      </c>
      <c r="G200">
        <v>16944288.771366298</v>
      </c>
      <c r="H200">
        <v>3827184.7592835301</v>
      </c>
      <c r="I200">
        <v>9182125.31680369</v>
      </c>
      <c r="J200">
        <v>6874248.22652518</v>
      </c>
      <c r="K200">
        <v>43118171.482996598</v>
      </c>
      <c r="L200">
        <v>-3850692.88752888</v>
      </c>
      <c r="M200">
        <v>49992419.7095218</v>
      </c>
      <c r="N200">
        <v>-73207834.4532855</v>
      </c>
      <c r="O200">
        <v>8557721.6017001402</v>
      </c>
      <c r="P200">
        <v>5648096.2571221003</v>
      </c>
      <c r="Q200">
        <v>8770668.8581555206</v>
      </c>
      <c r="R200">
        <v>4385334.4290777603</v>
      </c>
      <c r="S200">
        <v>4385334.4290777603</v>
      </c>
      <c r="T200">
        <v>4172387.1726223901</v>
      </c>
      <c r="U200">
        <v>1714036.6928096199</v>
      </c>
      <c r="V200">
        <v>32638095.6280788</v>
      </c>
      <c r="W200">
        <v>5580923.0808461802</v>
      </c>
      <c r="X200">
        <v>0.27342528678524902</v>
      </c>
      <c r="Y200">
        <v>49356205.104661502</v>
      </c>
      <c r="Z200">
        <v>22506282.6439914</v>
      </c>
      <c r="AA200">
        <v>0.79468791374926495</v>
      </c>
      <c r="AB200">
        <v>25684478.525002401</v>
      </c>
      <c r="AC200">
        <v>14830221.573925801</v>
      </c>
      <c r="AD200">
        <v>20411144.654771999</v>
      </c>
      <c r="AE200">
        <v>-40569738.825206697</v>
      </c>
      <c r="AF200">
        <v>-2136656.1947192601</v>
      </c>
      <c r="AG200">
        <v>5.5594999999999999E-2</v>
      </c>
      <c r="AH200">
        <v>-123200254.162807</v>
      </c>
      <c r="AI200">
        <v>55144378.272070199</v>
      </c>
      <c r="AJ200">
        <v>0.06</v>
      </c>
      <c r="AK200">
        <v>0.05</v>
      </c>
      <c r="AL200">
        <v>8.8099999999999998E-2</v>
      </c>
      <c r="AM200">
        <v>3.8100000000000002E-2</v>
      </c>
      <c r="AN200">
        <v>0.89</v>
      </c>
      <c r="AO200">
        <v>0.66</v>
      </c>
      <c r="AP200">
        <v>0.42970000000000003</v>
      </c>
      <c r="AQ200">
        <v>0.57030000000000003</v>
      </c>
      <c r="AR200">
        <v>8.9999999999999993E-3</v>
      </c>
      <c r="AS200">
        <v>0.5</v>
      </c>
      <c r="AT200">
        <v>1.82</v>
      </c>
      <c r="AU200">
        <v>6.3545217126973294E-2</v>
      </c>
      <c r="AV200">
        <v>0.7893</v>
      </c>
      <c r="AW200">
        <v>3</v>
      </c>
      <c r="AX200">
        <v>0.05</v>
      </c>
      <c r="AY200">
        <v>1</v>
      </c>
      <c r="AZ200">
        <v>1</v>
      </c>
      <c r="BA200" s="2">
        <f>modelo_tese_H__2[[#This Row],[Vw]]+modelo_tese_H__2[[#This Row],[Vr]]+modelo_tese_H__2[[#This Row],[K]]-modelo_tese_H__2[[#This Row],[E]]</f>
        <v>-41205953.430066705</v>
      </c>
      <c r="BB200" s="2">
        <f>modelo_tese_H__2[[#This Row],[K]]-modelo_tese_H__2[[#This Row],[Coluna1]]</f>
        <v>90562158.534728199</v>
      </c>
      <c r="BC200">
        <f>modelo_tese_H__2[[#This Row],[Coluna2]]/modelo_tese_H__2[[#This Row],[Coluna1]]</f>
        <v>-2.1977930613455436</v>
      </c>
      <c r="BD200" s="8">
        <f>modelo_tese_H__2[[#This Row],[D]]-modelo_tese_H__2[[#This Row],[Dw]]-modelo_tese_H__2[[#This Row],[Dr]]</f>
        <v>0</v>
      </c>
    </row>
    <row r="201" spans="1:56" x14ac:dyDescent="0.25">
      <c r="A201">
        <v>200</v>
      </c>
      <c r="B201">
        <v>200</v>
      </c>
      <c r="C201">
        <v>12289678.7355102</v>
      </c>
      <c r="D201">
        <v>5629912.3491185904</v>
      </c>
      <c r="E201">
        <v>5010621.9907155503</v>
      </c>
      <c r="F201">
        <v>643858.84178721905</v>
      </c>
      <c r="G201">
        <v>17887798.8264599</v>
      </c>
      <c r="H201">
        <v>4039957.0959758898</v>
      </c>
      <c r="I201">
        <v>9694437.9284786601</v>
      </c>
      <c r="J201">
        <v>7256198.2108817901</v>
      </c>
      <c r="K201">
        <v>45515326.2454703</v>
      </c>
      <c r="L201">
        <v>-4064525.5793600702</v>
      </c>
      <c r="M201">
        <v>52771524.4563521</v>
      </c>
      <c r="N201">
        <v>-77272360.032645598</v>
      </c>
      <c r="O201">
        <v>9034241.83154542</v>
      </c>
      <c r="P201">
        <v>5962599.6088199802</v>
      </c>
      <c r="Q201">
        <v>9259819.3102730997</v>
      </c>
      <c r="R201">
        <v>4629909.6551365498</v>
      </c>
      <c r="S201">
        <v>4629909.6551365498</v>
      </c>
      <c r="T201">
        <v>4404332.1764088701</v>
      </c>
      <c r="U201">
        <v>1809091.3693772999</v>
      </c>
      <c r="V201">
        <v>34447186.997456104</v>
      </c>
      <c r="W201">
        <v>5892460.5084846905</v>
      </c>
      <c r="X201">
        <v>0.27343841123193702</v>
      </c>
      <c r="Y201">
        <v>52112314.843207002</v>
      </c>
      <c r="Z201">
        <v>23768833.497339498</v>
      </c>
      <c r="AA201">
        <v>0.79463334671209396</v>
      </c>
      <c r="AB201">
        <v>27118794.0135503</v>
      </c>
      <c r="AC201">
        <v>15657037.537298599</v>
      </c>
      <c r="AD201">
        <v>21549498.0457833</v>
      </c>
      <c r="AE201">
        <v>-42825173.035189502</v>
      </c>
      <c r="AF201">
        <v>-2255434.20998277</v>
      </c>
      <c r="AG201">
        <v>5.5594999999999999E-2</v>
      </c>
      <c r="AH201">
        <v>-130043884.488998</v>
      </c>
      <c r="AI201">
        <v>58216020.494795598</v>
      </c>
      <c r="AJ201">
        <v>0.06</v>
      </c>
      <c r="AK201">
        <v>0.05</v>
      </c>
      <c r="AL201">
        <v>8.8099999999999998E-2</v>
      </c>
      <c r="AM201">
        <v>3.8100000000000002E-2</v>
      </c>
      <c r="AN201">
        <v>0.89</v>
      </c>
      <c r="AO201">
        <v>0.66</v>
      </c>
      <c r="AP201">
        <v>0.42970000000000003</v>
      </c>
      <c r="AQ201">
        <v>0.57030000000000003</v>
      </c>
      <c r="AR201">
        <v>8.9999999999999993E-3</v>
      </c>
      <c r="AS201">
        <v>0.5</v>
      </c>
      <c r="AT201">
        <v>1.82</v>
      </c>
      <c r="AU201">
        <v>6.3545217126973294E-2</v>
      </c>
      <c r="AV201">
        <v>0.7893</v>
      </c>
      <c r="AW201">
        <v>3</v>
      </c>
      <c r="AX201">
        <v>0.05</v>
      </c>
      <c r="AY201">
        <v>1</v>
      </c>
      <c r="AZ201">
        <v>1</v>
      </c>
      <c r="BA201" s="2">
        <f>modelo_tese_H__2[[#This Row],[Vw]]+modelo_tese_H__2[[#This Row],[Vr]]+modelo_tese_H__2[[#This Row],[K]]-modelo_tese_H__2[[#This Row],[E]]</f>
        <v>-43484382.648334906</v>
      </c>
      <c r="BB201" s="2">
        <f>modelo_tese_H__2[[#This Row],[K]]-modelo_tese_H__2[[#This Row],[Coluna1]]</f>
        <v>95596697.491541907</v>
      </c>
      <c r="BC201">
        <f>modelo_tese_H__2[[#This Row],[Coluna2]]/modelo_tese_H__2[[#This Row],[Coluna1]]</f>
        <v>-2.1984145035390648</v>
      </c>
      <c r="BD201" s="8">
        <f>modelo_tese_H__2[[#This Row],[D]]-modelo_tese_H__2[[#This Row],[Dw]]-modelo_tese_H__2[[#This Row],[Dr]]</f>
        <v>0</v>
      </c>
    </row>
    <row r="202" spans="1:56" x14ac:dyDescent="0.25">
      <c r="A202">
        <v>201</v>
      </c>
      <c r="B202">
        <v>201</v>
      </c>
      <c r="C202">
        <v>12975067.0194337</v>
      </c>
      <c r="D202">
        <v>5945080.4524765396</v>
      </c>
      <c r="E202">
        <v>5291121.6027041199</v>
      </c>
      <c r="F202">
        <v>679635.46619127702</v>
      </c>
      <c r="G202">
        <v>18883830.926529702</v>
      </c>
      <c r="H202">
        <v>4264558.5107266698</v>
      </c>
      <c r="I202">
        <v>10235315.579622099</v>
      </c>
      <c r="J202">
        <v>7659372.5252384702</v>
      </c>
      <c r="K202">
        <v>48045750.8262446</v>
      </c>
      <c r="L202">
        <v>-4290235.1271455297</v>
      </c>
      <c r="M202">
        <v>55705123.351483002</v>
      </c>
      <c r="N202">
        <v>-81562595.159791097</v>
      </c>
      <c r="O202">
        <v>9537288.3467321508</v>
      </c>
      <c r="P202">
        <v>6294610.3088432197</v>
      </c>
      <c r="Q202">
        <v>9776234.0842550602</v>
      </c>
      <c r="R202">
        <v>4888117.0421275301</v>
      </c>
      <c r="S202">
        <v>4888117.0421275301</v>
      </c>
      <c r="T202">
        <v>4649171.3046046197</v>
      </c>
      <c r="U202">
        <v>1909419.86479299</v>
      </c>
      <c r="V202">
        <v>36356606.862249099</v>
      </c>
      <c r="W202">
        <v>6221375.2152234698</v>
      </c>
      <c r="X202">
        <v>0.27345140336676499</v>
      </c>
      <c r="Y202">
        <v>55022201.696729697</v>
      </c>
      <c r="Z202">
        <v>25102091.670435399</v>
      </c>
      <c r="AA202">
        <v>0.79457932608248205</v>
      </c>
      <c r="AB202">
        <v>28633140.023740102</v>
      </c>
      <c r="AC202">
        <v>16529925.8884653</v>
      </c>
      <c r="AD202">
        <v>22751301.103688799</v>
      </c>
      <c r="AE202">
        <v>-45205988.297541998</v>
      </c>
      <c r="AF202">
        <v>-2380815.2623525402</v>
      </c>
      <c r="AG202">
        <v>5.5594999999999999E-2</v>
      </c>
      <c r="AH202">
        <v>-137267718.51127401</v>
      </c>
      <c r="AI202">
        <v>61458698.532684498</v>
      </c>
      <c r="AJ202">
        <v>0.06</v>
      </c>
      <c r="AK202">
        <v>0.05</v>
      </c>
      <c r="AL202">
        <v>8.8099999999999998E-2</v>
      </c>
      <c r="AM202">
        <v>3.8100000000000002E-2</v>
      </c>
      <c r="AN202">
        <v>0.89</v>
      </c>
      <c r="AO202">
        <v>0.66</v>
      </c>
      <c r="AP202">
        <v>0.42970000000000003</v>
      </c>
      <c r="AQ202">
        <v>0.57030000000000003</v>
      </c>
      <c r="AR202">
        <v>8.9999999999999993E-3</v>
      </c>
      <c r="AS202">
        <v>0.5</v>
      </c>
      <c r="AT202">
        <v>1.82</v>
      </c>
      <c r="AU202">
        <v>6.3545217126973294E-2</v>
      </c>
      <c r="AV202">
        <v>0.7893</v>
      </c>
      <c r="AW202">
        <v>3</v>
      </c>
      <c r="AX202">
        <v>0.05</v>
      </c>
      <c r="AY202">
        <v>1</v>
      </c>
      <c r="AZ202">
        <v>1</v>
      </c>
      <c r="BA202" s="2">
        <f>modelo_tese_H__2[[#This Row],[Vw]]+modelo_tese_H__2[[#This Row],[Vr]]+modelo_tese_H__2[[#This Row],[K]]-modelo_tese_H__2[[#This Row],[E]]</f>
        <v>-45888909.952295206</v>
      </c>
      <c r="BB202" s="2">
        <f>modelo_tese_H__2[[#This Row],[K]]-modelo_tese_H__2[[#This Row],[Coluna1]]</f>
        <v>100911111.6490249</v>
      </c>
      <c r="BC202">
        <f>modelo_tese_H__2[[#This Row],[Coluna2]]/modelo_tese_H__2[[#This Row],[Coluna1]]</f>
        <v>-2.1990304793452098</v>
      </c>
      <c r="BD202" s="8">
        <f>modelo_tese_H__2[[#This Row],[D]]-modelo_tese_H__2[[#This Row],[Dw]]-modelo_tese_H__2[[#This Row],[Dr]]</f>
        <v>0</v>
      </c>
    </row>
    <row r="203" spans="1:56" x14ac:dyDescent="0.25">
      <c r="A203">
        <v>202</v>
      </c>
      <c r="B203">
        <v>202</v>
      </c>
      <c r="C203">
        <v>13698656.5704083</v>
      </c>
      <c r="D203">
        <v>6277868.7747514704</v>
      </c>
      <c r="E203">
        <v>5587303.2095288103</v>
      </c>
      <c r="F203">
        <v>717400.24397819501</v>
      </c>
      <c r="G203">
        <v>19935308.089092702</v>
      </c>
      <c r="H203">
        <v>4501646.64113052</v>
      </c>
      <c r="I203">
        <v>10806350.0946375</v>
      </c>
      <c r="J203">
        <v>8084950.6760050803</v>
      </c>
      <c r="K203">
        <v>50716854.360895202</v>
      </c>
      <c r="L203">
        <v>-4528481.3198860604</v>
      </c>
      <c r="M203">
        <v>58801805.036900297</v>
      </c>
      <c r="N203">
        <v>-86091076.4796772</v>
      </c>
      <c r="O203">
        <v>10068337.418733699</v>
      </c>
      <c r="P203">
        <v>6645102.6963642398</v>
      </c>
      <c r="Q203">
        <v>10321432.1029361</v>
      </c>
      <c r="R203">
        <v>5160716.0514680296</v>
      </c>
      <c r="S203">
        <v>5160716.0514680296</v>
      </c>
      <c r="T203">
        <v>4907621.3672656603</v>
      </c>
      <c r="U203">
        <v>2015314.8914949</v>
      </c>
      <c r="V203">
        <v>38371921.753743999</v>
      </c>
      <c r="W203">
        <v>6568635.88234259</v>
      </c>
      <c r="X203">
        <v>0.27346426450257</v>
      </c>
      <c r="Y203">
        <v>58094439.825449497</v>
      </c>
      <c r="Z203">
        <v>26510011.501309998</v>
      </c>
      <c r="AA203">
        <v>0.79452584661084302</v>
      </c>
      <c r="AB203">
        <v>30231978.954247098</v>
      </c>
      <c r="AC203">
        <v>17451452.7910018</v>
      </c>
      <c r="AD203">
        <v>24020088.6733444</v>
      </c>
      <c r="AE203">
        <v>-47719154.725933202</v>
      </c>
      <c r="AF203">
        <v>-2513166.42839116</v>
      </c>
      <c r="AG203">
        <v>5.5594999999999999E-2</v>
      </c>
      <c r="AH203">
        <v>-144892881.51657701</v>
      </c>
      <c r="AI203">
        <v>64881933.255053997</v>
      </c>
      <c r="AJ203">
        <v>0.06</v>
      </c>
      <c r="AK203">
        <v>0.05</v>
      </c>
      <c r="AL203">
        <v>8.8099999999999998E-2</v>
      </c>
      <c r="AM203">
        <v>3.8100000000000002E-2</v>
      </c>
      <c r="AN203">
        <v>0.89</v>
      </c>
      <c r="AO203">
        <v>0.66</v>
      </c>
      <c r="AP203">
        <v>0.42970000000000003</v>
      </c>
      <c r="AQ203">
        <v>0.57030000000000003</v>
      </c>
      <c r="AR203">
        <v>8.9999999999999993E-3</v>
      </c>
      <c r="AS203">
        <v>0.5</v>
      </c>
      <c r="AT203">
        <v>1.82</v>
      </c>
      <c r="AU203">
        <v>6.3545217126973294E-2</v>
      </c>
      <c r="AV203">
        <v>0.7893</v>
      </c>
      <c r="AW203">
        <v>3</v>
      </c>
      <c r="AX203">
        <v>0.05</v>
      </c>
      <c r="AY203">
        <v>1</v>
      </c>
      <c r="AZ203">
        <v>1</v>
      </c>
      <c r="BA203" s="2">
        <f>modelo_tese_H__2[[#This Row],[Vw]]+modelo_tese_H__2[[#This Row],[Vr]]+modelo_tese_H__2[[#This Row],[K]]-modelo_tese_H__2[[#This Row],[E]]</f>
        <v>-48426519.93738351</v>
      </c>
      <c r="BB203" s="2">
        <f>modelo_tese_H__2[[#This Row],[K]]-modelo_tese_H__2[[#This Row],[Coluna1]]</f>
        <v>106520959.762833</v>
      </c>
      <c r="BC203">
        <f>modelo_tese_H__2[[#This Row],[Coluna2]]/modelo_tese_H__2[[#This Row],[Coluna1]]</f>
        <v>-2.1996410210885853</v>
      </c>
      <c r="BD203" s="8">
        <f>modelo_tese_H__2[[#This Row],[D]]-modelo_tese_H__2[[#This Row],[Dw]]-modelo_tese_H__2[[#This Row],[Dr]]</f>
        <v>0</v>
      </c>
    </row>
    <row r="204" spans="1:56" x14ac:dyDescent="0.25">
      <c r="A204">
        <v>203</v>
      </c>
      <c r="B204">
        <v>203</v>
      </c>
      <c r="C204">
        <v>14462575.574960601</v>
      </c>
      <c r="D204">
        <v>6629261.3597978298</v>
      </c>
      <c r="E204">
        <v>5900042.61022007</v>
      </c>
      <c r="F204">
        <v>757263.66821776703</v>
      </c>
      <c r="G204">
        <v>21045315.9745754</v>
      </c>
      <c r="H204">
        <v>4751915.6861441704</v>
      </c>
      <c r="I204">
        <v>11409221.964582</v>
      </c>
      <c r="J204">
        <v>8534177.7234670594</v>
      </c>
      <c r="K204">
        <v>53536457.8958892</v>
      </c>
      <c r="L204">
        <v>-4779960.6047841804</v>
      </c>
      <c r="M204">
        <v>62070635.619356297</v>
      </c>
      <c r="N204">
        <v>-90871037.084461406</v>
      </c>
      <c r="O204">
        <v>10628947.4619068</v>
      </c>
      <c r="P204">
        <v>7015105.3248584699</v>
      </c>
      <c r="Q204">
        <v>10897016.876311701</v>
      </c>
      <c r="R204">
        <v>5448508.4381558597</v>
      </c>
      <c r="S204">
        <v>5448508.4381558597</v>
      </c>
      <c r="T204">
        <v>5180439.0237509096</v>
      </c>
      <c r="U204">
        <v>2127085.4133723299</v>
      </c>
      <c r="V204">
        <v>40499007.167116299</v>
      </c>
      <c r="W204">
        <v>6935265.1618318297</v>
      </c>
      <c r="X204">
        <v>0.27347699593981201</v>
      </c>
      <c r="Y204">
        <v>61338081.194703199</v>
      </c>
      <c r="Z204">
        <v>27996768.224986002</v>
      </c>
      <c r="AA204">
        <v>0.794472903086616</v>
      </c>
      <c r="AB204">
        <v>31920021.8821151</v>
      </c>
      <c r="AC204">
        <v>18424327.289440501</v>
      </c>
      <c r="AD204">
        <v>25359592.451272301</v>
      </c>
      <c r="AE204">
        <v>-50372029.917345002</v>
      </c>
      <c r="AF204">
        <v>-2652875.19141185</v>
      </c>
      <c r="AG204">
        <v>5.5594999999999999E-2</v>
      </c>
      <c r="AH204">
        <v>-152941672.70381799</v>
      </c>
      <c r="AI204">
        <v>68495775.392102301</v>
      </c>
      <c r="AJ204">
        <v>0.06</v>
      </c>
      <c r="AK204">
        <v>0.05</v>
      </c>
      <c r="AL204">
        <v>8.8099999999999998E-2</v>
      </c>
      <c r="AM204">
        <v>3.8100000000000002E-2</v>
      </c>
      <c r="AN204">
        <v>0.89</v>
      </c>
      <c r="AO204">
        <v>0.66</v>
      </c>
      <c r="AP204">
        <v>0.42970000000000003</v>
      </c>
      <c r="AQ204">
        <v>0.57030000000000003</v>
      </c>
      <c r="AR204">
        <v>8.9999999999999993E-3</v>
      </c>
      <c r="AS204">
        <v>0.5</v>
      </c>
      <c r="AT204">
        <v>1.82</v>
      </c>
      <c r="AU204">
        <v>6.3545217126973294E-2</v>
      </c>
      <c r="AV204">
        <v>0.7893</v>
      </c>
      <c r="AW204">
        <v>3</v>
      </c>
      <c r="AX204">
        <v>0.05</v>
      </c>
      <c r="AY204">
        <v>1</v>
      </c>
      <c r="AZ204">
        <v>1</v>
      </c>
      <c r="BA204" s="2">
        <f>modelo_tese_H__2[[#This Row],[Vw]]+modelo_tese_H__2[[#This Row],[Vr]]+modelo_tese_H__2[[#This Row],[K]]-modelo_tese_H__2[[#This Row],[E]]</f>
        <v>-51104584.341998495</v>
      </c>
      <c r="BB204" s="2">
        <f>modelo_tese_H__2[[#This Row],[K]]-modelo_tese_H__2[[#This Row],[Coluna1]]</f>
        <v>112442665.53670169</v>
      </c>
      <c r="BC204">
        <f>modelo_tese_H__2[[#This Row],[Coluna2]]/modelo_tese_H__2[[#This Row],[Coluna1]]</f>
        <v>-2.2002461615619611</v>
      </c>
      <c r="BD204" s="8">
        <f>modelo_tese_H__2[[#This Row],[D]]-modelo_tese_H__2[[#This Row],[Dw]]-modelo_tese_H__2[[#This Row],[Dr]]</f>
        <v>1.0430812835693359E-7</v>
      </c>
    </row>
    <row r="205" spans="1:56" x14ac:dyDescent="0.25">
      <c r="A205">
        <v>204</v>
      </c>
      <c r="B205">
        <v>204</v>
      </c>
      <c r="C205">
        <v>15269070.733992999</v>
      </c>
      <c r="D205">
        <v>7000297.1599751096</v>
      </c>
      <c r="E205">
        <v>6230264.4723778497</v>
      </c>
      <c r="F205">
        <v>799342.37311354303</v>
      </c>
      <c r="G205">
        <v>22217111.9346487</v>
      </c>
      <c r="H205">
        <v>5016098.4387153601</v>
      </c>
      <c r="I205">
        <v>12045705.2842067</v>
      </c>
      <c r="J205">
        <v>9008367.9253165107</v>
      </c>
      <c r="K205">
        <v>56512817.288771197</v>
      </c>
      <c r="L205">
        <v>-5045408.1242316402</v>
      </c>
      <c r="M205">
        <v>65521185.214087702</v>
      </c>
      <c r="N205">
        <v>-95916445.208692998</v>
      </c>
      <c r="O205">
        <v>11220763.6033579</v>
      </c>
      <c r="P205">
        <v>7405703.9782162299</v>
      </c>
      <c r="Q205">
        <v>11504681.2105853</v>
      </c>
      <c r="R205">
        <v>5752340.6052926397</v>
      </c>
      <c r="S205">
        <v>5752340.6052926397</v>
      </c>
      <c r="T205">
        <v>5468422.99806529</v>
      </c>
      <c r="U205">
        <v>2245057.5482790601</v>
      </c>
      <c r="V205">
        <v>42744064.715395398</v>
      </c>
      <c r="W205">
        <v>7322342.6821552701</v>
      </c>
      <c r="X205">
        <v>0.27348959896665198</v>
      </c>
      <c r="Y205">
        <v>64762682.189189203</v>
      </c>
      <c r="Z205">
        <v>29566770.301848602</v>
      </c>
      <c r="AA205">
        <v>0.79442049033872097</v>
      </c>
      <c r="AB205">
        <v>33702242.414672099</v>
      </c>
      <c r="AC205">
        <v>19451409.262423001</v>
      </c>
      <c r="AD205">
        <v>26773751.944578301</v>
      </c>
      <c r="AE205">
        <v>-53172380.493297599</v>
      </c>
      <c r="AF205">
        <v>-2800350.5759525802</v>
      </c>
      <c r="AG205">
        <v>5.5594999999999999E-2</v>
      </c>
      <c r="AH205">
        <v>-161437630.42278099</v>
      </c>
      <c r="AI205">
        <v>72310835.017243996</v>
      </c>
      <c r="AJ205">
        <v>0.06</v>
      </c>
      <c r="AK205">
        <v>0.05</v>
      </c>
      <c r="AL205">
        <v>8.8099999999999998E-2</v>
      </c>
      <c r="AM205">
        <v>3.8100000000000002E-2</v>
      </c>
      <c r="AN205">
        <v>0.89</v>
      </c>
      <c r="AO205">
        <v>0.66</v>
      </c>
      <c r="AP205">
        <v>0.42970000000000003</v>
      </c>
      <c r="AQ205">
        <v>0.57030000000000003</v>
      </c>
      <c r="AR205">
        <v>8.9999999999999993E-3</v>
      </c>
      <c r="AS205">
        <v>0.5</v>
      </c>
      <c r="AT205">
        <v>1.82</v>
      </c>
      <c r="AU205">
        <v>6.3545217126973294E-2</v>
      </c>
      <c r="AV205">
        <v>0.7893</v>
      </c>
      <c r="AW205">
        <v>3</v>
      </c>
      <c r="AX205">
        <v>0.05</v>
      </c>
      <c r="AY205">
        <v>1</v>
      </c>
      <c r="AZ205">
        <v>1</v>
      </c>
      <c r="BA205" s="2">
        <f>modelo_tese_H__2[[#This Row],[Vw]]+modelo_tese_H__2[[#This Row],[Vr]]+modelo_tese_H__2[[#This Row],[K]]-modelo_tese_H__2[[#This Row],[E]]</f>
        <v>-53930883.518196389</v>
      </c>
      <c r="BB205" s="2">
        <f>modelo_tese_H__2[[#This Row],[K]]-modelo_tese_H__2[[#This Row],[Coluna1]]</f>
        <v>118693565.7073856</v>
      </c>
      <c r="BC205">
        <f>modelo_tese_H__2[[#This Row],[Coluna2]]/modelo_tese_H__2[[#This Row],[Coluna1]]</f>
        <v>-2.200845933987678</v>
      </c>
      <c r="BD205" s="8">
        <f>modelo_tese_H__2[[#This Row],[D]]-modelo_tese_H__2[[#This Row],[Dw]]-modelo_tese_H__2[[#This Row],[Dr]]</f>
        <v>0</v>
      </c>
    </row>
    <row r="206" spans="1:56" x14ac:dyDescent="0.25">
      <c r="A206">
        <v>205</v>
      </c>
      <c r="B206">
        <v>205</v>
      </c>
      <c r="C206">
        <v>16120513.8604989</v>
      </c>
      <c r="D206">
        <v>7392073.0978183895</v>
      </c>
      <c r="E206">
        <v>6578945.0570583697</v>
      </c>
      <c r="F206">
        <v>843759.47534132202</v>
      </c>
      <c r="G206">
        <v>23454134.563884798</v>
      </c>
      <c r="H206">
        <v>5294968.4314157404</v>
      </c>
      <c r="I206">
        <v>12717672.9638154</v>
      </c>
      <c r="J206">
        <v>9508908.58270327</v>
      </c>
      <c r="K206">
        <v>59654647.381484799</v>
      </c>
      <c r="L206">
        <v>-5325599.8659970397</v>
      </c>
      <c r="M206">
        <v>69163555.964187995</v>
      </c>
      <c r="N206">
        <v>-101242045.07469</v>
      </c>
      <c r="O206">
        <v>11845522.507012499</v>
      </c>
      <c r="P206">
        <v>7818044.8546282696</v>
      </c>
      <c r="Q206">
        <v>12146212.1793028</v>
      </c>
      <c r="R206">
        <v>6073106.0896514002</v>
      </c>
      <c r="S206">
        <v>6073106.0896514002</v>
      </c>
      <c r="T206">
        <v>5772416.41736113</v>
      </c>
      <c r="U206">
        <v>2369575.5206776401</v>
      </c>
      <c r="V206">
        <v>45113640.236073002</v>
      </c>
      <c r="W206">
        <v>7731008.2213580199</v>
      </c>
      <c r="X206">
        <v>0.27350207485904898</v>
      </c>
      <c r="Y206">
        <v>68378331.709110007</v>
      </c>
      <c r="Z206">
        <v>31224672.433555201</v>
      </c>
      <c r="AA206">
        <v>0.79436860323593705</v>
      </c>
      <c r="AB206">
        <v>35583891.312741302</v>
      </c>
      <c r="AC206">
        <v>20535717.818443701</v>
      </c>
      <c r="AD206">
        <v>28266726.039801698</v>
      </c>
      <c r="AE206">
        <v>-56128404.838616997</v>
      </c>
      <c r="AF206">
        <v>-2956024.3453194001</v>
      </c>
      <c r="AG206">
        <v>5.5594999999999999E-2</v>
      </c>
      <c r="AH206">
        <v>-170405601.03887799</v>
      </c>
      <c r="AI206">
        <v>76338312.669628203</v>
      </c>
      <c r="AJ206">
        <v>0.06</v>
      </c>
      <c r="AK206">
        <v>0.05</v>
      </c>
      <c r="AL206">
        <v>8.8099999999999998E-2</v>
      </c>
      <c r="AM206">
        <v>3.8100000000000002E-2</v>
      </c>
      <c r="AN206">
        <v>0.89</v>
      </c>
      <c r="AO206">
        <v>0.66</v>
      </c>
      <c r="AP206">
        <v>0.42970000000000003</v>
      </c>
      <c r="AQ206">
        <v>0.57030000000000003</v>
      </c>
      <c r="AR206">
        <v>8.9999999999999993E-3</v>
      </c>
      <c r="AS206">
        <v>0.5</v>
      </c>
      <c r="AT206">
        <v>1.82</v>
      </c>
      <c r="AU206">
        <v>6.3545217126973294E-2</v>
      </c>
      <c r="AV206">
        <v>0.7893</v>
      </c>
      <c r="AW206">
        <v>3</v>
      </c>
      <c r="AX206">
        <v>0.05</v>
      </c>
      <c r="AY206">
        <v>1</v>
      </c>
      <c r="AZ206">
        <v>1</v>
      </c>
      <c r="BA206" s="2">
        <f>modelo_tese_H__2[[#This Row],[Vw]]+modelo_tese_H__2[[#This Row],[Vr]]+modelo_tese_H__2[[#This Row],[K]]-modelo_tese_H__2[[#This Row],[E]]</f>
        <v>-56913629.093694985</v>
      </c>
      <c r="BB206" s="2">
        <f>modelo_tese_H__2[[#This Row],[K]]-modelo_tese_H__2[[#This Row],[Coluna1]]</f>
        <v>125291960.80280499</v>
      </c>
      <c r="BC206">
        <f>modelo_tese_H__2[[#This Row],[Coluna2]]/modelo_tese_H__2[[#This Row],[Coluna1]]</f>
        <v>-2.2014403719808673</v>
      </c>
      <c r="BD206" s="8">
        <f>modelo_tese_H__2[[#This Row],[D]]-modelo_tese_H__2[[#This Row],[Dw]]-modelo_tese_H__2[[#This Row],[Dr]]</f>
        <v>0</v>
      </c>
    </row>
    <row r="207" spans="1:56" x14ac:dyDescent="0.25">
      <c r="A207">
        <v>206</v>
      </c>
      <c r="B207">
        <v>206</v>
      </c>
      <c r="C207">
        <v>17019408.844479199</v>
      </c>
      <c r="D207">
        <v>7805747.2983288197</v>
      </c>
      <c r="E207">
        <v>6947115.09551265</v>
      </c>
      <c r="F207">
        <v>890644.93436085503</v>
      </c>
      <c r="G207">
        <v>24760013.7827297</v>
      </c>
      <c r="H207">
        <v>5589342.2013603002</v>
      </c>
      <c r="I207">
        <v>13427102.2312338</v>
      </c>
      <c r="J207">
        <v>10037264.1000631</v>
      </c>
      <c r="K207">
        <v>62971147.517610498</v>
      </c>
      <c r="L207">
        <v>-5621354.9329049801</v>
      </c>
      <c r="M207">
        <v>73008411.617673606</v>
      </c>
      <c r="N207">
        <v>-106863400.007595</v>
      </c>
      <c r="O207">
        <v>12505057.466025099</v>
      </c>
      <c r="P207">
        <v>8253337.9275765801</v>
      </c>
      <c r="Q207">
        <v>12823496.3711603</v>
      </c>
      <c r="R207">
        <v>6411748.1855801595</v>
      </c>
      <c r="S207">
        <v>6411748.1855801595</v>
      </c>
      <c r="T207">
        <v>6093309.2804449704</v>
      </c>
      <c r="U207">
        <v>2501002.6671995302</v>
      </c>
      <c r="V207">
        <v>47614642.903272502</v>
      </c>
      <c r="W207">
        <v>8162465.0568291703</v>
      </c>
      <c r="X207">
        <v>0.27351442488084499</v>
      </c>
      <c r="Y207">
        <v>72195680.830703601</v>
      </c>
      <c r="Z207">
        <v>32975389.304804198</v>
      </c>
      <c r="AA207">
        <v>0.79431723668724397</v>
      </c>
      <c r="AB207">
        <v>37570511.928082399</v>
      </c>
      <c r="AC207">
        <v>21680440.158810399</v>
      </c>
      <c r="AD207">
        <v>29842905.215639599</v>
      </c>
      <c r="AE207">
        <v>-59248757.104322501</v>
      </c>
      <c r="AF207">
        <v>-3120352.26570545</v>
      </c>
      <c r="AG207">
        <v>5.5594999999999999E-2</v>
      </c>
      <c r="AH207">
        <v>-179871811.625269</v>
      </c>
      <c r="AI207">
        <v>80590032.208076805</v>
      </c>
      <c r="AJ207">
        <v>0.06</v>
      </c>
      <c r="AK207">
        <v>0.05</v>
      </c>
      <c r="AL207">
        <v>8.8099999999999998E-2</v>
      </c>
      <c r="AM207">
        <v>3.8100000000000002E-2</v>
      </c>
      <c r="AN207">
        <v>0.89</v>
      </c>
      <c r="AO207">
        <v>0.66</v>
      </c>
      <c r="AP207">
        <v>0.42970000000000003</v>
      </c>
      <c r="AQ207">
        <v>0.57030000000000003</v>
      </c>
      <c r="AR207">
        <v>8.9999999999999993E-3</v>
      </c>
      <c r="AS207">
        <v>0.5</v>
      </c>
      <c r="AT207">
        <v>1.82</v>
      </c>
      <c r="AU207">
        <v>6.3545217126973294E-2</v>
      </c>
      <c r="AV207">
        <v>0.7893</v>
      </c>
      <c r="AW207">
        <v>3</v>
      </c>
      <c r="AX207">
        <v>0.05</v>
      </c>
      <c r="AY207">
        <v>1</v>
      </c>
      <c r="AZ207">
        <v>1</v>
      </c>
      <c r="BA207" s="2">
        <f>modelo_tese_H__2[[#This Row],[Vw]]+modelo_tese_H__2[[#This Row],[Vr]]+modelo_tese_H__2[[#This Row],[K]]-modelo_tese_H__2[[#This Row],[E]]</f>
        <v>-60061487.891292788</v>
      </c>
      <c r="BB207" s="2">
        <f>modelo_tese_H__2[[#This Row],[K]]-modelo_tese_H__2[[#This Row],[Coluna1]]</f>
        <v>132257168.7219964</v>
      </c>
      <c r="BC207">
        <f>modelo_tese_H__2[[#This Row],[Coluna2]]/modelo_tese_H__2[[#This Row],[Coluna1]]</f>
        <v>-2.2020295095148641</v>
      </c>
      <c r="BD207" s="8">
        <f>modelo_tese_H__2[[#This Row],[D]]-modelo_tese_H__2[[#This Row],[Dw]]-modelo_tese_H__2[[#This Row],[Dr]]</f>
        <v>0</v>
      </c>
    </row>
    <row r="208" spans="1:56" x14ac:dyDescent="0.25">
      <c r="A208">
        <v>207</v>
      </c>
      <c r="B208">
        <v>207</v>
      </c>
      <c r="C208">
        <v>17968399.005491599</v>
      </c>
      <c r="D208">
        <v>8242542.5013879295</v>
      </c>
      <c r="E208">
        <v>7335862.8262352599</v>
      </c>
      <c r="F208">
        <v>940135.93275541405</v>
      </c>
      <c r="G208">
        <v>26138581.4813435</v>
      </c>
      <c r="H208">
        <v>5900081.6810449203</v>
      </c>
      <c r="I208">
        <v>14176080.4400356</v>
      </c>
      <c r="J208">
        <v>10594980.270606101</v>
      </c>
      <c r="K208">
        <v>66472028.4782345</v>
      </c>
      <c r="L208">
        <v>-5933537.9386476697</v>
      </c>
      <c r="M208">
        <v>77067008.7488406</v>
      </c>
      <c r="N208">
        <v>-112796937.946243</v>
      </c>
      <c r="O208">
        <v>13201303.7784563</v>
      </c>
      <c r="P208">
        <v>8712860.4937811792</v>
      </c>
      <c r="Q208">
        <v>13538525.4298786</v>
      </c>
      <c r="R208">
        <v>6769262.7149392897</v>
      </c>
      <c r="S208">
        <v>6769262.7149392897</v>
      </c>
      <c r="T208">
        <v>6432041.0635170499</v>
      </c>
      <c r="U208">
        <v>2639722.4980610302</v>
      </c>
      <c r="V208">
        <v>50254365.4013336</v>
      </c>
      <c r="W208">
        <v>8617983.5015534107</v>
      </c>
      <c r="X208">
        <v>0.27352665028385897</v>
      </c>
      <c r="Y208">
        <v>76225974.118240207</v>
      </c>
      <c r="Z208">
        <v>34824110.0914184</v>
      </c>
      <c r="AA208">
        <v>0.79426638564210295</v>
      </c>
      <c r="AB208">
        <v>39667956.500386603</v>
      </c>
      <c r="AC208">
        <v>22888940.933816802</v>
      </c>
      <c r="AD208">
        <v>31506924.435370199</v>
      </c>
      <c r="AE208">
        <v>-62542572.544909097</v>
      </c>
      <c r="AF208">
        <v>-3293815.4405866298</v>
      </c>
      <c r="AG208">
        <v>5.5594999999999999E-2</v>
      </c>
      <c r="AH208">
        <v>-189863946.69508299</v>
      </c>
      <c r="AI208">
        <v>85078475.492751896</v>
      </c>
      <c r="AJ208">
        <v>0.06</v>
      </c>
      <c r="AK208">
        <v>0.05</v>
      </c>
      <c r="AL208">
        <v>8.8099999999999998E-2</v>
      </c>
      <c r="AM208">
        <v>3.8100000000000002E-2</v>
      </c>
      <c r="AN208">
        <v>0.89</v>
      </c>
      <c r="AO208">
        <v>0.66</v>
      </c>
      <c r="AP208">
        <v>0.42970000000000003</v>
      </c>
      <c r="AQ208">
        <v>0.57030000000000003</v>
      </c>
      <c r="AR208">
        <v>8.9999999999999993E-3</v>
      </c>
      <c r="AS208">
        <v>0.5</v>
      </c>
      <c r="AT208">
        <v>1.82</v>
      </c>
      <c r="AU208">
        <v>6.3545217126973294E-2</v>
      </c>
      <c r="AV208">
        <v>0.7893</v>
      </c>
      <c r="AW208">
        <v>3</v>
      </c>
      <c r="AX208">
        <v>0.05</v>
      </c>
      <c r="AY208">
        <v>1</v>
      </c>
      <c r="AZ208">
        <v>1</v>
      </c>
      <c r="BA208" s="2">
        <f>modelo_tese_H__2[[#This Row],[Vw]]+modelo_tese_H__2[[#This Row],[Vr]]+modelo_tese_H__2[[#This Row],[K]]-modelo_tese_H__2[[#This Row],[E]]</f>
        <v>-63383607.175509289</v>
      </c>
      <c r="BB208" s="2">
        <f>modelo_tese_H__2[[#This Row],[K]]-modelo_tese_H__2[[#This Row],[Coluna1]]</f>
        <v>139609581.29374951</v>
      </c>
      <c r="BC208">
        <f>modelo_tese_H__2[[#This Row],[Coluna2]]/modelo_tese_H__2[[#This Row],[Coluna1]]</f>
        <v>-2.2026133808883803</v>
      </c>
      <c r="BD208" s="8">
        <f>modelo_tese_H__2[[#This Row],[D]]-modelo_tese_H__2[[#This Row],[Dw]]-modelo_tese_H__2[[#This Row],[Dr]]</f>
        <v>3.0547380447387695E-7</v>
      </c>
    </row>
    <row r="209" spans="1:56" x14ac:dyDescent="0.25">
      <c r="A209">
        <v>208</v>
      </c>
      <c r="B209">
        <v>208</v>
      </c>
      <c r="C209">
        <v>18970274.854402099</v>
      </c>
      <c r="D209">
        <v>8703749.66432813</v>
      </c>
      <c r="E209">
        <v>7746337.2012520405</v>
      </c>
      <c r="F209">
        <v>992377.27771252696</v>
      </c>
      <c r="G209">
        <v>27593882.7555026</v>
      </c>
      <c r="H209">
        <v>6228096.7221026197</v>
      </c>
      <c r="I209">
        <v>14966811.2010672</v>
      </c>
      <c r="J209">
        <v>11183688.800008601</v>
      </c>
      <c r="K209">
        <v>70167540.915316299</v>
      </c>
      <c r="L209">
        <v>-6263061.5367390504</v>
      </c>
      <c r="M209">
        <v>81351229.715324894</v>
      </c>
      <c r="N209">
        <v>-119059999.48298199</v>
      </c>
      <c r="O209">
        <v>13936304.421971001</v>
      </c>
      <c r="P209">
        <v>9197960.9185008593</v>
      </c>
      <c r="Q209">
        <v>14293401.902396301</v>
      </c>
      <c r="R209">
        <v>7146700.9511981402</v>
      </c>
      <c r="S209">
        <v>7146700.9511981402</v>
      </c>
      <c r="T209">
        <v>6789603.4707728596</v>
      </c>
      <c r="U209">
        <v>2786139.8174379002</v>
      </c>
      <c r="V209">
        <v>53040505.218771502</v>
      </c>
      <c r="W209">
        <v>9098904.6372303795</v>
      </c>
      <c r="X209">
        <v>0.27353875230797497</v>
      </c>
      <c r="Y209">
        <v>80481082.679412007</v>
      </c>
      <c r="Z209">
        <v>36776313.777450599</v>
      </c>
      <c r="AA209">
        <v>0.794216045090678</v>
      </c>
      <c r="AB209">
        <v>41882403.361670502</v>
      </c>
      <c r="AC209">
        <v>24164772.119568001</v>
      </c>
      <c r="AD209">
        <v>33263676.756798401</v>
      </c>
      <c r="AE209">
        <v>-66019494.264210202</v>
      </c>
      <c r="AF209">
        <v>-3476921.7193011399</v>
      </c>
      <c r="AG209">
        <v>5.5594999999999999E-2</v>
      </c>
      <c r="AH209">
        <v>-200411229.19830701</v>
      </c>
      <c r="AI209">
        <v>89816818.996222094</v>
      </c>
      <c r="AJ209">
        <v>0.06</v>
      </c>
      <c r="AK209">
        <v>0.05</v>
      </c>
      <c r="AL209">
        <v>8.8099999999999998E-2</v>
      </c>
      <c r="AM209">
        <v>3.8100000000000002E-2</v>
      </c>
      <c r="AN209">
        <v>0.89</v>
      </c>
      <c r="AO209">
        <v>0.66</v>
      </c>
      <c r="AP209">
        <v>0.42970000000000003</v>
      </c>
      <c r="AQ209">
        <v>0.57030000000000003</v>
      </c>
      <c r="AR209">
        <v>8.9999999999999993E-3</v>
      </c>
      <c r="AS209">
        <v>0.5</v>
      </c>
      <c r="AT209">
        <v>1.82</v>
      </c>
      <c r="AU209">
        <v>6.3545217126973294E-2</v>
      </c>
      <c r="AV209">
        <v>0.7893</v>
      </c>
      <c r="AW209">
        <v>3</v>
      </c>
      <c r="AX209">
        <v>0.05</v>
      </c>
      <c r="AY209">
        <v>1</v>
      </c>
      <c r="AZ209">
        <v>1</v>
      </c>
      <c r="BA209" s="2">
        <f>modelo_tese_H__2[[#This Row],[Vw]]+modelo_tese_H__2[[#This Row],[Vr]]+modelo_tese_H__2[[#This Row],[K]]-modelo_tese_H__2[[#This Row],[E]]</f>
        <v>-66889641.300123505</v>
      </c>
      <c r="BB209" s="2">
        <f>modelo_tese_H__2[[#This Row],[K]]-modelo_tese_H__2[[#This Row],[Coluna1]]</f>
        <v>147370723.97953552</v>
      </c>
      <c r="BC209">
        <f>modelo_tese_H__2[[#This Row],[Coluna2]]/modelo_tese_H__2[[#This Row],[Coluna1]]</f>
        <v>-2.2031920206942925</v>
      </c>
      <c r="BD209" s="8">
        <f>modelo_tese_H__2[[#This Row],[D]]-modelo_tese_H__2[[#This Row],[Dw]]-modelo_tese_H__2[[#This Row],[Dr]]</f>
        <v>2.905726432800293E-7</v>
      </c>
    </row>
    <row r="210" spans="1:56" x14ac:dyDescent="0.25">
      <c r="A210">
        <v>209</v>
      </c>
      <c r="B210">
        <v>209</v>
      </c>
      <c r="C210">
        <v>20027982.287109502</v>
      </c>
      <c r="D210">
        <v>9190731.76525262</v>
      </c>
      <c r="E210">
        <v>8179751.2710748296</v>
      </c>
      <c r="F210">
        <v>1047521.82482103</v>
      </c>
      <c r="G210">
        <v>29130187.767495401</v>
      </c>
      <c r="H210">
        <v>6574347.7593679102</v>
      </c>
      <c r="I210">
        <v>15801620.855263799</v>
      </c>
      <c r="J210">
        <v>11805112.0815493</v>
      </c>
      <c r="K210">
        <v>74068505.365810707</v>
      </c>
      <c r="L210">
        <v>-6610889.0900111496</v>
      </c>
      <c r="M210">
        <v>85873617.447359994</v>
      </c>
      <c r="N210">
        <v>-125670888.572993</v>
      </c>
      <c r="O210">
        <v>14712216.0441896</v>
      </c>
      <c r="P210">
        <v>9710062.5891651195</v>
      </c>
      <c r="Q210">
        <v>15090345.412538899</v>
      </c>
      <c r="R210">
        <v>7545172.7062694496</v>
      </c>
      <c r="S210">
        <v>7545172.7062694496</v>
      </c>
      <c r="T210">
        <v>7167043.33792012</v>
      </c>
      <c r="U210">
        <v>2940681.9060744499</v>
      </c>
      <c r="V210">
        <v>55981187.1248459</v>
      </c>
      <c r="W210">
        <v>9606644.2552194595</v>
      </c>
      <c r="X210">
        <v>0.27355073218123999</v>
      </c>
      <c r="Y210">
        <v>84973539.061154306</v>
      </c>
      <c r="Z210">
        <v>38837785.3264006</v>
      </c>
      <c r="AA210">
        <v>0.79416621006404897</v>
      </c>
      <c r="AB210">
        <v>44220375.098577999</v>
      </c>
      <c r="AC210">
        <v>25511683.444428898</v>
      </c>
      <c r="AD210">
        <v>35118327.699648403</v>
      </c>
      <c r="AE210">
        <v>-69689701.448146895</v>
      </c>
      <c r="AF210">
        <v>-3670207.1839367002</v>
      </c>
      <c r="AG210">
        <v>5.5594999999999999E-2</v>
      </c>
      <c r="AH210">
        <v>-211544506.02035299</v>
      </c>
      <c r="AI210">
        <v>94818972.4512465</v>
      </c>
      <c r="AJ210">
        <v>0.06</v>
      </c>
      <c r="AK210">
        <v>0.05</v>
      </c>
      <c r="AL210">
        <v>8.8099999999999998E-2</v>
      </c>
      <c r="AM210">
        <v>3.8100000000000002E-2</v>
      </c>
      <c r="AN210">
        <v>0.89</v>
      </c>
      <c r="AO210">
        <v>0.66</v>
      </c>
      <c r="AP210">
        <v>0.42970000000000003</v>
      </c>
      <c r="AQ210">
        <v>0.57030000000000003</v>
      </c>
      <c r="AR210">
        <v>8.9999999999999993E-3</v>
      </c>
      <c r="AS210">
        <v>0.5</v>
      </c>
      <c r="AT210">
        <v>1.82</v>
      </c>
      <c r="AU210">
        <v>6.3545217126973294E-2</v>
      </c>
      <c r="AV210">
        <v>0.7893</v>
      </c>
      <c r="AW210">
        <v>3</v>
      </c>
      <c r="AX210">
        <v>0.05</v>
      </c>
      <c r="AY210">
        <v>1</v>
      </c>
      <c r="AZ210">
        <v>1</v>
      </c>
      <c r="BA210" s="2">
        <f>modelo_tese_H__2[[#This Row],[Vw]]+modelo_tese_H__2[[#This Row],[Vr]]+modelo_tese_H__2[[#This Row],[K]]-modelo_tese_H__2[[#This Row],[E]]</f>
        <v>-70589779.834352791</v>
      </c>
      <c r="BB210" s="2">
        <f>modelo_tese_H__2[[#This Row],[K]]-modelo_tese_H__2[[#This Row],[Coluna1]]</f>
        <v>155563318.8955071</v>
      </c>
      <c r="BC210">
        <f>modelo_tese_H__2[[#This Row],[Coluna2]]/modelo_tese_H__2[[#This Row],[Coluna1]]</f>
        <v>-2.2037654637902921</v>
      </c>
      <c r="BD210" s="8">
        <f>modelo_tese_H__2[[#This Row],[D]]-modelo_tese_H__2[[#This Row],[Dw]]-modelo_tese_H__2[[#This Row],[Dr]]</f>
        <v>2.0116567611694336E-7</v>
      </c>
    </row>
    <row r="211" spans="1:56" x14ac:dyDescent="0.25">
      <c r="A211">
        <v>210</v>
      </c>
      <c r="B211">
        <v>210</v>
      </c>
      <c r="C211">
        <v>21144631.234275799</v>
      </c>
      <c r="D211">
        <v>9704927.8182842098</v>
      </c>
      <c r="E211">
        <v>8637385.7582729496</v>
      </c>
      <c r="F211">
        <v>1105730.9254249299</v>
      </c>
      <c r="G211">
        <v>30752004.266771499</v>
      </c>
      <c r="H211">
        <v>6939848.6230499698</v>
      </c>
      <c r="I211">
        <v>16682965.3067478</v>
      </c>
      <c r="J211">
        <v>12461068.236667201</v>
      </c>
      <c r="K211">
        <v>78186343.934423298</v>
      </c>
      <c r="L211">
        <v>-6978037.48846363</v>
      </c>
      <c r="M211">
        <v>90647412.171090499</v>
      </c>
      <c r="N211">
        <v>-132648926.06145699</v>
      </c>
      <c r="O211">
        <v>15531315.2862482</v>
      </c>
      <c r="P211">
        <v>10250668.088923801</v>
      </c>
      <c r="Q211">
        <v>15931699.1782717</v>
      </c>
      <c r="R211">
        <v>7965849.5891358303</v>
      </c>
      <c r="S211">
        <v>7965849.5891358303</v>
      </c>
      <c r="T211">
        <v>7565465.6971124103</v>
      </c>
      <c r="U211">
        <v>3103799.7695844299</v>
      </c>
      <c r="V211">
        <v>59084986.894430399</v>
      </c>
      <c r="W211">
        <v>10142697.0168758</v>
      </c>
      <c r="X211">
        <v>0.27356259111994902</v>
      </c>
      <c r="Y211">
        <v>89716574.088341698</v>
      </c>
      <c r="Z211">
        <v>41014632.754140601</v>
      </c>
      <c r="AA211">
        <v>0.79411687563433997</v>
      </c>
      <c r="AB211">
        <v>46688757.725909002</v>
      </c>
      <c r="AC211">
        <v>26933633.395671699</v>
      </c>
      <c r="AD211">
        <v>37076330.412547499</v>
      </c>
      <c r="AE211">
        <v>-73563939.167026103</v>
      </c>
      <c r="AF211">
        <v>-3874237.7188792001</v>
      </c>
      <c r="AG211">
        <v>5.5594999999999999E-2</v>
      </c>
      <c r="AH211">
        <v>-223296338.23254699</v>
      </c>
      <c r="AI211">
        <v>100099619.648571</v>
      </c>
      <c r="AJ211">
        <v>0.06</v>
      </c>
      <c r="AK211">
        <v>0.05</v>
      </c>
      <c r="AL211">
        <v>8.8099999999999998E-2</v>
      </c>
      <c r="AM211">
        <v>3.8100000000000002E-2</v>
      </c>
      <c r="AN211">
        <v>0.89</v>
      </c>
      <c r="AO211">
        <v>0.66</v>
      </c>
      <c r="AP211">
        <v>0.42970000000000003</v>
      </c>
      <c r="AQ211">
        <v>0.57030000000000003</v>
      </c>
      <c r="AR211">
        <v>8.9999999999999993E-3</v>
      </c>
      <c r="AS211">
        <v>0.5</v>
      </c>
      <c r="AT211">
        <v>1.82</v>
      </c>
      <c r="AU211">
        <v>6.3545217126973294E-2</v>
      </c>
      <c r="AV211">
        <v>0.7893</v>
      </c>
      <c r="AW211">
        <v>3</v>
      </c>
      <c r="AX211">
        <v>0.05</v>
      </c>
      <c r="AY211">
        <v>1</v>
      </c>
      <c r="AZ211">
        <v>1</v>
      </c>
      <c r="BA211" s="2">
        <f>modelo_tese_H__2[[#This Row],[Vw]]+modelo_tese_H__2[[#This Row],[Vr]]+modelo_tese_H__2[[#This Row],[K]]-modelo_tese_H__2[[#This Row],[E]]</f>
        <v>-74494777.249774888</v>
      </c>
      <c r="BB211" s="2">
        <f>modelo_tese_H__2[[#This Row],[K]]-modelo_tese_H__2[[#This Row],[Coluna1]]</f>
        <v>164211351.33811659</v>
      </c>
      <c r="BC211">
        <f>modelo_tese_H__2[[#This Row],[Coluna2]]/modelo_tese_H__2[[#This Row],[Coluna1]]</f>
        <v>-2.2043337452708847</v>
      </c>
      <c r="BD211" s="8">
        <f>modelo_tese_H__2[[#This Row],[D]]-modelo_tese_H__2[[#This Row],[Dw]]-modelo_tese_H__2[[#This Row],[Dr]]</f>
        <v>4.9173831939697266E-7</v>
      </c>
    </row>
    <row r="212" spans="1:56" x14ac:dyDescent="0.25">
      <c r="A212">
        <v>211</v>
      </c>
      <c r="B212">
        <v>211</v>
      </c>
      <c r="C212">
        <v>22323504.7924399</v>
      </c>
      <c r="D212">
        <v>10247857.1125488</v>
      </c>
      <c r="E212">
        <v>9120592.8301684093</v>
      </c>
      <c r="F212">
        <v>1167174.8988435899</v>
      </c>
      <c r="G212">
        <v>32464090.8070402</v>
      </c>
      <c r="H212">
        <v>7325669.5072484296</v>
      </c>
      <c r="I212">
        <v>17613437.236260399</v>
      </c>
      <c r="J212">
        <v>13153476.4356937</v>
      </c>
      <c r="K212">
        <v>82533113.7377702</v>
      </c>
      <c r="L212">
        <v>-7365580.1237116596</v>
      </c>
      <c r="M212">
        <v>95686590.173463896</v>
      </c>
      <c r="N212">
        <v>-140014506.185168</v>
      </c>
      <c r="O212">
        <v>16396005.458101099</v>
      </c>
      <c r="P212">
        <v>10821363.6023467</v>
      </c>
      <c r="Q212">
        <v>16819936.891656</v>
      </c>
      <c r="R212">
        <v>8409968.4458280206</v>
      </c>
      <c r="S212">
        <v>8409968.4458280206</v>
      </c>
      <c r="T212">
        <v>7986037.0122730704</v>
      </c>
      <c r="U212">
        <v>3275969.4560935702</v>
      </c>
      <c r="V212">
        <v>62360956.350523897</v>
      </c>
      <c r="W212">
        <v>10708640.8454888</v>
      </c>
      <c r="X212">
        <v>0.27357433032874601</v>
      </c>
      <c r="Y212">
        <v>94724155.753498703</v>
      </c>
      <c r="Z212">
        <v>43313305.153801396</v>
      </c>
      <c r="AA212">
        <v>0.79406803691484396</v>
      </c>
      <c r="AB212">
        <v>49294820.927660301</v>
      </c>
      <c r="AC212">
        <v>28434800.838607199</v>
      </c>
      <c r="AD212">
        <v>39143441.684096001</v>
      </c>
      <c r="AE212">
        <v>-77653549.834644198</v>
      </c>
      <c r="AF212">
        <v>-4089610.66761808</v>
      </c>
      <c r="AG212">
        <v>5.5594999999999999E-2</v>
      </c>
      <c r="AH212">
        <v>-235701096.358632</v>
      </c>
      <c r="AI212">
        <v>105674261.504325</v>
      </c>
      <c r="AJ212">
        <v>0.06</v>
      </c>
      <c r="AK212">
        <v>0.05</v>
      </c>
      <c r="AL212">
        <v>8.8099999999999998E-2</v>
      </c>
      <c r="AM212">
        <v>3.8100000000000002E-2</v>
      </c>
      <c r="AN212">
        <v>0.89</v>
      </c>
      <c r="AO212">
        <v>0.66</v>
      </c>
      <c r="AP212">
        <v>0.42970000000000003</v>
      </c>
      <c r="AQ212">
        <v>0.57030000000000003</v>
      </c>
      <c r="AR212">
        <v>8.9999999999999993E-3</v>
      </c>
      <c r="AS212">
        <v>0.5</v>
      </c>
      <c r="AT212">
        <v>1.82</v>
      </c>
      <c r="AU212">
        <v>6.3545217126973294E-2</v>
      </c>
      <c r="AV212">
        <v>0.7893</v>
      </c>
      <c r="AW212">
        <v>3</v>
      </c>
      <c r="AX212">
        <v>0.05</v>
      </c>
      <c r="AY212">
        <v>1</v>
      </c>
      <c r="AZ212">
        <v>1</v>
      </c>
      <c r="BA212" s="2">
        <f>modelo_tese_H__2[[#This Row],[Vw]]+modelo_tese_H__2[[#This Row],[Vr]]+modelo_tese_H__2[[#This Row],[K]]-modelo_tese_H__2[[#This Row],[E]]</f>
        <v>-78615984.254609689</v>
      </c>
      <c r="BB212" s="2">
        <f>modelo_tese_H__2[[#This Row],[K]]-modelo_tese_H__2[[#This Row],[Coluna1]]</f>
        <v>173340140.00810838</v>
      </c>
      <c r="BC212">
        <f>modelo_tese_H__2[[#This Row],[Coluna2]]/modelo_tese_H__2[[#This Row],[Coluna1]]</f>
        <v>-2.2048969004410131</v>
      </c>
      <c r="BD212" s="8">
        <f>modelo_tese_H__2[[#This Row],[D]]-modelo_tese_H__2[[#This Row],[Dw]]-modelo_tese_H__2[[#This Row],[Dr]]</f>
        <v>-9.6857547760009766E-8</v>
      </c>
    </row>
    <row r="213" spans="1:56" x14ac:dyDescent="0.25">
      <c r="A213">
        <v>212</v>
      </c>
      <c r="B213">
        <v>212</v>
      </c>
      <c r="C213">
        <v>23568068.863294698</v>
      </c>
      <c r="D213">
        <v>10821123.687353101</v>
      </c>
      <c r="E213">
        <v>9630800.0817443002</v>
      </c>
      <c r="F213">
        <v>1232033.5308403701</v>
      </c>
      <c r="G213">
        <v>34271470.6985517</v>
      </c>
      <c r="H213">
        <v>7732940.1035039099</v>
      </c>
      <c r="I213">
        <v>18595773.7160886</v>
      </c>
      <c r="J213">
        <v>13884362.5143342</v>
      </c>
      <c r="K213">
        <v>87121542.207865104</v>
      </c>
      <c r="L213">
        <v>-7774650.02873543</v>
      </c>
      <c r="M213">
        <v>101005904.72219899</v>
      </c>
      <c r="N213">
        <v>-147789156.21390399</v>
      </c>
      <c r="O213">
        <v>17308823.5851271</v>
      </c>
      <c r="P213">
        <v>11423823.5661839</v>
      </c>
      <c r="Q213">
        <v>17757669.9816899</v>
      </c>
      <c r="R213">
        <v>8878834.9908449296</v>
      </c>
      <c r="S213">
        <v>8878834.9908449296</v>
      </c>
      <c r="T213">
        <v>8429988.5942821708</v>
      </c>
      <c r="U213">
        <v>3457693.4470760599</v>
      </c>
      <c r="V213">
        <v>65818649.797600001</v>
      </c>
      <c r="W213">
        <v>11306141.562712099</v>
      </c>
      <c r="X213">
        <v>0.27358595100071198</v>
      </c>
      <c r="Y213">
        <v>100011030.271685</v>
      </c>
      <c r="Z213">
        <v>45740611.725668497</v>
      </c>
      <c r="AA213">
        <v>0.79401968906008302</v>
      </c>
      <c r="AB213">
        <v>52046239.424999297</v>
      </c>
      <c r="AC213">
        <v>30019597.282272499</v>
      </c>
      <c r="AD213">
        <v>41325738.844984598</v>
      </c>
      <c r="AE213">
        <v>-81970506.416303605</v>
      </c>
      <c r="AF213">
        <v>-4316956.5816593701</v>
      </c>
      <c r="AG213">
        <v>5.5594999999999999E-2</v>
      </c>
      <c r="AH213">
        <v>-248795060.93610299</v>
      </c>
      <c r="AI213">
        <v>111559261.523269</v>
      </c>
      <c r="AJ213">
        <v>0.06</v>
      </c>
      <c r="AK213">
        <v>0.05</v>
      </c>
      <c r="AL213">
        <v>8.8099999999999998E-2</v>
      </c>
      <c r="AM213">
        <v>3.8100000000000002E-2</v>
      </c>
      <c r="AN213">
        <v>0.89</v>
      </c>
      <c r="AO213">
        <v>0.66</v>
      </c>
      <c r="AP213">
        <v>0.42970000000000003</v>
      </c>
      <c r="AQ213">
        <v>0.57030000000000003</v>
      </c>
      <c r="AR213">
        <v>8.9999999999999993E-3</v>
      </c>
      <c r="AS213">
        <v>0.5</v>
      </c>
      <c r="AT213">
        <v>1.82</v>
      </c>
      <c r="AU213">
        <v>6.3545217126973294E-2</v>
      </c>
      <c r="AV213">
        <v>0.7893</v>
      </c>
      <c r="AW213">
        <v>3</v>
      </c>
      <c r="AX213">
        <v>0.05</v>
      </c>
      <c r="AY213">
        <v>1</v>
      </c>
      <c r="AZ213">
        <v>1</v>
      </c>
      <c r="BA213" s="2">
        <f>modelo_tese_H__2[[#This Row],[Vw]]+modelo_tese_H__2[[#This Row],[Vr]]+modelo_tese_H__2[[#This Row],[K]]-modelo_tese_H__2[[#This Row],[E]]</f>
        <v>-82965380.866817474</v>
      </c>
      <c r="BB213" s="2">
        <f>modelo_tese_H__2[[#This Row],[K]]-modelo_tese_H__2[[#This Row],[Coluna1]]</f>
        <v>182976411.13850248</v>
      </c>
      <c r="BC213">
        <f>modelo_tese_H__2[[#This Row],[Coluna2]]/modelo_tese_H__2[[#This Row],[Coluna1]]</f>
        <v>-2.205454964791044</v>
      </c>
      <c r="BD213" s="8">
        <f>modelo_tese_H__2[[#This Row],[D]]-modelo_tese_H__2[[#This Row],[Dw]]-modelo_tese_H__2[[#This Row],[Dr]]</f>
        <v>3.8743019104003906E-7</v>
      </c>
    </row>
    <row r="214" spans="1:56" x14ac:dyDescent="0.25">
      <c r="A214">
        <v>213</v>
      </c>
      <c r="B214">
        <v>213</v>
      </c>
      <c r="C214">
        <v>24881982.329406898</v>
      </c>
      <c r="D214">
        <v>11426421.056714101</v>
      </c>
      <c r="E214">
        <v>10169514.7404755</v>
      </c>
      <c r="F214">
        <v>1300496.5997989301</v>
      </c>
      <c r="G214">
        <v>36179446.736454003</v>
      </c>
      <c r="H214">
        <v>8162852.9085582104</v>
      </c>
      <c r="I214">
        <v>19632864.248832699</v>
      </c>
      <c r="J214">
        <v>14655864.902337</v>
      </c>
      <c r="K214">
        <v>91965064.358303607</v>
      </c>
      <c r="L214">
        <v>-8206443.1921185898</v>
      </c>
      <c r="M214">
        <v>106620929.26064099</v>
      </c>
      <c r="N214">
        <v>-155995599.40602201</v>
      </c>
      <c r="O214">
        <v>18272447.846694</v>
      </c>
      <c r="P214">
        <v>12059815.578818001</v>
      </c>
      <c r="Q214">
        <v>18747655.281336401</v>
      </c>
      <c r="R214">
        <v>9373827.6406682003</v>
      </c>
      <c r="S214">
        <v>9373827.6406682003</v>
      </c>
      <c r="T214">
        <v>8898620.2060257606</v>
      </c>
      <c r="U214">
        <v>3649502.1254515098</v>
      </c>
      <c r="V214">
        <v>69468151.923051506</v>
      </c>
      <c r="W214">
        <v>11936957.783092599</v>
      </c>
      <c r="X214">
        <v>0.27359745431746102</v>
      </c>
      <c r="Y214">
        <v>105592765.42107201</v>
      </c>
      <c r="Z214">
        <v>48303741.868092999</v>
      </c>
      <c r="AA214">
        <v>0.79397182726587501</v>
      </c>
      <c r="AB214">
        <v>54951115.533893101</v>
      </c>
      <c r="AC214">
        <v>31692679.8276507</v>
      </c>
      <c r="AD214">
        <v>43629637.610743299</v>
      </c>
      <c r="AE214">
        <v>-86527447.4829707</v>
      </c>
      <c r="AF214">
        <v>-4556941.0666670799</v>
      </c>
      <c r="AG214">
        <v>5.5594999999999999E-2</v>
      </c>
      <c r="AH214">
        <v>-262616528.66666299</v>
      </c>
      <c r="AI214">
        <v>117771893.791144</v>
      </c>
      <c r="AJ214">
        <v>0.06</v>
      </c>
      <c r="AK214">
        <v>0.05</v>
      </c>
      <c r="AL214">
        <v>8.8099999999999998E-2</v>
      </c>
      <c r="AM214">
        <v>3.8100000000000002E-2</v>
      </c>
      <c r="AN214">
        <v>0.89</v>
      </c>
      <c r="AO214">
        <v>0.66</v>
      </c>
      <c r="AP214">
        <v>0.42970000000000003</v>
      </c>
      <c r="AQ214">
        <v>0.57030000000000003</v>
      </c>
      <c r="AR214">
        <v>8.9999999999999993E-3</v>
      </c>
      <c r="AS214">
        <v>0.5</v>
      </c>
      <c r="AT214">
        <v>1.82</v>
      </c>
      <c r="AU214">
        <v>6.3545217126973294E-2</v>
      </c>
      <c r="AV214">
        <v>0.7893</v>
      </c>
      <c r="AW214">
        <v>3</v>
      </c>
      <c r="AX214">
        <v>0.05</v>
      </c>
      <c r="AY214">
        <v>1</v>
      </c>
      <c r="AZ214">
        <v>1</v>
      </c>
      <c r="BA214" s="2">
        <f>modelo_tese_H__2[[#This Row],[Vw]]+modelo_tese_H__2[[#This Row],[Vr]]+modelo_tese_H__2[[#This Row],[K]]-modelo_tese_H__2[[#This Row],[E]]</f>
        <v>-87555611.32253997</v>
      </c>
      <c r="BB214" s="2">
        <f>modelo_tese_H__2[[#This Row],[K]]-modelo_tese_H__2[[#This Row],[Coluna1]]</f>
        <v>193148376.74361199</v>
      </c>
      <c r="BC214">
        <f>modelo_tese_H__2[[#This Row],[Coluna2]]/modelo_tese_H__2[[#This Row],[Coluna1]]</f>
        <v>-2.2060079739730929</v>
      </c>
      <c r="BD214" s="8">
        <f>modelo_tese_H__2[[#This Row],[D]]-modelo_tese_H__2[[#This Row],[Dw]]-modelo_tese_H__2[[#This Row],[Dr]]</f>
        <v>-1.9371509552001953E-7</v>
      </c>
    </row>
    <row r="215" spans="1:56" x14ac:dyDescent="0.25">
      <c r="A215">
        <v>214</v>
      </c>
      <c r="B215">
        <v>214</v>
      </c>
      <c r="C215">
        <v>26269107.7962243</v>
      </c>
      <c r="D215">
        <v>12065537.197123701</v>
      </c>
      <c r="E215">
        <v>10738328.105440101</v>
      </c>
      <c r="F215">
        <v>1372764.4321472701</v>
      </c>
      <c r="G215">
        <v>38193616.748385496</v>
      </c>
      <c r="H215">
        <v>8616666.7160094995</v>
      </c>
      <c r="I215">
        <v>20727759.253596801</v>
      </c>
      <c r="J215">
        <v>15470240.8817052</v>
      </c>
      <c r="K215">
        <v>97077862.122261703</v>
      </c>
      <c r="L215">
        <v>-8662222.0564731695</v>
      </c>
      <c r="M215">
        <v>112548103.003967</v>
      </c>
      <c r="N215">
        <v>-164657821.462495</v>
      </c>
      <c r="O215">
        <v>19289705.4284775</v>
      </c>
      <c r="P215">
        <v>12731205.582795201</v>
      </c>
      <c r="Q215">
        <v>19792803.1212302</v>
      </c>
      <c r="R215">
        <v>9896401.5606150907</v>
      </c>
      <c r="S215">
        <v>9896401.5606150907</v>
      </c>
      <c r="T215">
        <v>9393303.8678624406</v>
      </c>
      <c r="U215">
        <v>3851955.3252349799</v>
      </c>
      <c r="V215">
        <v>73320107.248286501</v>
      </c>
      <c r="W215">
        <v>12602946.081062499</v>
      </c>
      <c r="X215">
        <v>0.27360884144923397</v>
      </c>
      <c r="Y215">
        <v>111485796.296414</v>
      </c>
      <c r="Z215">
        <v>51010286.388540298</v>
      </c>
      <c r="AA215">
        <v>0.79392444676932294</v>
      </c>
      <c r="AB215">
        <v>58018002.978610702</v>
      </c>
      <c r="AC215">
        <v>33458964.836392</v>
      </c>
      <c r="AD215">
        <v>46061910.917454503</v>
      </c>
      <c r="AE215">
        <v>-91337714.214208901</v>
      </c>
      <c r="AF215">
        <v>-4810266.7312382003</v>
      </c>
      <c r="AG215">
        <v>5.5594999999999999E-2</v>
      </c>
      <c r="AH215">
        <v>-277205924.46646202</v>
      </c>
      <c r="AI215">
        <v>124330393.63682701</v>
      </c>
      <c r="AJ215">
        <v>0.06</v>
      </c>
      <c r="AK215">
        <v>0.05</v>
      </c>
      <c r="AL215">
        <v>8.8099999999999998E-2</v>
      </c>
      <c r="AM215">
        <v>3.8100000000000002E-2</v>
      </c>
      <c r="AN215">
        <v>0.89</v>
      </c>
      <c r="AO215">
        <v>0.66</v>
      </c>
      <c r="AP215">
        <v>0.42970000000000003</v>
      </c>
      <c r="AQ215">
        <v>0.57030000000000003</v>
      </c>
      <c r="AR215">
        <v>8.9999999999999993E-3</v>
      </c>
      <c r="AS215">
        <v>0.5</v>
      </c>
      <c r="AT215">
        <v>1.82</v>
      </c>
      <c r="AU215">
        <v>6.3545217126973294E-2</v>
      </c>
      <c r="AV215">
        <v>0.7893</v>
      </c>
      <c r="AW215">
        <v>3</v>
      </c>
      <c r="AX215">
        <v>0.05</v>
      </c>
      <c r="AY215">
        <v>1</v>
      </c>
      <c r="AZ215">
        <v>1</v>
      </c>
      <c r="BA215" s="2">
        <f>modelo_tese_H__2[[#This Row],[Vw]]+modelo_tese_H__2[[#This Row],[Vr]]+modelo_tese_H__2[[#This Row],[K]]-modelo_tese_H__2[[#This Row],[E]]</f>
        <v>-92400020.921761319</v>
      </c>
      <c r="BB215" s="2">
        <f>modelo_tese_H__2[[#This Row],[K]]-modelo_tese_H__2[[#This Row],[Coluna1]]</f>
        <v>203885817.21817532</v>
      </c>
      <c r="BC215">
        <f>modelo_tese_H__2[[#This Row],[Coluna2]]/modelo_tese_H__2[[#This Row],[Coluna1]]</f>
        <v>-2.206555963778551</v>
      </c>
      <c r="BD215" s="8">
        <f>modelo_tese_H__2[[#This Row],[D]]-modelo_tese_H__2[[#This Row],[Dw]]-modelo_tese_H__2[[#This Row],[Dr]]</f>
        <v>-4.0233135223388672E-7</v>
      </c>
    </row>
    <row r="216" spans="1:56" x14ac:dyDescent="0.25">
      <c r="A216">
        <v>215</v>
      </c>
      <c r="B216">
        <v>215</v>
      </c>
      <c r="C216">
        <v>27733522.931880798</v>
      </c>
      <c r="D216">
        <v>12740359.8132143</v>
      </c>
      <c r="E216">
        <v>11338920.2337607</v>
      </c>
      <c r="F216">
        <v>1449048.4886554501</v>
      </c>
      <c r="G216">
        <v>40319890.0068698</v>
      </c>
      <c r="H216">
        <v>9095710.3020860497</v>
      </c>
      <c r="I216">
        <v>21883679.024502199</v>
      </c>
      <c r="J216">
        <v>16329873.1927677</v>
      </c>
      <c r="K216">
        <v>102474905.87749</v>
      </c>
      <c r="L216">
        <v>-9143319.2112879306</v>
      </c>
      <c r="M216">
        <v>118804779.07025699</v>
      </c>
      <c r="N216">
        <v>-173801140.673783</v>
      </c>
      <c r="O216">
        <v>20363580.811550401</v>
      </c>
      <c r="P216">
        <v>13439963.3356233</v>
      </c>
      <c r="Q216">
        <v>20896185.873801801</v>
      </c>
      <c r="R216">
        <v>10448092.936900901</v>
      </c>
      <c r="S216">
        <v>10448092.936900901</v>
      </c>
      <c r="T216">
        <v>9915487.8746494893</v>
      </c>
      <c r="U216">
        <v>4065643.9672709499</v>
      </c>
      <c r="V216">
        <v>77385751.215557396</v>
      </c>
      <c r="W216">
        <v>13306066.445557101</v>
      </c>
      <c r="X216">
        <v>0.27362011355499399</v>
      </c>
      <c r="Y216">
        <v>117707473.609742</v>
      </c>
      <c r="Z216">
        <v>53868259.897196501</v>
      </c>
      <c r="AA216">
        <v>0.79387754284882595</v>
      </c>
      <c r="AB216">
        <v>61255932.030997001</v>
      </c>
      <c r="AC216">
        <v>35323642.360125497</v>
      </c>
      <c r="AD216">
        <v>48629708.805682503</v>
      </c>
      <c r="AE216">
        <v>-96415389.458225802</v>
      </c>
      <c r="AF216">
        <v>-5077675.2440169798</v>
      </c>
      <c r="AG216">
        <v>5.5594999999999999E-2</v>
      </c>
      <c r="AH216">
        <v>-292605919.74404103</v>
      </c>
      <c r="AI216">
        <v>131254011.112754</v>
      </c>
      <c r="AJ216">
        <v>0.06</v>
      </c>
      <c r="AK216">
        <v>0.05</v>
      </c>
      <c r="AL216">
        <v>8.8099999999999998E-2</v>
      </c>
      <c r="AM216">
        <v>3.8100000000000002E-2</v>
      </c>
      <c r="AN216">
        <v>0.89</v>
      </c>
      <c r="AO216">
        <v>0.66</v>
      </c>
      <c r="AP216">
        <v>0.42970000000000003</v>
      </c>
      <c r="AQ216">
        <v>0.57030000000000003</v>
      </c>
      <c r="AR216">
        <v>8.9999999999999993E-3</v>
      </c>
      <c r="AS216">
        <v>0.5</v>
      </c>
      <c r="AT216">
        <v>1.82</v>
      </c>
      <c r="AU216">
        <v>6.3545217126973294E-2</v>
      </c>
      <c r="AV216">
        <v>0.7893</v>
      </c>
      <c r="AW216">
        <v>3</v>
      </c>
      <c r="AX216">
        <v>0.05</v>
      </c>
      <c r="AY216">
        <v>1</v>
      </c>
      <c r="AZ216">
        <v>1</v>
      </c>
      <c r="BA216" s="2">
        <f>modelo_tese_H__2[[#This Row],[Vw]]+modelo_tese_H__2[[#This Row],[Vr]]+modelo_tese_H__2[[#This Row],[K]]-modelo_tese_H__2[[#This Row],[E]]</f>
        <v>-97512694.918741539</v>
      </c>
      <c r="BB216" s="2">
        <f>modelo_tese_H__2[[#This Row],[K]]-modelo_tese_H__2[[#This Row],[Coluna1]]</f>
        <v>215220168.52848354</v>
      </c>
      <c r="BC216">
        <f>modelo_tese_H__2[[#This Row],[Coluna2]]/modelo_tese_H__2[[#This Row],[Coluna1]]</f>
        <v>-2.2070989701169577</v>
      </c>
      <c r="BD216" s="8">
        <f>modelo_tese_H__2[[#This Row],[D]]-modelo_tese_H__2[[#This Row],[Dw]]-modelo_tese_H__2[[#This Row],[Dr]]</f>
        <v>-1.9371509552001953E-7</v>
      </c>
    </row>
    <row r="217" spans="1:56" x14ac:dyDescent="0.25">
      <c r="A217">
        <v>216</v>
      </c>
      <c r="B217">
        <v>216</v>
      </c>
      <c r="C217">
        <v>29279532.438058998</v>
      </c>
      <c r="D217">
        <v>13452881.8967974</v>
      </c>
      <c r="E217">
        <v>11973064.888149699</v>
      </c>
      <c r="F217">
        <v>1529571.9833229899</v>
      </c>
      <c r="G217">
        <v>42564504.554609597</v>
      </c>
      <c r="H217">
        <v>9601386.3163305297</v>
      </c>
      <c r="I217">
        <v>23104023.187803201</v>
      </c>
      <c r="J217">
        <v>17237277.0074462</v>
      </c>
      <c r="K217">
        <v>108171998.279888</v>
      </c>
      <c r="L217">
        <v>-9651141.2910057995</v>
      </c>
      <c r="M217">
        <v>125409275.287334</v>
      </c>
      <c r="N217">
        <v>-183452281.964789</v>
      </c>
      <c r="O217">
        <v>21497224.522530101</v>
      </c>
      <c r="P217">
        <v>14188168.1848699</v>
      </c>
      <c r="Q217">
        <v>22061046.9728809</v>
      </c>
      <c r="R217">
        <v>11030523.4864404</v>
      </c>
      <c r="S217">
        <v>11030523.4864404</v>
      </c>
      <c r="T217">
        <v>10466701.0360897</v>
      </c>
      <c r="U217">
        <v>4291191.7858339204</v>
      </c>
      <c r="V217">
        <v>81676943.001391396</v>
      </c>
      <c r="W217">
        <v>14048388.0382667</v>
      </c>
      <c r="X217">
        <v>0.273631271782518</v>
      </c>
      <c r="Y217">
        <v>124276114.680011</v>
      </c>
      <c r="Z217">
        <v>56886124.4490228</v>
      </c>
      <c r="AA217">
        <v>0.79383111082401803</v>
      </c>
      <c r="AB217">
        <v>64674436.049309</v>
      </c>
      <c r="AC217">
        <v>37292191.372673102</v>
      </c>
      <c r="AD217">
        <v>51340579.410939902</v>
      </c>
      <c r="AE217">
        <v>-101775338.96339799</v>
      </c>
      <c r="AF217">
        <v>-5359949.5051718801</v>
      </c>
      <c r="AG217">
        <v>5.5594999999999999E-2</v>
      </c>
      <c r="AH217">
        <v>-308861557.252123</v>
      </c>
      <c r="AI217">
        <v>138563067.450414</v>
      </c>
      <c r="AJ217">
        <v>0.06</v>
      </c>
      <c r="AK217">
        <v>0.05</v>
      </c>
      <c r="AL217">
        <v>8.8099999999999998E-2</v>
      </c>
      <c r="AM217">
        <v>3.8100000000000002E-2</v>
      </c>
      <c r="AN217">
        <v>0.89</v>
      </c>
      <c r="AO217">
        <v>0.66</v>
      </c>
      <c r="AP217">
        <v>0.42970000000000003</v>
      </c>
      <c r="AQ217">
        <v>0.57030000000000003</v>
      </c>
      <c r="AR217">
        <v>8.9999999999999993E-3</v>
      </c>
      <c r="AS217">
        <v>0.5</v>
      </c>
      <c r="AT217">
        <v>1.82</v>
      </c>
      <c r="AU217">
        <v>6.3545217126973294E-2</v>
      </c>
      <c r="AV217">
        <v>0.7893</v>
      </c>
      <c r="AW217">
        <v>3</v>
      </c>
      <c r="AX217">
        <v>0.05</v>
      </c>
      <c r="AY217">
        <v>1</v>
      </c>
      <c r="AZ217">
        <v>1</v>
      </c>
      <c r="BA217" s="2">
        <f>modelo_tese_H__2[[#This Row],[Vw]]+modelo_tese_H__2[[#This Row],[Vr]]+modelo_tese_H__2[[#This Row],[K]]-modelo_tese_H__2[[#This Row],[E]]</f>
        <v>-102908499.57072079</v>
      </c>
      <c r="BB217" s="2">
        <f>modelo_tese_H__2[[#This Row],[K]]-modelo_tese_H__2[[#This Row],[Coluna1]]</f>
        <v>227184614.2507318</v>
      </c>
      <c r="BC217">
        <f>modelo_tese_H__2[[#This Row],[Coluna2]]/modelo_tese_H__2[[#This Row],[Coluna1]]</f>
        <v>-2.2076370289958991</v>
      </c>
      <c r="BD217" s="8">
        <f>modelo_tese_H__2[[#This Row],[D]]-modelo_tese_H__2[[#This Row],[Dw]]-modelo_tese_H__2[[#This Row],[Dr]]</f>
        <v>-3.8743019104003906E-7</v>
      </c>
    </row>
    <row r="218" spans="1:56" x14ac:dyDescent="0.25">
      <c r="A218">
        <v>217</v>
      </c>
      <c r="B218">
        <v>217</v>
      </c>
      <c r="C218">
        <v>30911680.687023699</v>
      </c>
      <c r="D218">
        <v>14205207.595617</v>
      </c>
      <c r="E218">
        <v>12642634.760099201</v>
      </c>
      <c r="F218">
        <v>1614570.53666773</v>
      </c>
      <c r="G218">
        <v>44934045.493453801</v>
      </c>
      <c r="H218">
        <v>10135175.388586899</v>
      </c>
      <c r="I218">
        <v>24392380.685353801</v>
      </c>
      <c r="J218">
        <v>18195107.290130299</v>
      </c>
      <c r="K218">
        <v>114185820.53401101</v>
      </c>
      <c r="L218">
        <v>-10187173.089736801</v>
      </c>
      <c r="M218">
        <v>132380927.824141</v>
      </c>
      <c r="N218">
        <v>-193639455.054526</v>
      </c>
      <c r="O218">
        <v>22693962.3704312</v>
      </c>
      <c r="P218">
        <v>14978015.1644846</v>
      </c>
      <c r="Q218">
        <v>23290810.4352342</v>
      </c>
      <c r="R218">
        <v>11645405.2176171</v>
      </c>
      <c r="S218">
        <v>11645405.2176171</v>
      </c>
      <c r="T218">
        <v>11048557.1528141</v>
      </c>
      <c r="U218">
        <v>4529257.1511442903</v>
      </c>
      <c r="V218">
        <v>86206200.152535602</v>
      </c>
      <c r="W218">
        <v>14832095.272419401</v>
      </c>
      <c r="X218">
        <v>0.27364231726849197</v>
      </c>
      <c r="Y218">
        <v>131211057.261392</v>
      </c>
      <c r="Z218">
        <v>60072814.503825203</v>
      </c>
      <c r="AA218">
        <v>0.79378514605571804</v>
      </c>
      <c r="AB218">
        <v>68283579.494511306</v>
      </c>
      <c r="AC218">
        <v>39370395.849838398</v>
      </c>
      <c r="AD218">
        <v>54202491.122257903</v>
      </c>
      <c r="AE218">
        <v>-107433254.90199</v>
      </c>
      <c r="AF218">
        <v>-5657915.9385924898</v>
      </c>
      <c r="AG218">
        <v>5.5594999999999999E-2</v>
      </c>
      <c r="AH218">
        <v>-326020382.878667</v>
      </c>
      <c r="AI218">
        <v>146279014.65636101</v>
      </c>
      <c r="AJ218">
        <v>0.06</v>
      </c>
      <c r="AK218">
        <v>0.05</v>
      </c>
      <c r="AL218">
        <v>8.8099999999999998E-2</v>
      </c>
      <c r="AM218">
        <v>3.8100000000000002E-2</v>
      </c>
      <c r="AN218">
        <v>0.89</v>
      </c>
      <c r="AO218">
        <v>0.66</v>
      </c>
      <c r="AP218">
        <v>0.42970000000000003</v>
      </c>
      <c r="AQ218">
        <v>0.57030000000000003</v>
      </c>
      <c r="AR218">
        <v>8.9999999999999993E-3</v>
      </c>
      <c r="AS218">
        <v>0.5</v>
      </c>
      <c r="AT218">
        <v>1.82</v>
      </c>
      <c r="AU218">
        <v>6.3545217126973294E-2</v>
      </c>
      <c r="AV218">
        <v>0.7893</v>
      </c>
      <c r="AW218">
        <v>3</v>
      </c>
      <c r="AX218">
        <v>0.05</v>
      </c>
      <c r="AY218">
        <v>1</v>
      </c>
      <c r="AZ218">
        <v>1</v>
      </c>
      <c r="BA218" s="2">
        <f>modelo_tese_H__2[[#This Row],[Vw]]+modelo_tese_H__2[[#This Row],[Vr]]+modelo_tese_H__2[[#This Row],[K]]-modelo_tese_H__2[[#This Row],[E]]</f>
        <v>-108603125.46473919</v>
      </c>
      <c r="BB218" s="2">
        <f>modelo_tese_H__2[[#This Row],[K]]-modelo_tese_H__2[[#This Row],[Coluna1]]</f>
        <v>239814182.7261312</v>
      </c>
      <c r="BC218">
        <f>modelo_tese_H__2[[#This Row],[Coluna2]]/modelo_tese_H__2[[#This Row],[Coluna1]]</f>
        <v>-2.2081701765019006</v>
      </c>
      <c r="BD218" s="8">
        <f>modelo_tese_H__2[[#This Row],[D]]-modelo_tese_H__2[[#This Row],[Dw]]-modelo_tese_H__2[[#This Row],[Dr]]</f>
        <v>4.0233135223388672E-7</v>
      </c>
    </row>
    <row r="219" spans="1:56" x14ac:dyDescent="0.25">
      <c r="A219">
        <v>218</v>
      </c>
      <c r="B219">
        <v>218</v>
      </c>
      <c r="C219">
        <v>32634765.0618889</v>
      </c>
      <c r="D219">
        <v>14999558.409063799</v>
      </c>
      <c r="E219">
        <v>13349606.984066799</v>
      </c>
      <c r="F219">
        <v>1704292.8653283101</v>
      </c>
      <c r="G219">
        <v>47435464.290632904</v>
      </c>
      <c r="H219">
        <v>10698640.4643154</v>
      </c>
      <c r="I219">
        <v>25752540.3137105</v>
      </c>
      <c r="J219">
        <v>19206166.567704599</v>
      </c>
      <c r="K219">
        <v>120533981.235981</v>
      </c>
      <c r="L219">
        <v>-10752981.9046467</v>
      </c>
      <c r="M219">
        <v>139740147.80368501</v>
      </c>
      <c r="N219">
        <v>-204392436.95917299</v>
      </c>
      <c r="O219">
        <v>23957305.1972894</v>
      </c>
      <c r="P219">
        <v>15811821.430211</v>
      </c>
      <c r="Q219">
        <v>24589090.911965001</v>
      </c>
      <c r="R219">
        <v>12294545.455982501</v>
      </c>
      <c r="S219">
        <v>12294545.455982501</v>
      </c>
      <c r="T219">
        <v>11662759.7413068</v>
      </c>
      <c r="U219">
        <v>4780534.9931284701</v>
      </c>
      <c r="V219">
        <v>90986735.145664096</v>
      </c>
      <c r="W219">
        <v>15659494.229932399</v>
      </c>
      <c r="X219">
        <v>0.273653251138607</v>
      </c>
      <c r="Y219">
        <v>138532716.36818999</v>
      </c>
      <c r="Z219">
        <v>63437763.277775101</v>
      </c>
      <c r="AA219">
        <v>0.79373964394583596</v>
      </c>
      <c r="AB219">
        <v>72093987.506259397</v>
      </c>
      <c r="AC219">
        <v>41564361.743921503</v>
      </c>
      <c r="AD219">
        <v>57223855.973853901</v>
      </c>
      <c r="AE219">
        <v>-113405701.813508</v>
      </c>
      <c r="AF219">
        <v>-5972446.9115182301</v>
      </c>
      <c r="AG219">
        <v>5.5594999999999999E-2</v>
      </c>
      <c r="AH219">
        <v>-344132584.76285797</v>
      </c>
      <c r="AI219">
        <v>154424498.423439</v>
      </c>
      <c r="AJ219">
        <v>0.06</v>
      </c>
      <c r="AK219">
        <v>0.05</v>
      </c>
      <c r="AL219">
        <v>8.8099999999999998E-2</v>
      </c>
      <c r="AM219">
        <v>3.8100000000000002E-2</v>
      </c>
      <c r="AN219">
        <v>0.89</v>
      </c>
      <c r="AO219">
        <v>0.66</v>
      </c>
      <c r="AP219">
        <v>0.42970000000000003</v>
      </c>
      <c r="AQ219">
        <v>0.57030000000000003</v>
      </c>
      <c r="AR219">
        <v>8.9999999999999993E-3</v>
      </c>
      <c r="AS219">
        <v>0.5</v>
      </c>
      <c r="AT219">
        <v>1.82</v>
      </c>
      <c r="AU219">
        <v>6.3545217126973294E-2</v>
      </c>
      <c r="AV219">
        <v>0.7893</v>
      </c>
      <c r="AW219">
        <v>3</v>
      </c>
      <c r="AX219">
        <v>0.05</v>
      </c>
      <c r="AY219">
        <v>1</v>
      </c>
      <c r="AZ219">
        <v>1</v>
      </c>
      <c r="BA219" s="2">
        <f>modelo_tese_H__2[[#This Row],[Vw]]+modelo_tese_H__2[[#This Row],[Vr]]+modelo_tese_H__2[[#This Row],[K]]-modelo_tese_H__2[[#This Row],[E]]</f>
        <v>-114613133.2490041</v>
      </c>
      <c r="BB219" s="2">
        <f>modelo_tese_H__2[[#This Row],[K]]-modelo_tese_H__2[[#This Row],[Coluna1]]</f>
        <v>253145849.61719409</v>
      </c>
      <c r="BC219">
        <f>modelo_tese_H__2[[#This Row],[Coluna2]]/modelo_tese_H__2[[#This Row],[Coluna1]]</f>
        <v>-2.2086984487826462</v>
      </c>
      <c r="BD219" s="8">
        <f>modelo_tese_H__2[[#This Row],[D]]-modelo_tese_H__2[[#This Row],[Dw]]-modelo_tese_H__2[[#This Row],[Dr]]</f>
        <v>8.9406967163085938E-7</v>
      </c>
    </row>
    <row r="220" spans="1:56" x14ac:dyDescent="0.25">
      <c r="A220">
        <v>219</v>
      </c>
      <c r="B220">
        <v>219</v>
      </c>
      <c r="C220">
        <v>34453850.039248303</v>
      </c>
      <c r="D220">
        <v>15838279.729060801</v>
      </c>
      <c r="E220">
        <v>14096068.9588641</v>
      </c>
      <c r="F220">
        <v>1799001.5099988701</v>
      </c>
      <c r="G220">
        <v>50076099.158841498</v>
      </c>
      <c r="H220">
        <v>11293431.380929001</v>
      </c>
      <c r="I220">
        <v>27188501.849792</v>
      </c>
      <c r="J220">
        <v>20273413.131473899</v>
      </c>
      <c r="K220">
        <v>127235067.93181901</v>
      </c>
      <c r="L220">
        <v>-11350222.120731199</v>
      </c>
      <c r="M220">
        <v>147508481.06329301</v>
      </c>
      <c r="N220">
        <v>-215742659.07990399</v>
      </c>
      <c r="O220">
        <v>25290959.171132099</v>
      </c>
      <c r="P220">
        <v>16692033.052947201</v>
      </c>
      <c r="Q220">
        <v>25959704.299254801</v>
      </c>
      <c r="R220">
        <v>12979852.149627401</v>
      </c>
      <c r="S220">
        <v>12979852.149627401</v>
      </c>
      <c r="T220">
        <v>12311107.0215047</v>
      </c>
      <c r="U220">
        <v>5045758.8320483398</v>
      </c>
      <c r="V220">
        <v>96032493.977712497</v>
      </c>
      <c r="W220">
        <v>16533019.435763899</v>
      </c>
      <c r="X220">
        <v>0.27366407450764901</v>
      </c>
      <c r="Y220">
        <v>146262644.26314801</v>
      </c>
      <c r="Z220">
        <v>66990930.563911602</v>
      </c>
      <c r="AA220">
        <v>0.79369459993728497</v>
      </c>
      <c r="AB220">
        <v>76116877.125378907</v>
      </c>
      <c r="AC220">
        <v>43880534.9027391</v>
      </c>
      <c r="AD220">
        <v>60413554.3385031</v>
      </c>
      <c r="AE220">
        <v>-119710165.102191</v>
      </c>
      <c r="AF220">
        <v>-6304463.2886828696</v>
      </c>
      <c r="AG220">
        <v>5.5594999999999999E-2</v>
      </c>
      <c r="AH220">
        <v>-363251140.14319599</v>
      </c>
      <c r="AI220">
        <v>163023424.54162401</v>
      </c>
      <c r="AJ220">
        <v>0.06</v>
      </c>
      <c r="AK220">
        <v>0.05</v>
      </c>
      <c r="AL220">
        <v>8.8099999999999998E-2</v>
      </c>
      <c r="AM220">
        <v>3.8100000000000002E-2</v>
      </c>
      <c r="AN220">
        <v>0.89</v>
      </c>
      <c r="AO220">
        <v>0.66</v>
      </c>
      <c r="AP220">
        <v>0.42970000000000003</v>
      </c>
      <c r="AQ220">
        <v>0.57030000000000003</v>
      </c>
      <c r="AR220">
        <v>8.9999999999999993E-3</v>
      </c>
      <c r="AS220">
        <v>0.5</v>
      </c>
      <c r="AT220">
        <v>1.82</v>
      </c>
      <c r="AU220">
        <v>6.3545217126973294E-2</v>
      </c>
      <c r="AV220">
        <v>0.7893</v>
      </c>
      <c r="AW220">
        <v>3</v>
      </c>
      <c r="AX220">
        <v>0.05</v>
      </c>
      <c r="AY220">
        <v>1</v>
      </c>
      <c r="AZ220">
        <v>1</v>
      </c>
      <c r="BA220" s="2">
        <f>modelo_tese_H__2[[#This Row],[Vw]]+modelo_tese_H__2[[#This Row],[Vr]]+modelo_tese_H__2[[#This Row],[K]]-modelo_tese_H__2[[#This Row],[E]]</f>
        <v>-120956001.90233557</v>
      </c>
      <c r="BB220" s="2">
        <f>modelo_tese_H__2[[#This Row],[K]]-modelo_tese_H__2[[#This Row],[Coluna1]]</f>
        <v>267218646.16548359</v>
      </c>
      <c r="BC220">
        <f>modelo_tese_H__2[[#This Row],[Coluna2]]/modelo_tese_H__2[[#This Row],[Coluna1]]</f>
        <v>-2.2092218820298473</v>
      </c>
      <c r="BD220" s="8">
        <f>modelo_tese_H__2[[#This Row],[D]]-modelo_tese_H__2[[#This Row],[Dw]]-modelo_tese_H__2[[#This Row],[Dr]]</f>
        <v>4.9173831939697266E-7</v>
      </c>
    </row>
    <row r="221" spans="1:56" x14ac:dyDescent="0.25">
      <c r="A221">
        <v>220</v>
      </c>
      <c r="B221">
        <v>220</v>
      </c>
      <c r="C221">
        <v>36374282.055469103</v>
      </c>
      <c r="D221">
        <v>16723847.7453395</v>
      </c>
      <c r="E221">
        <v>14884224.493352201</v>
      </c>
      <c r="F221">
        <v>1898973.60382689</v>
      </c>
      <c r="G221">
        <v>52863696.56989</v>
      </c>
      <c r="H221">
        <v>11921289.6985518</v>
      </c>
      <c r="I221">
        <v>28704487.7957309</v>
      </c>
      <c r="J221">
        <v>21399969.6949917</v>
      </c>
      <c r="K221">
        <v>134308701.54216799</v>
      </c>
      <c r="L221">
        <v>-11980640.0503913</v>
      </c>
      <c r="M221">
        <v>155708671.23716</v>
      </c>
      <c r="N221">
        <v>-227723299.13029501</v>
      </c>
      <c r="O221">
        <v>26698836.651459601</v>
      </c>
      <c r="P221">
        <v>17621232.1899633</v>
      </c>
      <c r="Q221">
        <v>27406678.939567</v>
      </c>
      <c r="R221">
        <v>13703339.4697835</v>
      </c>
      <c r="S221">
        <v>13703339.4697835</v>
      </c>
      <c r="T221">
        <v>12995497.181676099</v>
      </c>
      <c r="U221">
        <v>5325702.9219378196</v>
      </c>
      <c r="V221">
        <v>101358196.89964999</v>
      </c>
      <c r="W221">
        <v>17455241.009342</v>
      </c>
      <c r="X221">
        <v>0.27367478847959897</v>
      </c>
      <c r="Y221">
        <v>154423593.78522301</v>
      </c>
      <c r="Z221">
        <v>70742832.103470102</v>
      </c>
      <c r="AA221">
        <v>0.79365000951383602</v>
      </c>
      <c r="AB221">
        <v>80364090.254476696</v>
      </c>
      <c r="AC221">
        <v>46325719.9856942</v>
      </c>
      <c r="AD221">
        <v>63780960.995036103</v>
      </c>
      <c r="AE221">
        <v>-126365102.230645</v>
      </c>
      <c r="AF221">
        <v>-6654937.1284534996</v>
      </c>
      <c r="AG221">
        <v>5.5594999999999999E-2</v>
      </c>
      <c r="AH221">
        <v>-383431970.36745501</v>
      </c>
      <c r="AI221">
        <v>172101029.00312001</v>
      </c>
      <c r="AJ221">
        <v>0.06</v>
      </c>
      <c r="AK221">
        <v>0.05</v>
      </c>
      <c r="AL221">
        <v>8.8099999999999998E-2</v>
      </c>
      <c r="AM221">
        <v>3.8100000000000002E-2</v>
      </c>
      <c r="AN221">
        <v>0.89</v>
      </c>
      <c r="AO221">
        <v>0.66</v>
      </c>
      <c r="AP221">
        <v>0.42970000000000003</v>
      </c>
      <c r="AQ221">
        <v>0.57030000000000003</v>
      </c>
      <c r="AR221">
        <v>8.9999999999999993E-3</v>
      </c>
      <c r="AS221">
        <v>0.5</v>
      </c>
      <c r="AT221">
        <v>1.82</v>
      </c>
      <c r="AU221">
        <v>6.3545217126973294E-2</v>
      </c>
      <c r="AV221">
        <v>0.7893</v>
      </c>
      <c r="AW221">
        <v>3</v>
      </c>
      <c r="AX221">
        <v>0.05</v>
      </c>
      <c r="AY221">
        <v>1</v>
      </c>
      <c r="AZ221">
        <v>1</v>
      </c>
      <c r="BA221" s="2">
        <f>modelo_tese_H__2[[#This Row],[Vw]]+modelo_tese_H__2[[#This Row],[Vr]]+modelo_tese_H__2[[#This Row],[K]]-modelo_tese_H__2[[#This Row],[E]]</f>
        <v>-127650179.6825821</v>
      </c>
      <c r="BB221" s="2">
        <f>modelo_tese_H__2[[#This Row],[K]]-modelo_tese_H__2[[#This Row],[Coluna1]]</f>
        <v>282073773.46780509</v>
      </c>
      <c r="BC221">
        <f>modelo_tese_H__2[[#This Row],[Coluna2]]/modelo_tese_H__2[[#This Row],[Coluna1]]</f>
        <v>-2.2097405124631733</v>
      </c>
      <c r="BD221" s="8">
        <f>modelo_tese_H__2[[#This Row],[D]]-modelo_tese_H__2[[#This Row],[Dw]]-modelo_tese_H__2[[#This Row],[Dr]]</f>
        <v>0</v>
      </c>
    </row>
    <row r="222" spans="1:56" x14ac:dyDescent="0.25">
      <c r="A222">
        <v>221</v>
      </c>
      <c r="B222">
        <v>221</v>
      </c>
      <c r="C222">
        <v>38401705.200253598</v>
      </c>
      <c r="D222">
        <v>17658876.735402301</v>
      </c>
      <c r="E222">
        <v>15716400.294508001</v>
      </c>
      <c r="F222">
        <v>2004501.68352325</v>
      </c>
      <c r="G222">
        <v>55806433.964972898</v>
      </c>
      <c r="H222">
        <v>12584053.7993428</v>
      </c>
      <c r="I222">
        <v>30304955.777373999</v>
      </c>
      <c r="J222">
        <v>22589132.533135701</v>
      </c>
      <c r="K222">
        <v>141775593.81275401</v>
      </c>
      <c r="L222">
        <v>-12646079.041971801</v>
      </c>
      <c r="M222">
        <v>164364726.34588999</v>
      </c>
      <c r="N222">
        <v>-240369378.17226699</v>
      </c>
      <c r="O222">
        <v>28185067.659077201</v>
      </c>
      <c r="P222">
        <v>18602144.654991001</v>
      </c>
      <c r="Q222">
        <v>28934267.446166899</v>
      </c>
      <c r="R222">
        <v>14467133.723083399</v>
      </c>
      <c r="S222">
        <v>14467133.723083399</v>
      </c>
      <c r="T222">
        <v>13717933.9359938</v>
      </c>
      <c r="U222">
        <v>5621184.5131142102</v>
      </c>
      <c r="V222">
        <v>106979381.412765</v>
      </c>
      <c r="W222">
        <v>18428872.214055501</v>
      </c>
      <c r="X222">
        <v>0.27368539414771897</v>
      </c>
      <c r="Y222">
        <v>163039585.20266801</v>
      </c>
      <c r="Z222">
        <v>74704570.594442099</v>
      </c>
      <c r="AA222">
        <v>0.79360586819999701</v>
      </c>
      <c r="AB222">
        <v>84848128.453419</v>
      </c>
      <c r="AC222">
        <v>48907100.432365</v>
      </c>
      <c r="AD222">
        <v>67335972.646420404</v>
      </c>
      <c r="AE222">
        <v>-133389996.75950199</v>
      </c>
      <c r="AF222">
        <v>-7024894.5288575497</v>
      </c>
      <c r="AG222">
        <v>5.5594999999999999E-2</v>
      </c>
      <c r="AH222">
        <v>-404734104.51815701</v>
      </c>
      <c r="AI222">
        <v>181683952.00720701</v>
      </c>
      <c r="AJ222">
        <v>0.06</v>
      </c>
      <c r="AK222">
        <v>0.05</v>
      </c>
      <c r="AL222">
        <v>8.8099999999999998E-2</v>
      </c>
      <c r="AM222">
        <v>3.8100000000000002E-2</v>
      </c>
      <c r="AN222">
        <v>0.89</v>
      </c>
      <c r="AO222">
        <v>0.66</v>
      </c>
      <c r="AP222">
        <v>0.42970000000000003</v>
      </c>
      <c r="AQ222">
        <v>0.57030000000000003</v>
      </c>
      <c r="AR222">
        <v>8.9999999999999993E-3</v>
      </c>
      <c r="AS222">
        <v>0.5</v>
      </c>
      <c r="AT222">
        <v>1.82</v>
      </c>
      <c r="AU222">
        <v>6.3545217126973294E-2</v>
      </c>
      <c r="AV222">
        <v>0.7893</v>
      </c>
      <c r="AW222">
        <v>3</v>
      </c>
      <c r="AX222">
        <v>0.05</v>
      </c>
      <c r="AY222">
        <v>1</v>
      </c>
      <c r="AZ222">
        <v>1</v>
      </c>
      <c r="BA222" s="2">
        <f>modelo_tese_H__2[[#This Row],[Vw]]+modelo_tese_H__2[[#This Row],[Vr]]+modelo_tese_H__2[[#This Row],[K]]-modelo_tese_H__2[[#This Row],[E]]</f>
        <v>-134715137.90272409</v>
      </c>
      <c r="BB222" s="2">
        <f>modelo_tese_H__2[[#This Row],[K]]-modelo_tese_H__2[[#This Row],[Coluna1]]</f>
        <v>297754723.1053921</v>
      </c>
      <c r="BC222">
        <f>modelo_tese_H__2[[#This Row],[Coluna2]]/modelo_tese_H__2[[#This Row],[Coluna1]]</f>
        <v>-2.2102543763151297</v>
      </c>
      <c r="BD222" s="8">
        <f>modelo_tese_H__2[[#This Row],[D]]-modelo_tese_H__2[[#This Row],[Dw]]-modelo_tese_H__2[[#This Row],[Dr]]</f>
        <v>0</v>
      </c>
    </row>
    <row r="223" spans="1:56" x14ac:dyDescent="0.25">
      <c r="A223">
        <v>222</v>
      </c>
      <c r="B223">
        <v>222</v>
      </c>
      <c r="C223">
        <v>40542077.783492401</v>
      </c>
      <c r="D223">
        <v>18646126.7605884</v>
      </c>
      <c r="E223">
        <v>16595052.8169237</v>
      </c>
      <c r="F223">
        <v>2115894.5455588899</v>
      </c>
      <c r="G223">
        <v>58912943.728101403</v>
      </c>
      <c r="H223">
        <v>13283664.270317201</v>
      </c>
      <c r="I223">
        <v>31994611.6327998</v>
      </c>
      <c r="J223">
        <v>23844381.1291821</v>
      </c>
      <c r="K223">
        <v>149657607.95880601</v>
      </c>
      <c r="L223">
        <v>-13348484.8722114</v>
      </c>
      <c r="M223">
        <v>173501989.08798799</v>
      </c>
      <c r="N223">
        <v>-253717863.044478</v>
      </c>
      <c r="O223">
        <v>29754011.983889598</v>
      </c>
      <c r="P223">
        <v>19637647.909367099</v>
      </c>
      <c r="Q223">
        <v>30546959.185633399</v>
      </c>
      <c r="R223">
        <v>15273479.592816699</v>
      </c>
      <c r="S223">
        <v>15273479.592816699</v>
      </c>
      <c r="T223">
        <v>14480532.391072899</v>
      </c>
      <c r="U223">
        <v>5933066.2403802499</v>
      </c>
      <c r="V223">
        <v>112912447.653145</v>
      </c>
      <c r="W223">
        <v>19456777.4269589</v>
      </c>
      <c r="X223">
        <v>0.27369589259465099</v>
      </c>
      <c r="Y223">
        <v>172135976.78763199</v>
      </c>
      <c r="Z223">
        <v>78887868.428584307</v>
      </c>
      <c r="AA223">
        <v>0.79356217156084397</v>
      </c>
      <c r="AB223">
        <v>89582189.671795905</v>
      </c>
      <c r="AC223">
        <v>51632259.542166904</v>
      </c>
      <c r="AD223">
        <v>71089036.969125807</v>
      </c>
      <c r="AE223">
        <v>-140805415.39133301</v>
      </c>
      <c r="AF223">
        <v>-7415418.6318311403</v>
      </c>
      <c r="AG223">
        <v>5.5594999999999999E-2</v>
      </c>
      <c r="AH223">
        <v>-427219852.13246602</v>
      </c>
      <c r="AI223">
        <v>191800316.08172899</v>
      </c>
      <c r="AJ223">
        <v>0.06</v>
      </c>
      <c r="AK223">
        <v>0.05</v>
      </c>
      <c r="AL223">
        <v>8.8099999999999998E-2</v>
      </c>
      <c r="AM223">
        <v>3.8100000000000002E-2</v>
      </c>
      <c r="AN223">
        <v>0.89</v>
      </c>
      <c r="AO223">
        <v>0.66</v>
      </c>
      <c r="AP223">
        <v>0.42970000000000003</v>
      </c>
      <c r="AQ223">
        <v>0.57030000000000003</v>
      </c>
      <c r="AR223">
        <v>8.9999999999999993E-3</v>
      </c>
      <c r="AS223">
        <v>0.5</v>
      </c>
      <c r="AT223">
        <v>1.82</v>
      </c>
      <c r="AU223">
        <v>6.3545217126973294E-2</v>
      </c>
      <c r="AV223">
        <v>0.7893</v>
      </c>
      <c r="AW223">
        <v>3</v>
      </c>
      <c r="AX223">
        <v>0.05</v>
      </c>
      <c r="AY223">
        <v>1</v>
      </c>
      <c r="AZ223">
        <v>1</v>
      </c>
      <c r="BA223" s="2">
        <f>modelo_tese_H__2[[#This Row],[Vw]]+modelo_tese_H__2[[#This Row],[Vr]]+modelo_tese_H__2[[#This Row],[K]]-modelo_tese_H__2[[#This Row],[E]]</f>
        <v>-142171427.69168934</v>
      </c>
      <c r="BB223" s="2">
        <f>modelo_tese_H__2[[#This Row],[K]]-modelo_tese_H__2[[#This Row],[Coluna1]]</f>
        <v>314307404.47932136</v>
      </c>
      <c r="BC223">
        <f>modelo_tese_H__2[[#This Row],[Coluna2]]/modelo_tese_H__2[[#This Row],[Coluna1]]</f>
        <v>-2.2107635098166369</v>
      </c>
      <c r="BD223" s="8">
        <f>modelo_tese_H__2[[#This Row],[D]]-modelo_tese_H__2[[#This Row],[Dw]]-modelo_tese_H__2[[#This Row],[Dr]]</f>
        <v>0</v>
      </c>
    </row>
    <row r="224" spans="1:56" x14ac:dyDescent="0.25">
      <c r="A224">
        <v>223</v>
      </c>
      <c r="B224">
        <v>223</v>
      </c>
      <c r="C224">
        <v>42801689.823999502</v>
      </c>
      <c r="D224">
        <v>19688511.7908631</v>
      </c>
      <c r="E224">
        <v>17522775.493868198</v>
      </c>
      <c r="F224">
        <v>2233478.1499544</v>
      </c>
      <c r="G224">
        <v>62192338.492956199</v>
      </c>
      <c r="H224">
        <v>14022169.5854255</v>
      </c>
      <c r="I224">
        <v>33778423.229248099</v>
      </c>
      <c r="J224">
        <v>25169388.358114701</v>
      </c>
      <c r="K224">
        <v>157977822.68100101</v>
      </c>
      <c r="L224">
        <v>-14089911.438385</v>
      </c>
      <c r="M224">
        <v>183147211.03911501</v>
      </c>
      <c r="N224">
        <v>-267807774.48286301</v>
      </c>
      <c r="O224">
        <v>31410271.966139499</v>
      </c>
      <c r="P224">
        <v>20730779.497652099</v>
      </c>
      <c r="Q224">
        <v>32249493.454975601</v>
      </c>
      <c r="R224">
        <v>16124746.727487801</v>
      </c>
      <c r="S224">
        <v>16124746.727487801</v>
      </c>
      <c r="T224">
        <v>15285525.2386517</v>
      </c>
      <c r="U224">
        <v>6262258.6439003404</v>
      </c>
      <c r="V224">
        <v>119174706.29704501</v>
      </c>
      <c r="W224">
        <v>20541980.552074902</v>
      </c>
      <c r="X224">
        <v>0.27370628489250798</v>
      </c>
      <c r="Y224">
        <v>181739539.31937301</v>
      </c>
      <c r="Z224">
        <v>83305102.253171399</v>
      </c>
      <c r="AA224">
        <v>0.79351891520186102</v>
      </c>
      <c r="AB224">
        <v>94580207.026171505</v>
      </c>
      <c r="AC224">
        <v>54509202.726900101</v>
      </c>
      <c r="AD224">
        <v>75051183.278974995</v>
      </c>
      <c r="AE224">
        <v>-148633068.18581799</v>
      </c>
      <c r="AF224">
        <v>-7827652.7944846302</v>
      </c>
      <c r="AG224">
        <v>5.5594999999999999E-2</v>
      </c>
      <c r="AH224">
        <v>-450954985.52197897</v>
      </c>
      <c r="AI224">
        <v>202479808.55021599</v>
      </c>
      <c r="AJ224">
        <v>0.06</v>
      </c>
      <c r="AK224">
        <v>0.05</v>
      </c>
      <c r="AL224">
        <v>8.8099999999999998E-2</v>
      </c>
      <c r="AM224">
        <v>3.8100000000000002E-2</v>
      </c>
      <c r="AN224">
        <v>0.89</v>
      </c>
      <c r="AO224">
        <v>0.66</v>
      </c>
      <c r="AP224">
        <v>0.42970000000000003</v>
      </c>
      <c r="AQ224">
        <v>0.57030000000000003</v>
      </c>
      <c r="AR224">
        <v>8.9999999999999993E-3</v>
      </c>
      <c r="AS224">
        <v>0.5</v>
      </c>
      <c r="AT224">
        <v>1.82</v>
      </c>
      <c r="AU224">
        <v>6.3545217126973294E-2</v>
      </c>
      <c r="AV224">
        <v>0.7893</v>
      </c>
      <c r="AW224">
        <v>3</v>
      </c>
      <c r="AX224">
        <v>0.05</v>
      </c>
      <c r="AY224">
        <v>1</v>
      </c>
      <c r="AZ224">
        <v>1</v>
      </c>
      <c r="BA224" s="2">
        <f>modelo_tese_H__2[[#This Row],[Vw]]+modelo_tese_H__2[[#This Row],[Vr]]+modelo_tese_H__2[[#This Row],[K]]-modelo_tese_H__2[[#This Row],[E]]</f>
        <v>-150040739.90556139</v>
      </c>
      <c r="BB224" s="2">
        <f>modelo_tese_H__2[[#This Row],[K]]-modelo_tese_H__2[[#This Row],[Coluna1]]</f>
        <v>331780279.2249344</v>
      </c>
      <c r="BC224">
        <f>modelo_tese_H__2[[#This Row],[Coluna2]]/modelo_tese_H__2[[#This Row],[Coluna1]]</f>
        <v>-2.2112679491834251</v>
      </c>
      <c r="BD224" s="8">
        <f>modelo_tese_H__2[[#This Row],[D]]-modelo_tese_H__2[[#This Row],[Dw]]-modelo_tese_H__2[[#This Row],[Dr]]</f>
        <v>0</v>
      </c>
    </row>
    <row r="225" spans="1:56" x14ac:dyDescent="0.25">
      <c r="A225">
        <v>224</v>
      </c>
      <c r="B225">
        <v>224</v>
      </c>
      <c r="C225">
        <v>45187181.511415102</v>
      </c>
      <c r="D225">
        <v>20789108.282198399</v>
      </c>
      <c r="E225">
        <v>18502306.371156599</v>
      </c>
      <c r="F225">
        <v>2357596.5743080098</v>
      </c>
      <c r="G225">
        <v>65654237.857316799</v>
      </c>
      <c r="H225">
        <v>14801732.103527199</v>
      </c>
      <c r="I225">
        <v>35661635.048991904</v>
      </c>
      <c r="J225">
        <v>26568031.2359786</v>
      </c>
      <c r="K225">
        <v>166760599.74038199</v>
      </c>
      <c r="L225">
        <v>-14872526.7667934</v>
      </c>
      <c r="M225">
        <v>193328630.97635999</v>
      </c>
      <c r="N225">
        <v>-282680301.24965698</v>
      </c>
      <c r="O225">
        <v>33158705.988543801</v>
      </c>
      <c r="P225">
        <v>21884745.952438898</v>
      </c>
      <c r="Q225">
        <v>34046873.391995601</v>
      </c>
      <c r="R225">
        <v>17023436.695997801</v>
      </c>
      <c r="S225">
        <v>17023436.695997801</v>
      </c>
      <c r="T225">
        <v>16135269.292546101</v>
      </c>
      <c r="U225">
        <v>6609722.8301228201</v>
      </c>
      <c r="V225">
        <v>125784429.127168</v>
      </c>
      <c r="W225">
        <v>21687673.901979901</v>
      </c>
      <c r="X225">
        <v>0.27371657210296901</v>
      </c>
      <c r="Y225">
        <v>191878534.73474699</v>
      </c>
      <c r="Z225">
        <v>87969339.459153503</v>
      </c>
      <c r="AA225">
        <v>0.79347609476874703</v>
      </c>
      <c r="AB225">
        <v>99856889.735919401</v>
      </c>
      <c r="AC225">
        <v>57546381.001430802</v>
      </c>
      <c r="AD225">
        <v>79234054.903410703</v>
      </c>
      <c r="AE225">
        <v>-156895872.12248901</v>
      </c>
      <c r="AF225">
        <v>-8262803.9366706004</v>
      </c>
      <c r="AG225">
        <v>5.5594999999999999E-2</v>
      </c>
      <c r="AH225">
        <v>-476008932.226017</v>
      </c>
      <c r="AI225">
        <v>213753768.586321</v>
      </c>
      <c r="AJ225">
        <v>0.06</v>
      </c>
      <c r="AK225">
        <v>0.05</v>
      </c>
      <c r="AL225">
        <v>8.8099999999999998E-2</v>
      </c>
      <c r="AM225">
        <v>3.8100000000000002E-2</v>
      </c>
      <c r="AN225">
        <v>0.89</v>
      </c>
      <c r="AO225">
        <v>0.66</v>
      </c>
      <c r="AP225">
        <v>0.42970000000000003</v>
      </c>
      <c r="AQ225">
        <v>0.57030000000000003</v>
      </c>
      <c r="AR225">
        <v>8.9999999999999993E-3</v>
      </c>
      <c r="AS225">
        <v>0.5</v>
      </c>
      <c r="AT225">
        <v>1.82</v>
      </c>
      <c r="AU225">
        <v>6.3545217126973294E-2</v>
      </c>
      <c r="AV225">
        <v>0.7893</v>
      </c>
      <c r="AW225">
        <v>3</v>
      </c>
      <c r="AX225">
        <v>0.05</v>
      </c>
      <c r="AY225">
        <v>1</v>
      </c>
      <c r="AZ225">
        <v>1</v>
      </c>
      <c r="BA225" s="2">
        <f>modelo_tese_H__2[[#This Row],[Vw]]+modelo_tese_H__2[[#This Row],[Vr]]+modelo_tese_H__2[[#This Row],[K]]-modelo_tese_H__2[[#This Row],[E]]</f>
        <v>-158345968.36410251</v>
      </c>
      <c r="BB225" s="2">
        <f>modelo_tese_H__2[[#This Row],[K]]-modelo_tese_H__2[[#This Row],[Coluna1]]</f>
        <v>350224503.09884953</v>
      </c>
      <c r="BC225">
        <f>modelo_tese_H__2[[#This Row],[Coluna2]]/modelo_tese_H__2[[#This Row],[Coluna1]]</f>
        <v>-2.2117677306032784</v>
      </c>
      <c r="BD225" s="8">
        <f>modelo_tese_H__2[[#This Row],[D]]-modelo_tese_H__2[[#This Row],[Dw]]-modelo_tese_H__2[[#This Row],[Dr]]</f>
        <v>0</v>
      </c>
    </row>
    <row r="226" spans="1:56" x14ac:dyDescent="0.25">
      <c r="A226">
        <v>225</v>
      </c>
      <c r="B226">
        <v>225</v>
      </c>
      <c r="C226">
        <v>47705562.695424199</v>
      </c>
      <c r="D226">
        <v>21951164.2317512</v>
      </c>
      <c r="E226">
        <v>19536536.1662586</v>
      </c>
      <c r="F226">
        <v>2488613.0208546701</v>
      </c>
      <c r="G226">
        <v>69308796.583351895</v>
      </c>
      <c r="H226">
        <v>15624634.399822799</v>
      </c>
      <c r="I226">
        <v>37649783.586936101</v>
      </c>
      <c r="J226">
        <v>28044402.266742401</v>
      </c>
      <c r="K226">
        <v>176031655.29009601</v>
      </c>
      <c r="L226">
        <v>-15698619.3551849</v>
      </c>
      <c r="M226">
        <v>204076057.55683899</v>
      </c>
      <c r="N226">
        <v>-298378920.60484099</v>
      </c>
      <c r="O226">
        <v>35004442.718864597</v>
      </c>
      <c r="P226">
        <v>23102932.194450598</v>
      </c>
      <c r="Q226">
        <v>35944380.6596945</v>
      </c>
      <c r="R226">
        <v>17972190.329847299</v>
      </c>
      <c r="S226">
        <v>17972190.329847299</v>
      </c>
      <c r="T226">
        <v>17032252.389017299</v>
      </c>
      <c r="U226">
        <v>6976473.2805292103</v>
      </c>
      <c r="V226">
        <v>132760902.40769701</v>
      </c>
      <c r="W226">
        <v>22897227.573732</v>
      </c>
      <c r="X226">
        <v>0.27372675527736601</v>
      </c>
      <c r="Y226">
        <v>202582799.15675399</v>
      </c>
      <c r="Z226">
        <v>92894376.703038201</v>
      </c>
      <c r="AA226">
        <v>0.79343370594723595</v>
      </c>
      <c r="AB226">
        <v>105427766.337773</v>
      </c>
      <c r="AC226">
        <v>60752715.781386703</v>
      </c>
      <c r="AD226">
        <v>83649943.355118707</v>
      </c>
      <c r="AE226">
        <v>-165618018.197144</v>
      </c>
      <c r="AF226">
        <v>-8722146.0746556707</v>
      </c>
      <c r="AG226">
        <v>5.5594999999999999E-2</v>
      </c>
      <c r="AH226">
        <v>-502454978.16167998</v>
      </c>
      <c r="AI226">
        <v>225655279.110735</v>
      </c>
      <c r="AJ226">
        <v>0.06</v>
      </c>
      <c r="AK226">
        <v>0.05</v>
      </c>
      <c r="AL226">
        <v>8.8099999999999998E-2</v>
      </c>
      <c r="AM226">
        <v>3.8100000000000002E-2</v>
      </c>
      <c r="AN226">
        <v>0.89</v>
      </c>
      <c r="AO226">
        <v>0.66</v>
      </c>
      <c r="AP226">
        <v>0.42970000000000003</v>
      </c>
      <c r="AQ226">
        <v>0.57030000000000003</v>
      </c>
      <c r="AR226">
        <v>8.9999999999999993E-3</v>
      </c>
      <c r="AS226">
        <v>0.5</v>
      </c>
      <c r="AT226">
        <v>1.82</v>
      </c>
      <c r="AU226">
        <v>6.3545217126973294E-2</v>
      </c>
      <c r="AV226">
        <v>0.7893</v>
      </c>
      <c r="AW226">
        <v>3</v>
      </c>
      <c r="AX226">
        <v>0.05</v>
      </c>
      <c r="AY226">
        <v>1</v>
      </c>
      <c r="AZ226">
        <v>1</v>
      </c>
      <c r="BA226" s="2">
        <f>modelo_tese_H__2[[#This Row],[Vw]]+modelo_tese_H__2[[#This Row],[Vr]]+modelo_tese_H__2[[#This Row],[K]]-modelo_tese_H__2[[#This Row],[E]]</f>
        <v>-167111276.59722918</v>
      </c>
      <c r="BB226" s="2">
        <f>modelo_tese_H__2[[#This Row],[K]]-modelo_tese_H__2[[#This Row],[Coluna1]]</f>
        <v>369694075.75398314</v>
      </c>
      <c r="BC226">
        <f>modelo_tese_H__2[[#This Row],[Coluna2]]/modelo_tese_H__2[[#This Row],[Coluna1]]</f>
        <v>-2.2122628902238479</v>
      </c>
      <c r="BD226" s="8">
        <f>modelo_tese_H__2[[#This Row],[D]]-modelo_tese_H__2[[#This Row],[Dw]]-modelo_tese_H__2[[#This Row],[Dr]]</f>
        <v>0</v>
      </c>
    </row>
    <row r="227" spans="1:56" x14ac:dyDescent="0.25">
      <c r="A227">
        <v>226</v>
      </c>
      <c r="B227">
        <v>226</v>
      </c>
      <c r="C227">
        <v>50364233.459440701</v>
      </c>
      <c r="D227">
        <v>23178108.737440899</v>
      </c>
      <c r="E227">
        <v>20628516.776322398</v>
      </c>
      <c r="F227">
        <v>2626910.8795042201</v>
      </c>
      <c r="G227">
        <v>73166734.366406694</v>
      </c>
      <c r="H227">
        <v>16493285.949281</v>
      </c>
      <c r="I227">
        <v>39748713.605107598</v>
      </c>
      <c r="J227">
        <v>29602821.419883799</v>
      </c>
      <c r="K227">
        <v>185818135.172824</v>
      </c>
      <c r="L227">
        <v>-16570604.867666701</v>
      </c>
      <c r="M227">
        <v>215420956.59270799</v>
      </c>
      <c r="N227">
        <v>-314949525.47250801</v>
      </c>
      <c r="O227">
        <v>36952896.1446499</v>
      </c>
      <c r="P227">
        <v>24388911.455468901</v>
      </c>
      <c r="Q227">
        <v>37947590.947784796</v>
      </c>
      <c r="R227">
        <v>18973795.473892398</v>
      </c>
      <c r="S227">
        <v>18973795.473892398</v>
      </c>
      <c r="T227">
        <v>17979100.670757499</v>
      </c>
      <c r="U227">
        <v>7363580.8164244303</v>
      </c>
      <c r="V227">
        <v>140124483.22412199</v>
      </c>
      <c r="W227">
        <v>24174199.346648902</v>
      </c>
      <c r="X227">
        <v>0.27373683545678401</v>
      </c>
      <c r="Y227">
        <v>213883830.544797</v>
      </c>
      <c r="Z227">
        <v>98094780.575794801</v>
      </c>
      <c r="AA227">
        <v>0.79339174446287797</v>
      </c>
      <c r="AB227">
        <v>111309230.30590899</v>
      </c>
      <c r="AC227">
        <v>64137625.060576499</v>
      </c>
      <c r="AD227">
        <v>88311824.4072254</v>
      </c>
      <c r="AE227">
        <v>-174825042.24838701</v>
      </c>
      <c r="AF227">
        <v>-9207024.0512422808</v>
      </c>
      <c r="AG227">
        <v>5.5594999999999999E-2</v>
      </c>
      <c r="AH227">
        <v>-530370482.065216</v>
      </c>
      <c r="AI227">
        <v>238219263.799916</v>
      </c>
      <c r="AJ227">
        <v>0.06</v>
      </c>
      <c r="AK227">
        <v>0.05</v>
      </c>
      <c r="AL227">
        <v>8.8099999999999998E-2</v>
      </c>
      <c r="AM227">
        <v>3.8100000000000002E-2</v>
      </c>
      <c r="AN227">
        <v>0.89</v>
      </c>
      <c r="AO227">
        <v>0.66</v>
      </c>
      <c r="AP227">
        <v>0.42970000000000003</v>
      </c>
      <c r="AQ227">
        <v>0.57030000000000003</v>
      </c>
      <c r="AR227">
        <v>8.9999999999999993E-3</v>
      </c>
      <c r="AS227">
        <v>0.5</v>
      </c>
      <c r="AT227">
        <v>1.82</v>
      </c>
      <c r="AU227">
        <v>6.3545217126973294E-2</v>
      </c>
      <c r="AV227">
        <v>0.7893</v>
      </c>
      <c r="AW227">
        <v>3</v>
      </c>
      <c r="AX227">
        <v>0.05</v>
      </c>
      <c r="AY227">
        <v>1</v>
      </c>
      <c r="AZ227">
        <v>1</v>
      </c>
      <c r="BA227" s="2">
        <f>modelo_tese_H__2[[#This Row],[Vw]]+modelo_tese_H__2[[#This Row],[Vr]]+modelo_tese_H__2[[#This Row],[K]]-modelo_tese_H__2[[#This Row],[E]]</f>
        <v>-176362168.29629785</v>
      </c>
      <c r="BB227" s="2">
        <f>modelo_tese_H__2[[#This Row],[K]]-modelo_tese_H__2[[#This Row],[Coluna1]]</f>
        <v>390245998.84109485</v>
      </c>
      <c r="BC227">
        <f>modelo_tese_H__2[[#This Row],[Coluna2]]/modelo_tese_H__2[[#This Row],[Coluna1]]</f>
        <v>-2.2127534641412478</v>
      </c>
      <c r="BD227" s="8">
        <f>modelo_tese_H__2[[#This Row],[D]]-modelo_tese_H__2[[#This Row],[Dw]]-modelo_tese_H__2[[#This Row],[Dr]]</f>
        <v>-9.8347663879394531E-7</v>
      </c>
    </row>
    <row r="228" spans="1:56" x14ac:dyDescent="0.25">
      <c r="A228">
        <v>227</v>
      </c>
      <c r="B228">
        <v>227</v>
      </c>
      <c r="C228">
        <v>53171005.839094698</v>
      </c>
      <c r="D228">
        <v>24473562.090015002</v>
      </c>
      <c r="E228">
        <v>21781470.260113399</v>
      </c>
      <c r="F228">
        <v>2772894.84997031</v>
      </c>
      <c r="G228">
        <v>77239367.259519503</v>
      </c>
      <c r="H228">
        <v>17410230.181631301</v>
      </c>
      <c r="I228">
        <v>41964595.291714899</v>
      </c>
      <c r="J228">
        <v>31247848.7737565</v>
      </c>
      <c r="K228">
        <v>196148694.40437099</v>
      </c>
      <c r="L228">
        <v>-17491033.201699901</v>
      </c>
      <c r="M228">
        <v>227396543.178128</v>
      </c>
      <c r="N228">
        <v>-332440558.67420799</v>
      </c>
      <c r="O228">
        <v>39009781.444201797</v>
      </c>
      <c r="P228">
        <v>25746455.753173199</v>
      </c>
      <c r="Q228">
        <v>40062390.336768404</v>
      </c>
      <c r="R228">
        <v>20031195.168384202</v>
      </c>
      <c r="S228">
        <v>20031195.168384202</v>
      </c>
      <c r="T228">
        <v>18978586.275817599</v>
      </c>
      <c r="U228">
        <v>7772175.7284378204</v>
      </c>
      <c r="V228">
        <v>147896658.95255899</v>
      </c>
      <c r="W228">
        <v>25522345.130975001</v>
      </c>
      <c r="X228">
        <v>0.27374681367214299</v>
      </c>
      <c r="Y228">
        <v>225814881.22385401</v>
      </c>
      <c r="Z228">
        <v>103585930.538386</v>
      </c>
      <c r="AA228">
        <v>0.79335020608082296</v>
      </c>
      <c r="AB228">
        <v>117518588.211427</v>
      </c>
      <c r="AC228">
        <v>67711051.044888094</v>
      </c>
      <c r="AD228">
        <v>93233396.175863102</v>
      </c>
      <c r="AE228">
        <v>-184543899.72164899</v>
      </c>
      <c r="AF228">
        <v>-9718857.4732620902</v>
      </c>
      <c r="AG228">
        <v>5.5594999999999999E-2</v>
      </c>
      <c r="AH228">
        <v>-559837101.85233605</v>
      </c>
      <c r="AI228">
        <v>251482589.49094501</v>
      </c>
      <c r="AJ228">
        <v>0.06</v>
      </c>
      <c r="AK228">
        <v>0.05</v>
      </c>
      <c r="AL228">
        <v>8.8099999999999998E-2</v>
      </c>
      <c r="AM228">
        <v>3.8100000000000002E-2</v>
      </c>
      <c r="AN228">
        <v>0.89</v>
      </c>
      <c r="AO228">
        <v>0.66</v>
      </c>
      <c r="AP228">
        <v>0.42970000000000003</v>
      </c>
      <c r="AQ228">
        <v>0.57030000000000003</v>
      </c>
      <c r="AR228">
        <v>8.9999999999999993E-3</v>
      </c>
      <c r="AS228">
        <v>0.5</v>
      </c>
      <c r="AT228">
        <v>1.82</v>
      </c>
      <c r="AU228">
        <v>6.3545217126973294E-2</v>
      </c>
      <c r="AV228">
        <v>0.7893</v>
      </c>
      <c r="AW228">
        <v>3</v>
      </c>
      <c r="AX228">
        <v>0.05</v>
      </c>
      <c r="AY228">
        <v>1</v>
      </c>
      <c r="AZ228">
        <v>1</v>
      </c>
      <c r="BA228" s="2">
        <f>modelo_tese_H__2[[#This Row],[Vw]]+modelo_tese_H__2[[#This Row],[Vr]]+modelo_tese_H__2[[#This Row],[K]]-modelo_tese_H__2[[#This Row],[E]]</f>
        <v>-186125561.67592305</v>
      </c>
      <c r="BB228" s="2">
        <f>modelo_tese_H__2[[#This Row],[K]]-modelo_tese_H__2[[#This Row],[Coluna1]]</f>
        <v>411940442.89977705</v>
      </c>
      <c r="BC228">
        <f>modelo_tese_H__2[[#This Row],[Coluna2]]/modelo_tese_H__2[[#This Row],[Coluna1]]</f>
        <v>-2.2132394883892248</v>
      </c>
      <c r="BD228" s="8">
        <f>modelo_tese_H__2[[#This Row],[D]]-modelo_tese_H__2[[#This Row],[Dw]]-modelo_tese_H__2[[#This Row],[Dr]]</f>
        <v>0</v>
      </c>
    </row>
    <row r="229" spans="1:56" x14ac:dyDescent="0.25">
      <c r="A229">
        <v>228</v>
      </c>
      <c r="B229">
        <v>228</v>
      </c>
      <c r="C229">
        <v>56134126.749214597</v>
      </c>
      <c r="D229">
        <v>25841346.4272522</v>
      </c>
      <c r="E229">
        <v>22998798.320254501</v>
      </c>
      <c r="F229">
        <v>2926992.1262748698</v>
      </c>
      <c r="G229">
        <v>81538640.845752001</v>
      </c>
      <c r="H229">
        <v>18378151.928579099</v>
      </c>
      <c r="I229">
        <v>44303942.375108398</v>
      </c>
      <c r="J229">
        <v>32984297.861751199</v>
      </c>
      <c r="K229">
        <v>207053581.07614401</v>
      </c>
      <c r="L229">
        <v>-18462595.947856199</v>
      </c>
      <c r="M229">
        <v>240037878.937895</v>
      </c>
      <c r="N229">
        <v>-350903154.62206399</v>
      </c>
      <c r="O229">
        <v>41181131.740278803</v>
      </c>
      <c r="P229">
        <v>27179546.948584002</v>
      </c>
      <c r="Q229">
        <v>42294992.572571397</v>
      </c>
      <c r="R229">
        <v>21147496.286285698</v>
      </c>
      <c r="S229">
        <v>21147496.286285698</v>
      </c>
      <c r="T229">
        <v>20033635.453993</v>
      </c>
      <c r="U229">
        <v>8203451.0798869003</v>
      </c>
      <c r="V229">
        <v>156100110.032446</v>
      </c>
      <c r="W229">
        <v>26945629.998093601</v>
      </c>
      <c r="X229">
        <v>0.273756690944299</v>
      </c>
      <c r="Y229">
        <v>238411055.56407699</v>
      </c>
      <c r="Z229">
        <v>109384064.250193</v>
      </c>
      <c r="AA229">
        <v>0.79330908660561095</v>
      </c>
      <c r="AB229">
        <v>124074110.562557</v>
      </c>
      <c r="AC229">
        <v>71483489.323692396</v>
      </c>
      <c r="AD229">
        <v>98429119.321786001</v>
      </c>
      <c r="AE229">
        <v>-194803044.589618</v>
      </c>
      <c r="AF229">
        <v>-10259144.867969301</v>
      </c>
      <c r="AG229">
        <v>5.5594999999999999E-2</v>
      </c>
      <c r="AH229">
        <v>-590941033.55995905</v>
      </c>
      <c r="AI229">
        <v>265484174.28264001</v>
      </c>
      <c r="AJ229">
        <v>0.06</v>
      </c>
      <c r="AK229">
        <v>0.05</v>
      </c>
      <c r="AL229">
        <v>8.8099999999999998E-2</v>
      </c>
      <c r="AM229">
        <v>3.8100000000000002E-2</v>
      </c>
      <c r="AN229">
        <v>0.89</v>
      </c>
      <c r="AO229">
        <v>0.66</v>
      </c>
      <c r="AP229">
        <v>0.42970000000000003</v>
      </c>
      <c r="AQ229">
        <v>0.57030000000000003</v>
      </c>
      <c r="AR229">
        <v>8.9999999999999993E-3</v>
      </c>
      <c r="AS229">
        <v>0.5</v>
      </c>
      <c r="AT229">
        <v>1.82</v>
      </c>
      <c r="AU229">
        <v>6.3545217126973294E-2</v>
      </c>
      <c r="AV229">
        <v>0.7893</v>
      </c>
      <c r="AW229">
        <v>3</v>
      </c>
      <c r="AX229">
        <v>0.05</v>
      </c>
      <c r="AY229">
        <v>1</v>
      </c>
      <c r="AZ229">
        <v>1</v>
      </c>
      <c r="BA229" s="2">
        <f>modelo_tese_H__2[[#This Row],[Vw]]+modelo_tese_H__2[[#This Row],[Vr]]+modelo_tese_H__2[[#This Row],[K]]-modelo_tese_H__2[[#This Row],[E]]</f>
        <v>-196429867.96343508</v>
      </c>
      <c r="BB229" s="2">
        <f>modelo_tese_H__2[[#This Row],[K]]-modelo_tese_H__2[[#This Row],[Coluna1]]</f>
        <v>434840923.52751207</v>
      </c>
      <c r="BC229">
        <f>modelo_tese_H__2[[#This Row],[Coluna2]]/modelo_tese_H__2[[#This Row],[Coluna1]]</f>
        <v>-2.2137209989290252</v>
      </c>
      <c r="BD229" s="8">
        <f>modelo_tese_H__2[[#This Row],[D]]-modelo_tese_H__2[[#This Row],[Dw]]-modelo_tese_H__2[[#This Row],[Dr]]</f>
        <v>0</v>
      </c>
    </row>
    <row r="230" spans="1:56" x14ac:dyDescent="0.25">
      <c r="A230">
        <v>229</v>
      </c>
      <c r="B230">
        <v>229</v>
      </c>
      <c r="C230">
        <v>59262302.186532199</v>
      </c>
      <c r="D230">
        <v>27285496.981600098</v>
      </c>
      <c r="E230">
        <v>24284092.313624099</v>
      </c>
      <c r="F230">
        <v>3089653.64709552</v>
      </c>
      <c r="G230">
        <v>86077165.255534396</v>
      </c>
      <c r="H230">
        <v>19399885.285048399</v>
      </c>
      <c r="I230">
        <v>46773631.245768003</v>
      </c>
      <c r="J230">
        <v>34817249.760314003</v>
      </c>
      <c r="K230">
        <v>218564724.92219099</v>
      </c>
      <c r="L230">
        <v>-19488134.264167901</v>
      </c>
      <c r="M230">
        <v>253381974.68250501</v>
      </c>
      <c r="N230">
        <v>-370391288.88623202</v>
      </c>
      <c r="O230">
        <v>43473315.785623401</v>
      </c>
      <c r="P230">
        <v>28692388.418511499</v>
      </c>
      <c r="Q230">
        <v>44651957.302389801</v>
      </c>
      <c r="R230">
        <v>22325978.6511949</v>
      </c>
      <c r="S230">
        <v>22325978.6511949</v>
      </c>
      <c r="T230">
        <v>21147337.134428501</v>
      </c>
      <c r="U230">
        <v>8658666.1936643291</v>
      </c>
      <c r="V230">
        <v>164758776.22611099</v>
      </c>
      <c r="W230">
        <v>28448239.824642502</v>
      </c>
      <c r="X230">
        <v>0.27376646828412898</v>
      </c>
      <c r="Y230">
        <v>251709413.09742901</v>
      </c>
      <c r="Z230">
        <v>115506325.423641</v>
      </c>
      <c r="AA230">
        <v>0.79326838188092297</v>
      </c>
      <c r="AB230">
        <v>130995085.474767</v>
      </c>
      <c r="AC230">
        <v>75466019.664279401</v>
      </c>
      <c r="AD230">
        <v>103914259.488922</v>
      </c>
      <c r="AE230">
        <v>-205632512.66012201</v>
      </c>
      <c r="AF230">
        <v>-10829468.0705036</v>
      </c>
      <c r="AG230">
        <v>5.5594999999999999E-2</v>
      </c>
      <c r="AH230">
        <v>-623773263.56873703</v>
      </c>
      <c r="AI230">
        <v>280265101.64975202</v>
      </c>
      <c r="AJ230">
        <v>0.06</v>
      </c>
      <c r="AK230">
        <v>0.05</v>
      </c>
      <c r="AL230">
        <v>8.8099999999999998E-2</v>
      </c>
      <c r="AM230">
        <v>3.8100000000000002E-2</v>
      </c>
      <c r="AN230">
        <v>0.89</v>
      </c>
      <c r="AO230">
        <v>0.66</v>
      </c>
      <c r="AP230">
        <v>0.42970000000000003</v>
      </c>
      <c r="AQ230">
        <v>0.57030000000000003</v>
      </c>
      <c r="AR230">
        <v>8.9999999999999993E-3</v>
      </c>
      <c r="AS230">
        <v>0.5</v>
      </c>
      <c r="AT230">
        <v>1.82</v>
      </c>
      <c r="AU230">
        <v>6.3545217126973294E-2</v>
      </c>
      <c r="AV230">
        <v>0.7893</v>
      </c>
      <c r="AW230">
        <v>3</v>
      </c>
      <c r="AX230">
        <v>0.05</v>
      </c>
      <c r="AY230">
        <v>1</v>
      </c>
      <c r="AZ230">
        <v>1</v>
      </c>
      <c r="BA230" s="2">
        <f>modelo_tese_H__2[[#This Row],[Vw]]+modelo_tese_H__2[[#This Row],[Vr]]+modelo_tese_H__2[[#This Row],[K]]-modelo_tese_H__2[[#This Row],[E]]</f>
        <v>-207305074.245197</v>
      </c>
      <c r="BB230" s="2">
        <f>modelo_tese_H__2[[#This Row],[K]]-modelo_tese_H__2[[#This Row],[Coluna1]]</f>
        <v>459014487.34262598</v>
      </c>
      <c r="BC230">
        <f>modelo_tese_H__2[[#This Row],[Coluna2]]/modelo_tese_H__2[[#This Row],[Coluna1]]</f>
        <v>-2.2141980316396466</v>
      </c>
      <c r="BD230" s="8">
        <f>modelo_tese_H__2[[#This Row],[D]]-modelo_tese_H__2[[#This Row],[Dw]]-modelo_tese_H__2[[#This Row],[Dr]]</f>
        <v>-9.8347663879394531E-7</v>
      </c>
    </row>
    <row r="231" spans="1:56" x14ac:dyDescent="0.25">
      <c r="A231">
        <v>230</v>
      </c>
      <c r="B231">
        <v>230</v>
      </c>
      <c r="C231">
        <v>62564722.779090799</v>
      </c>
      <c r="D231">
        <v>28810273.954293098</v>
      </c>
      <c r="E231">
        <v>25641143.819320899</v>
      </c>
      <c r="F231">
        <v>3261355.4156158902</v>
      </c>
      <c r="G231">
        <v>90868252.131638706</v>
      </c>
      <c r="H231">
        <v>20478421.907470699</v>
      </c>
      <c r="I231">
        <v>49380921.142407402</v>
      </c>
      <c r="J231">
        <v>36752067.960061997</v>
      </c>
      <c r="K231">
        <v>230715830.81012601</v>
      </c>
      <c r="L231">
        <v>-20570647.1881143</v>
      </c>
      <c r="M231">
        <v>267467898.770188</v>
      </c>
      <c r="N231">
        <v>-390961936.07434702</v>
      </c>
      <c r="O231">
        <v>45893056.6321408</v>
      </c>
      <c r="P231">
        <v>30289417.377212901</v>
      </c>
      <c r="Q231">
        <v>47140209.325224102</v>
      </c>
      <c r="R231">
        <v>23570104.662612099</v>
      </c>
      <c r="S231">
        <v>23570104.662612099</v>
      </c>
      <c r="T231">
        <v>22322951.969528701</v>
      </c>
      <c r="U231">
        <v>9139150.3328453004</v>
      </c>
      <c r="V231">
        <v>173897926.558956</v>
      </c>
      <c r="W231">
        <v>30034593.584694602</v>
      </c>
      <c r="X231">
        <v>0.27377614669261902</v>
      </c>
      <c r="Y231">
        <v>265749077.37394401</v>
      </c>
      <c r="Z231">
        <v>121970814.345724</v>
      </c>
      <c r="AA231">
        <v>0.79322808778934994</v>
      </c>
      <c r="AB231">
        <v>138301875.32825801</v>
      </c>
      <c r="AC231">
        <v>79670338.519620299</v>
      </c>
      <c r="AD231">
        <v>109704932.104315</v>
      </c>
      <c r="AE231">
        <v>-217064009.51539099</v>
      </c>
      <c r="AF231">
        <v>-11431496.855269</v>
      </c>
      <c r="AG231">
        <v>5.5594999999999999E-2</v>
      </c>
      <c r="AH231">
        <v>-658429834.84453499</v>
      </c>
      <c r="AI231">
        <v>295868740.90468001</v>
      </c>
      <c r="AJ231">
        <v>0.06</v>
      </c>
      <c r="AK231">
        <v>0.05</v>
      </c>
      <c r="AL231">
        <v>8.8099999999999998E-2</v>
      </c>
      <c r="AM231">
        <v>3.8100000000000002E-2</v>
      </c>
      <c r="AN231">
        <v>0.89</v>
      </c>
      <c r="AO231">
        <v>0.66</v>
      </c>
      <c r="AP231">
        <v>0.42970000000000003</v>
      </c>
      <c r="AQ231">
        <v>0.57030000000000003</v>
      </c>
      <c r="AR231">
        <v>8.9999999999999993E-3</v>
      </c>
      <c r="AS231">
        <v>0.5</v>
      </c>
      <c r="AT231">
        <v>1.82</v>
      </c>
      <c r="AU231">
        <v>6.3545217126973294E-2</v>
      </c>
      <c r="AV231">
        <v>0.7893</v>
      </c>
      <c r="AW231">
        <v>3</v>
      </c>
      <c r="AX231">
        <v>0.05</v>
      </c>
      <c r="AY231">
        <v>1</v>
      </c>
      <c r="AZ231">
        <v>1</v>
      </c>
      <c r="BA231" s="2">
        <f>modelo_tese_H__2[[#This Row],[Vw]]+modelo_tese_H__2[[#This Row],[Vr]]+modelo_tese_H__2[[#This Row],[K]]-modelo_tese_H__2[[#This Row],[E]]</f>
        <v>-218782830.91163498</v>
      </c>
      <c r="BB231" s="2">
        <f>modelo_tese_H__2[[#This Row],[K]]-modelo_tese_H__2[[#This Row],[Coluna1]]</f>
        <v>484531908.28557897</v>
      </c>
      <c r="BC231">
        <f>modelo_tese_H__2[[#This Row],[Coluna2]]/modelo_tese_H__2[[#This Row],[Coluna1]]</f>
        <v>-2.2146706223089252</v>
      </c>
      <c r="BD231" s="8">
        <f>modelo_tese_H__2[[#This Row],[D]]-modelo_tese_H__2[[#This Row],[Dw]]-modelo_tese_H__2[[#This Row],[Dr]]</f>
        <v>0</v>
      </c>
    </row>
    <row r="232" spans="1:56" x14ac:dyDescent="0.25">
      <c r="A232">
        <v>231</v>
      </c>
      <c r="B232">
        <v>231</v>
      </c>
      <c r="C232">
        <v>66051090.757272601</v>
      </c>
      <c r="D232">
        <v>30420175.050830401</v>
      </c>
      <c r="E232">
        <v>27073955.795239002</v>
      </c>
      <c r="F232">
        <v>3442599.8927426902</v>
      </c>
      <c r="G232">
        <v>95925953.650092795</v>
      </c>
      <c r="H232">
        <v>21616919.773416501</v>
      </c>
      <c r="I232">
        <v>52133475.461398199</v>
      </c>
      <c r="J232">
        <v>38794414.063526303</v>
      </c>
      <c r="K232">
        <v>243542477.42967701</v>
      </c>
      <c r="L232">
        <v>-21713300.410567898</v>
      </c>
      <c r="M232">
        <v>282336891.49320298</v>
      </c>
      <c r="N232">
        <v>-412675236.484914</v>
      </c>
      <c r="O232">
        <v>48447451.338430703</v>
      </c>
      <c r="P232">
        <v>31975317.883364301</v>
      </c>
      <c r="Q232">
        <v>49767058.913554303</v>
      </c>
      <c r="R232">
        <v>24883529.4567772</v>
      </c>
      <c r="S232">
        <v>24883529.4567772</v>
      </c>
      <c r="T232">
        <v>23563921.881653599</v>
      </c>
      <c r="U232">
        <v>9646306.5857791994</v>
      </c>
      <c r="V232">
        <v>183544233.14473501</v>
      </c>
      <c r="W232">
        <v>31709356.3260644</v>
      </c>
      <c r="X232">
        <v>0.273785727160963</v>
      </c>
      <c r="Y232">
        <v>280571350.87698901</v>
      </c>
      <c r="Z232">
        <v>128796641.215011</v>
      </c>
      <c r="AA232">
        <v>0.79318820025213699</v>
      </c>
      <c r="AB232">
        <v>146015976.57909</v>
      </c>
      <c r="AC232">
        <v>84108793.344762504</v>
      </c>
      <c r="AD232">
        <v>115818149.670827</v>
      </c>
      <c r="AE232">
        <v>-229131003.340179</v>
      </c>
      <c r="AF232">
        <v>-12066993.824788701</v>
      </c>
      <c r="AG232">
        <v>5.5594999999999999E-2</v>
      </c>
      <c r="AH232">
        <v>-695012127.97811699</v>
      </c>
      <c r="AI232">
        <v>312340874.35974598</v>
      </c>
      <c r="AJ232">
        <v>0.06</v>
      </c>
      <c r="AK232">
        <v>0.05</v>
      </c>
      <c r="AL232">
        <v>8.8099999999999998E-2</v>
      </c>
      <c r="AM232">
        <v>3.8100000000000002E-2</v>
      </c>
      <c r="AN232">
        <v>0.89</v>
      </c>
      <c r="AO232">
        <v>0.66</v>
      </c>
      <c r="AP232">
        <v>0.42970000000000003</v>
      </c>
      <c r="AQ232">
        <v>0.57030000000000003</v>
      </c>
      <c r="AR232">
        <v>8.9999999999999993E-3</v>
      </c>
      <c r="AS232">
        <v>0.5</v>
      </c>
      <c r="AT232">
        <v>1.82</v>
      </c>
      <c r="AU232">
        <v>6.3545217126973294E-2</v>
      </c>
      <c r="AV232">
        <v>0.7893</v>
      </c>
      <c r="AW232">
        <v>3</v>
      </c>
      <c r="AX232">
        <v>0.05</v>
      </c>
      <c r="AY232">
        <v>1</v>
      </c>
      <c r="AZ232">
        <v>1</v>
      </c>
      <c r="BA232" s="2">
        <f>modelo_tese_H__2[[#This Row],[Vw]]+modelo_tese_H__2[[#This Row],[Vr]]+modelo_tese_H__2[[#This Row],[K]]-modelo_tese_H__2[[#This Row],[E]]</f>
        <v>-230896543.956393</v>
      </c>
      <c r="BB232" s="2">
        <f>modelo_tese_H__2[[#This Row],[K]]-modelo_tese_H__2[[#This Row],[Coluna1]]</f>
        <v>511467894.83338201</v>
      </c>
      <c r="BC232">
        <f>modelo_tese_H__2[[#This Row],[Coluna2]]/modelo_tese_H__2[[#This Row],[Coluna1]]</f>
        <v>-2.2151388066249167</v>
      </c>
      <c r="BD232" s="8">
        <f>modelo_tese_H__2[[#This Row],[D]]-modelo_tese_H__2[[#This Row],[Dw]]-modelo_tese_H__2[[#This Row],[Dr]]</f>
        <v>0</v>
      </c>
    </row>
    <row r="233" spans="1:56" x14ac:dyDescent="0.25">
      <c r="A233">
        <v>232</v>
      </c>
      <c r="B233">
        <v>232</v>
      </c>
      <c r="C233">
        <v>69731648.425538003</v>
      </c>
      <c r="D233">
        <v>32119948.7146376</v>
      </c>
      <c r="E233">
        <v>28586754.356027499</v>
      </c>
      <c r="F233">
        <v>3633917.4677675101</v>
      </c>
      <c r="G233">
        <v>101265103.71137799</v>
      </c>
      <c r="H233">
        <v>22818712.428219602</v>
      </c>
      <c r="I233">
        <v>55039384.2520146</v>
      </c>
      <c r="J233">
        <v>40950264.355473503</v>
      </c>
      <c r="K233">
        <v>257082221.46782601</v>
      </c>
      <c r="L233">
        <v>-22919435.537377</v>
      </c>
      <c r="M233">
        <v>298032485.82329899</v>
      </c>
      <c r="N233">
        <v>-435594672.022291</v>
      </c>
      <c r="O233">
        <v>51143991.773423098</v>
      </c>
      <c r="P233">
        <v>33755034.570459202</v>
      </c>
      <c r="Q233">
        <v>52540223.2657438</v>
      </c>
      <c r="R233">
        <v>26270111.6328719</v>
      </c>
      <c r="S233">
        <v>26270111.6328719</v>
      </c>
      <c r="T233">
        <v>24873880.140551198</v>
      </c>
      <c r="U233">
        <v>10181615.9670278</v>
      </c>
      <c r="V233">
        <v>193725849.111763</v>
      </c>
      <c r="W233">
        <v>33477452.868807901</v>
      </c>
      <c r="X233">
        <v>0.273795210670641</v>
      </c>
      <c r="Y233">
        <v>296219836.33471</v>
      </c>
      <c r="Z233">
        <v>136003982.45094699</v>
      </c>
      <c r="AA233">
        <v>0.79314871522894403</v>
      </c>
      <c r="AB233">
        <v>154160082.89944401</v>
      </c>
      <c r="AC233">
        <v>88794418.822473794</v>
      </c>
      <c r="AD233">
        <v>122271871.691282</v>
      </c>
      <c r="AE233">
        <v>-241868822.910528</v>
      </c>
      <c r="AF233">
        <v>-12737819.5703492</v>
      </c>
      <c r="AG233">
        <v>5.5594999999999999E-2</v>
      </c>
      <c r="AH233">
        <v>-733627157.84559</v>
      </c>
      <c r="AI233">
        <v>329729831.56270999</v>
      </c>
      <c r="AJ233">
        <v>0.06</v>
      </c>
      <c r="AK233">
        <v>0.05</v>
      </c>
      <c r="AL233">
        <v>8.8099999999999998E-2</v>
      </c>
      <c r="AM233">
        <v>3.8100000000000002E-2</v>
      </c>
      <c r="AN233">
        <v>0.89</v>
      </c>
      <c r="AO233">
        <v>0.66</v>
      </c>
      <c r="AP233">
        <v>0.42970000000000003</v>
      </c>
      <c r="AQ233">
        <v>0.57030000000000003</v>
      </c>
      <c r="AR233">
        <v>8.9999999999999993E-3</v>
      </c>
      <c r="AS233">
        <v>0.5</v>
      </c>
      <c r="AT233">
        <v>1.82</v>
      </c>
      <c r="AU233">
        <v>6.3545217126973294E-2</v>
      </c>
      <c r="AV233">
        <v>0.7893</v>
      </c>
      <c r="AW233">
        <v>3</v>
      </c>
      <c r="AX233">
        <v>0.05</v>
      </c>
      <c r="AY233">
        <v>1</v>
      </c>
      <c r="AZ233">
        <v>1</v>
      </c>
      <c r="BA233" s="2">
        <f>modelo_tese_H__2[[#This Row],[Vw]]+modelo_tese_H__2[[#This Row],[Vr]]+modelo_tese_H__2[[#This Row],[K]]-modelo_tese_H__2[[#This Row],[E]]</f>
        <v>-243681472.39911699</v>
      </c>
      <c r="BB233" s="2">
        <f>modelo_tese_H__2[[#This Row],[K]]-modelo_tese_H__2[[#This Row],[Coluna1]]</f>
        <v>539901308.73382699</v>
      </c>
      <c r="BC233">
        <f>modelo_tese_H__2[[#This Row],[Coluna2]]/modelo_tese_H__2[[#This Row],[Coluna1]]</f>
        <v>-2.2156026201677834</v>
      </c>
      <c r="BD233" s="8">
        <f>modelo_tese_H__2[[#This Row],[D]]-modelo_tese_H__2[[#This Row],[Dw]]-modelo_tese_H__2[[#This Row],[Dr]]</f>
        <v>0</v>
      </c>
    </row>
    <row r="234" spans="1:56" x14ac:dyDescent="0.25">
      <c r="A234">
        <v>233</v>
      </c>
      <c r="B234">
        <v>233</v>
      </c>
      <c r="C234">
        <v>73617208.218362302</v>
      </c>
      <c r="D234">
        <v>33914608.097783901</v>
      </c>
      <c r="E234">
        <v>30184001.207027599</v>
      </c>
      <c r="F234">
        <v>3835868.0107787298</v>
      </c>
      <c r="G234">
        <v>106901361.422602</v>
      </c>
      <c r="H234">
        <v>24087318.7456665</v>
      </c>
      <c r="I234">
        <v>58107187.963472798</v>
      </c>
      <c r="J234">
        <v>43225927.294308603</v>
      </c>
      <c r="K234">
        <v>271374707.57556802</v>
      </c>
      <c r="L234">
        <v>-24192579.865688998</v>
      </c>
      <c r="M234">
        <v>314600634.86987698</v>
      </c>
      <c r="N234">
        <v>-459787251.88797998</v>
      </c>
      <c r="O234">
        <v>53990586.577071801</v>
      </c>
      <c r="P234">
        <v>35633787.140867397</v>
      </c>
      <c r="Q234">
        <v>55467849.152078398</v>
      </c>
      <c r="R234">
        <v>27733924.576039199</v>
      </c>
      <c r="S234">
        <v>27733924.576039199</v>
      </c>
      <c r="T234">
        <v>26256662.001032699</v>
      </c>
      <c r="U234">
        <v>10746641.7461432</v>
      </c>
      <c r="V234">
        <v>204472490.85790601</v>
      </c>
      <c r="W234">
        <v>35344082.266100399</v>
      </c>
      <c r="X234">
        <v>0.27380459819351699</v>
      </c>
      <c r="Y234">
        <v>312740564.78360498</v>
      </c>
      <c r="Z234">
        <v>143614140.14100799</v>
      </c>
      <c r="AA234">
        <v>0.79310962871757196</v>
      </c>
      <c r="AB234">
        <v>162758151.83225799</v>
      </c>
      <c r="AC234">
        <v>93740975.104340196</v>
      </c>
      <c r="AD234">
        <v>129085057.370441</v>
      </c>
      <c r="AE234">
        <v>-255314761.030074</v>
      </c>
      <c r="AF234">
        <v>-13445938.119545801</v>
      </c>
      <c r="AG234">
        <v>5.5594999999999999E-2</v>
      </c>
      <c r="AH234">
        <v>-774387886.75785697</v>
      </c>
      <c r="AI234">
        <v>348086630.998914</v>
      </c>
      <c r="AJ234">
        <v>0.06</v>
      </c>
      <c r="AK234">
        <v>0.05</v>
      </c>
      <c r="AL234">
        <v>8.8099999999999998E-2</v>
      </c>
      <c r="AM234">
        <v>3.8100000000000002E-2</v>
      </c>
      <c r="AN234">
        <v>0.89</v>
      </c>
      <c r="AO234">
        <v>0.66</v>
      </c>
      <c r="AP234">
        <v>0.42970000000000003</v>
      </c>
      <c r="AQ234">
        <v>0.57030000000000003</v>
      </c>
      <c r="AR234">
        <v>8.9999999999999993E-3</v>
      </c>
      <c r="AS234">
        <v>0.5</v>
      </c>
      <c r="AT234">
        <v>1.82</v>
      </c>
      <c r="AU234">
        <v>6.3545217126973294E-2</v>
      </c>
      <c r="AV234">
        <v>0.7893</v>
      </c>
      <c r="AW234">
        <v>3</v>
      </c>
      <c r="AX234">
        <v>0.05</v>
      </c>
      <c r="AY234">
        <v>1</v>
      </c>
      <c r="AZ234">
        <v>1</v>
      </c>
      <c r="BA234" s="2">
        <f>modelo_tese_H__2[[#This Row],[Vw]]+modelo_tese_H__2[[#This Row],[Vr]]+modelo_tese_H__2[[#This Row],[K]]-modelo_tese_H__2[[#This Row],[E]]</f>
        <v>-257174831.11634597</v>
      </c>
      <c r="BB234" s="2">
        <f>modelo_tese_H__2[[#This Row],[K]]-modelo_tese_H__2[[#This Row],[Coluna1]]</f>
        <v>569915395.89995098</v>
      </c>
      <c r="BC234">
        <f>modelo_tese_H__2[[#This Row],[Coluna2]]/modelo_tese_H__2[[#This Row],[Coluna1]]</f>
        <v>-2.2160620984023165</v>
      </c>
      <c r="BD234" s="8">
        <f>modelo_tese_H__2[[#This Row],[D]]-modelo_tese_H__2[[#This Row],[Dw]]-modelo_tese_H__2[[#This Row],[Dr]]</f>
        <v>0</v>
      </c>
    </row>
    <row r="235" spans="1:56" x14ac:dyDescent="0.25">
      <c r="A235">
        <v>234</v>
      </c>
      <c r="B235">
        <v>234</v>
      </c>
      <c r="C235">
        <v>77719184.428504899</v>
      </c>
      <c r="D235">
        <v>35809445.8097919</v>
      </c>
      <c r="E235">
        <v>31870406.770714801</v>
      </c>
      <c r="F235">
        <v>4049042.5113677299</v>
      </c>
      <c r="G235">
        <v>112851256.998069</v>
      </c>
      <c r="H235">
        <v>25426453.231331799</v>
      </c>
      <c r="I235">
        <v>61345902.513414301</v>
      </c>
      <c r="J235">
        <v>45628061.975763202</v>
      </c>
      <c r="K235">
        <v>286461784.44827098</v>
      </c>
      <c r="L235">
        <v>-25536456.703622401</v>
      </c>
      <c r="M235">
        <v>332089846.424034</v>
      </c>
      <c r="N235">
        <v>-485323708.59160298</v>
      </c>
      <c r="O235">
        <v>56995584.342459202</v>
      </c>
      <c r="P235">
        <v>37617085.666023098</v>
      </c>
      <c r="Q235">
        <v>58558536.8208462</v>
      </c>
      <c r="R235">
        <v>29279268.4104231</v>
      </c>
      <c r="S235">
        <v>29279268.4104231</v>
      </c>
      <c r="T235">
        <v>27716315.932036102</v>
      </c>
      <c r="U235">
        <v>11343034.0169455</v>
      </c>
      <c r="V235">
        <v>215815524.874852</v>
      </c>
      <c r="W235">
        <v>37314733.0699137</v>
      </c>
      <c r="X235">
        <v>0.27381389069192102</v>
      </c>
      <c r="Y235">
        <v>330182130.75993198</v>
      </c>
      <c r="Z235">
        <v>151649604.80049899</v>
      </c>
      <c r="AA235">
        <v>0.79307093675371299</v>
      </c>
      <c r="AB235">
        <v>171835475.15582699</v>
      </c>
      <c r="AC235">
        <v>98962988.179437399</v>
      </c>
      <c r="AD235">
        <v>136277721.24935099</v>
      </c>
      <c r="AE235">
        <v>-269508183.71675098</v>
      </c>
      <c r="AF235">
        <v>-14193422.686676901</v>
      </c>
      <c r="AG235">
        <v>5.5594999999999999E-2</v>
      </c>
      <c r="AH235">
        <v>-817413555.01563704</v>
      </c>
      <c r="AI235">
        <v>367465129.67535001</v>
      </c>
      <c r="AJ235">
        <v>0.06</v>
      </c>
      <c r="AK235">
        <v>0.05</v>
      </c>
      <c r="AL235">
        <v>8.8099999999999998E-2</v>
      </c>
      <c r="AM235">
        <v>3.8100000000000002E-2</v>
      </c>
      <c r="AN235">
        <v>0.89</v>
      </c>
      <c r="AO235">
        <v>0.66</v>
      </c>
      <c r="AP235">
        <v>0.42970000000000003</v>
      </c>
      <c r="AQ235">
        <v>0.57030000000000003</v>
      </c>
      <c r="AR235">
        <v>8.9999999999999993E-3</v>
      </c>
      <c r="AS235">
        <v>0.5</v>
      </c>
      <c r="AT235">
        <v>1.82</v>
      </c>
      <c r="AU235">
        <v>6.3545217126973294E-2</v>
      </c>
      <c r="AV235">
        <v>0.7893</v>
      </c>
      <c r="AW235">
        <v>3</v>
      </c>
      <c r="AX235">
        <v>0.05</v>
      </c>
      <c r="AY235">
        <v>1</v>
      </c>
      <c r="AZ235">
        <v>1</v>
      </c>
      <c r="BA235" s="2">
        <f>modelo_tese_H__2[[#This Row],[Vw]]+modelo_tese_H__2[[#This Row],[Vr]]+modelo_tese_H__2[[#This Row],[K]]-modelo_tese_H__2[[#This Row],[E]]</f>
        <v>-271415899.38085401</v>
      </c>
      <c r="BB235" s="2">
        <f>modelo_tese_H__2[[#This Row],[K]]-modelo_tese_H__2[[#This Row],[Coluna1]]</f>
        <v>601598030.14078593</v>
      </c>
      <c r="BC235">
        <f>modelo_tese_H__2[[#This Row],[Coluna2]]/modelo_tese_H__2[[#This Row],[Coluna1]]</f>
        <v>-2.2165172766707246</v>
      </c>
      <c r="BD235" s="8">
        <f>modelo_tese_H__2[[#This Row],[D]]-modelo_tese_H__2[[#This Row],[Dw]]-modelo_tese_H__2[[#This Row],[Dr]]</f>
        <v>0</v>
      </c>
    </row>
    <row r="236" spans="1:56" x14ac:dyDescent="0.25">
      <c r="A236">
        <v>235</v>
      </c>
      <c r="B236">
        <v>235</v>
      </c>
      <c r="C236">
        <v>82049626.700642496</v>
      </c>
      <c r="D236">
        <v>37810049.487859502</v>
      </c>
      <c r="E236">
        <v>33650944.044194899</v>
      </c>
      <c r="F236">
        <v>4274064.80842645</v>
      </c>
      <c r="G236">
        <v>119132240.212724</v>
      </c>
      <c r="H236">
        <v>26840036.8987277</v>
      </c>
      <c r="I236">
        <v>64765045.751349099</v>
      </c>
      <c r="J236">
        <v>48163697.6229131</v>
      </c>
      <c r="K236">
        <v>302387627.359519</v>
      </c>
      <c r="L236">
        <v>-26954996.2634896</v>
      </c>
      <c r="M236">
        <v>350551324.98243201</v>
      </c>
      <c r="N236">
        <v>-512278704.85509199</v>
      </c>
      <c r="O236">
        <v>60167798.087234303</v>
      </c>
      <c r="P236">
        <v>39710746.7375746</v>
      </c>
      <c r="Q236">
        <v>61821365.234553799</v>
      </c>
      <c r="R236">
        <v>30910682.6172769</v>
      </c>
      <c r="S236">
        <v>30910682.6172769</v>
      </c>
      <c r="T236">
        <v>29257115.4699574</v>
      </c>
      <c r="U236">
        <v>11972534.520664001</v>
      </c>
      <c r="V236">
        <v>227788059.39551601</v>
      </c>
      <c r="W236">
        <v>39395199.446272597</v>
      </c>
      <c r="X236">
        <v>0.27382308911873998</v>
      </c>
      <c r="Y236">
        <v>348595835.01561803</v>
      </c>
      <c r="Z236">
        <v>160134121.62949401</v>
      </c>
      <c r="AA236">
        <v>0.79303263541066304</v>
      </c>
      <c r="AB236">
        <v>181418753.16479799</v>
      </c>
      <c r="AC236">
        <v>104475792.488924</v>
      </c>
      <c r="AD236">
        <v>143870991.93519601</v>
      </c>
      <c r="AE236">
        <v>-284490645.45957702</v>
      </c>
      <c r="AF236">
        <v>-14982461.742825599</v>
      </c>
      <c r="AG236">
        <v>5.5594999999999999E-2</v>
      </c>
      <c r="AH236">
        <v>-862830029.83752501</v>
      </c>
      <c r="AI236">
        <v>387922181.02500999</v>
      </c>
      <c r="AJ236">
        <v>0.06</v>
      </c>
      <c r="AK236">
        <v>0.05</v>
      </c>
      <c r="AL236">
        <v>8.8099999999999998E-2</v>
      </c>
      <c r="AM236">
        <v>3.8100000000000002E-2</v>
      </c>
      <c r="AN236">
        <v>0.89</v>
      </c>
      <c r="AO236">
        <v>0.66</v>
      </c>
      <c r="AP236">
        <v>0.42970000000000003</v>
      </c>
      <c r="AQ236">
        <v>0.57030000000000003</v>
      </c>
      <c r="AR236">
        <v>8.9999999999999993E-3</v>
      </c>
      <c r="AS236">
        <v>0.5</v>
      </c>
      <c r="AT236">
        <v>1.82</v>
      </c>
      <c r="AU236">
        <v>6.3545217126973294E-2</v>
      </c>
      <c r="AV236">
        <v>0.7893</v>
      </c>
      <c r="AW236">
        <v>3</v>
      </c>
      <c r="AX236">
        <v>0.05</v>
      </c>
      <c r="AY236">
        <v>1</v>
      </c>
      <c r="AZ236">
        <v>1</v>
      </c>
      <c r="BA236" s="2">
        <f>modelo_tese_H__2[[#This Row],[Vw]]+modelo_tese_H__2[[#This Row],[Vr]]+modelo_tese_H__2[[#This Row],[K]]-modelo_tese_H__2[[#This Row],[E]]</f>
        <v>-286446135.42639101</v>
      </c>
      <c r="BB236" s="2">
        <f>modelo_tese_H__2[[#This Row],[K]]-modelo_tese_H__2[[#This Row],[Coluna1]]</f>
        <v>635041970.44200897</v>
      </c>
      <c r="BC236">
        <f>modelo_tese_H__2[[#This Row],[Coluna2]]/modelo_tese_H__2[[#This Row],[Coluna1]]</f>
        <v>-2.2169681901859617</v>
      </c>
      <c r="BD236" s="8">
        <f>modelo_tese_H__2[[#This Row],[D]]-modelo_tese_H__2[[#This Row],[Dw]]-modelo_tese_H__2[[#This Row],[Dr]]</f>
        <v>-1.0430812835693359E-6</v>
      </c>
    </row>
    <row r="237" spans="1:56" x14ac:dyDescent="0.25">
      <c r="A237">
        <v>236</v>
      </c>
      <c r="B237">
        <v>236</v>
      </c>
      <c r="C237">
        <v>86621255.388582006</v>
      </c>
      <c r="D237">
        <v>39922318.234230101</v>
      </c>
      <c r="E237">
        <v>35530863.228464797</v>
      </c>
      <c r="F237">
        <v>4511593.4160999898</v>
      </c>
      <c r="G237">
        <v>125762731.550464</v>
      </c>
      <c r="H237">
        <v>28332208.750112399</v>
      </c>
      <c r="I237">
        <v>68374665.394677207</v>
      </c>
      <c r="J237">
        <v>50840254.159580097</v>
      </c>
      <c r="K237">
        <v>319198867.50723398</v>
      </c>
      <c r="L237">
        <v>-28452347.160447098</v>
      </c>
      <c r="M237">
        <v>370039121.66681403</v>
      </c>
      <c r="N237">
        <v>-540731052.01554</v>
      </c>
      <c r="O237">
        <v>63516531.086093202</v>
      </c>
      <c r="P237">
        <v>41920910.516821504</v>
      </c>
      <c r="Q237">
        <v>65265918.710281797</v>
      </c>
      <c r="R237">
        <v>32632959.355140898</v>
      </c>
      <c r="S237">
        <v>32632959.355140898</v>
      </c>
      <c r="T237">
        <v>30883571.7309523</v>
      </c>
      <c r="U237">
        <v>12636981.737047501</v>
      </c>
      <c r="V237">
        <v>240425041.13256299</v>
      </c>
      <c r="W237">
        <v>41591598.1873651</v>
      </c>
      <c r="X237">
        <v>0.273832194417504</v>
      </c>
      <c r="Y237">
        <v>368035835.17735702</v>
      </c>
      <c r="Z237">
        <v>169092760.46171901</v>
      </c>
      <c r="AA237">
        <v>0.79299472079907896</v>
      </c>
      <c r="AB237">
        <v>191536173.08550501</v>
      </c>
      <c r="AC237">
        <v>110295575.91149899</v>
      </c>
      <c r="AD237">
        <v>151887174.09886399</v>
      </c>
      <c r="AE237">
        <v>-300306010.882976</v>
      </c>
      <c r="AF237">
        <v>-15815365.423399599</v>
      </c>
      <c r="AG237">
        <v>5.5594999999999999E-2</v>
      </c>
      <c r="AH237">
        <v>-910770173.68235302</v>
      </c>
      <c r="AI237">
        <v>409517801.59428197</v>
      </c>
      <c r="AJ237">
        <v>0.06</v>
      </c>
      <c r="AK237">
        <v>0.05</v>
      </c>
      <c r="AL237">
        <v>8.8099999999999998E-2</v>
      </c>
      <c r="AM237">
        <v>3.8100000000000002E-2</v>
      </c>
      <c r="AN237">
        <v>0.89</v>
      </c>
      <c r="AO237">
        <v>0.66</v>
      </c>
      <c r="AP237">
        <v>0.42970000000000003</v>
      </c>
      <c r="AQ237">
        <v>0.57030000000000003</v>
      </c>
      <c r="AR237">
        <v>8.9999999999999993E-3</v>
      </c>
      <c r="AS237">
        <v>0.5</v>
      </c>
      <c r="AT237">
        <v>1.82</v>
      </c>
      <c r="AU237">
        <v>6.3545217126973294E-2</v>
      </c>
      <c r="AV237">
        <v>0.7893</v>
      </c>
      <c r="AW237">
        <v>3</v>
      </c>
      <c r="AX237">
        <v>0.05</v>
      </c>
      <c r="AY237">
        <v>1</v>
      </c>
      <c r="AZ237">
        <v>1</v>
      </c>
      <c r="BA237" s="2">
        <f>modelo_tese_H__2[[#This Row],[Vw]]+modelo_tese_H__2[[#This Row],[Vr]]+modelo_tese_H__2[[#This Row],[K]]-modelo_tese_H__2[[#This Row],[E]]</f>
        <v>-302309297.37243307</v>
      </c>
      <c r="BB237" s="2">
        <f>modelo_tese_H__2[[#This Row],[K]]-modelo_tese_H__2[[#This Row],[Coluna1]]</f>
        <v>670345132.54979014</v>
      </c>
      <c r="BC237">
        <f>modelo_tese_H__2[[#This Row],[Coluna2]]/modelo_tese_H__2[[#This Row],[Coluna1]]</f>
        <v>-2.2174148740253647</v>
      </c>
      <c r="BD237" s="8">
        <f>modelo_tese_H__2[[#This Row],[D]]-modelo_tese_H__2[[#This Row],[Dw]]-modelo_tese_H__2[[#This Row],[Dr]]</f>
        <v>1.0132789611816406E-6</v>
      </c>
    </row>
    <row r="238" spans="1:56" x14ac:dyDescent="0.25">
      <c r="A238">
        <v>237</v>
      </c>
      <c r="B238">
        <v>237</v>
      </c>
      <c r="C238">
        <v>91447498.879718095</v>
      </c>
      <c r="D238">
        <v>42152479.968979001</v>
      </c>
      <c r="E238">
        <v>37515707.172391303</v>
      </c>
      <c r="F238">
        <v>4762323.4512393</v>
      </c>
      <c r="G238">
        <v>132762176.19717699</v>
      </c>
      <c r="H238">
        <v>29907337.895574901</v>
      </c>
      <c r="I238">
        <v>72185368.5192056</v>
      </c>
      <c r="J238">
        <v>53665563.927339397</v>
      </c>
      <c r="K238">
        <v>336944728.55078298</v>
      </c>
      <c r="L238">
        <v>-30032888.550226599</v>
      </c>
      <c r="M238">
        <v>390610292.47812301</v>
      </c>
      <c r="N238">
        <v>-570763940.56576598</v>
      </c>
      <c r="O238">
        <v>67051604.139988601</v>
      </c>
      <c r="P238">
        <v>44254058.732392497</v>
      </c>
      <c r="Q238">
        <v>68902315.042284504</v>
      </c>
      <c r="R238">
        <v>34451157.521142296</v>
      </c>
      <c r="S238">
        <v>34451157.521142296</v>
      </c>
      <c r="T238">
        <v>32600446.618846301</v>
      </c>
      <c r="U238">
        <v>13338316.2583338</v>
      </c>
      <c r="V238">
        <v>253763357.39089701</v>
      </c>
      <c r="W238">
        <v>43910386.670404598</v>
      </c>
      <c r="X238">
        <v>0.27384120752247099</v>
      </c>
      <c r="Y238">
        <v>388559304.79091001</v>
      </c>
      <c r="Z238">
        <v>178551989.61098099</v>
      </c>
      <c r="AA238">
        <v>0.792957189066679</v>
      </c>
      <c r="AB238">
        <v>202217491.85569099</v>
      </c>
      <c r="AC238">
        <v>116439427.251598</v>
      </c>
      <c r="AD238">
        <v>160349813.922003</v>
      </c>
      <c r="AE238">
        <v>-317000583.174869</v>
      </c>
      <c r="AF238">
        <v>-16694572.2918928</v>
      </c>
      <c r="AG238">
        <v>5.5594999999999999E-2</v>
      </c>
      <c r="AH238">
        <v>-961374233.04388905</v>
      </c>
      <c r="AI238">
        <v>432315347.00187802</v>
      </c>
      <c r="AJ238">
        <v>0.06</v>
      </c>
      <c r="AK238">
        <v>0.05</v>
      </c>
      <c r="AL238">
        <v>8.8099999999999998E-2</v>
      </c>
      <c r="AM238">
        <v>3.8100000000000002E-2</v>
      </c>
      <c r="AN238">
        <v>0.89</v>
      </c>
      <c r="AO238">
        <v>0.66</v>
      </c>
      <c r="AP238">
        <v>0.42970000000000003</v>
      </c>
      <c r="AQ238">
        <v>0.57030000000000003</v>
      </c>
      <c r="AR238">
        <v>8.9999999999999993E-3</v>
      </c>
      <c r="AS238">
        <v>0.5</v>
      </c>
      <c r="AT238">
        <v>1.82</v>
      </c>
      <c r="AU238">
        <v>6.3545217126973294E-2</v>
      </c>
      <c r="AV238">
        <v>0.7893</v>
      </c>
      <c r="AW238">
        <v>3</v>
      </c>
      <c r="AX238">
        <v>0.05</v>
      </c>
      <c r="AY238">
        <v>1</v>
      </c>
      <c r="AZ238">
        <v>1</v>
      </c>
      <c r="BA238" s="2">
        <f>modelo_tese_H__2[[#This Row],[Vw]]+modelo_tese_H__2[[#This Row],[Vr]]+modelo_tese_H__2[[#This Row],[K]]-modelo_tese_H__2[[#This Row],[E]]</f>
        <v>-319051570.862082</v>
      </c>
      <c r="BB238" s="2">
        <f>modelo_tese_H__2[[#This Row],[K]]-modelo_tese_H__2[[#This Row],[Coluna1]]</f>
        <v>707610875.65299201</v>
      </c>
      <c r="BC238">
        <f>modelo_tese_H__2[[#This Row],[Coluna2]]/modelo_tese_H__2[[#This Row],[Coluna1]]</f>
        <v>-2.2178573631247671</v>
      </c>
      <c r="BD238" s="8">
        <f>modelo_tese_H__2[[#This Row],[D]]-modelo_tese_H__2[[#This Row],[Dw]]-modelo_tese_H__2[[#This Row],[Dr]]</f>
        <v>0</v>
      </c>
    </row>
    <row r="239" spans="1:56" x14ac:dyDescent="0.25">
      <c r="A239">
        <v>238</v>
      </c>
      <c r="B239">
        <v>238</v>
      </c>
      <c r="C239">
        <v>96542532.996180803</v>
      </c>
      <c r="D239">
        <v>44507109.749189697</v>
      </c>
      <c r="E239">
        <v>39611327.676778801</v>
      </c>
      <c r="F239">
        <v>5026988.6679964401</v>
      </c>
      <c r="G239">
        <v>140151101.036708</v>
      </c>
      <c r="H239">
        <v>31570036.345879398</v>
      </c>
      <c r="I239">
        <v>76208352.690654695</v>
      </c>
      <c r="J239">
        <v>56647894.609704196</v>
      </c>
      <c r="K239">
        <v>355677170.73887801</v>
      </c>
      <c r="L239">
        <v>-31701242.941465002</v>
      </c>
      <c r="M239">
        <v>412325065.34858203</v>
      </c>
      <c r="N239">
        <v>-602465183.507231</v>
      </c>
      <c r="O239">
        <v>70783384.361973599</v>
      </c>
      <c r="P239">
        <v>46717033.678902499</v>
      </c>
      <c r="Q239">
        <v>72741235.189301893</v>
      </c>
      <c r="R239">
        <v>36370617.594650902</v>
      </c>
      <c r="S239">
        <v>36370617.594650902</v>
      </c>
      <c r="T239">
        <v>34412766.7673226</v>
      </c>
      <c r="U239">
        <v>14078586.4617965</v>
      </c>
      <c r="V239">
        <v>267841943.85269299</v>
      </c>
      <c r="W239">
        <v>46358381.815925397</v>
      </c>
      <c r="X239">
        <v>0.273850129358718</v>
      </c>
      <c r="Y239">
        <v>410226601.21719098</v>
      </c>
      <c r="Z239">
        <v>188539753.83225501</v>
      </c>
      <c r="AA239">
        <v>0.79292003639797104</v>
      </c>
      <c r="AB239">
        <v>213494123.511489</v>
      </c>
      <c r="AC239">
        <v>122925386.36955699</v>
      </c>
      <c r="AD239">
        <v>169283768.18548301</v>
      </c>
      <c r="AE239">
        <v>-334623239.65453798</v>
      </c>
      <c r="AF239">
        <v>-17622656.479668502</v>
      </c>
      <c r="AG239">
        <v>5.5594999999999999E-2</v>
      </c>
      <c r="AH239">
        <v>-1014790248.85581</v>
      </c>
      <c r="AI239">
        <v>456381697.68494898</v>
      </c>
      <c r="AJ239">
        <v>0.06</v>
      </c>
      <c r="AK239">
        <v>0.05</v>
      </c>
      <c r="AL239">
        <v>8.8099999999999998E-2</v>
      </c>
      <c r="AM239">
        <v>3.8100000000000002E-2</v>
      </c>
      <c r="AN239">
        <v>0.89</v>
      </c>
      <c r="AO239">
        <v>0.66</v>
      </c>
      <c r="AP239">
        <v>0.42970000000000003</v>
      </c>
      <c r="AQ239">
        <v>0.57030000000000003</v>
      </c>
      <c r="AR239">
        <v>8.9999999999999993E-3</v>
      </c>
      <c r="AS239">
        <v>0.5</v>
      </c>
      <c r="AT239">
        <v>1.82</v>
      </c>
      <c r="AU239">
        <v>6.3545217126973294E-2</v>
      </c>
      <c r="AV239">
        <v>0.7893</v>
      </c>
      <c r="AW239">
        <v>3</v>
      </c>
      <c r="AX239">
        <v>0.05</v>
      </c>
      <c r="AY239">
        <v>1</v>
      </c>
      <c r="AZ239">
        <v>1</v>
      </c>
      <c r="BA239" s="2">
        <f>modelo_tese_H__2[[#This Row],[Vw]]+modelo_tese_H__2[[#This Row],[Vr]]+modelo_tese_H__2[[#This Row],[K]]-modelo_tese_H__2[[#This Row],[E]]</f>
        <v>-336721703.78592503</v>
      </c>
      <c r="BB239" s="2">
        <f>modelo_tese_H__2[[#This Row],[K]]-modelo_tese_H__2[[#This Row],[Coluna1]]</f>
        <v>746948305.00311601</v>
      </c>
      <c r="BC239">
        <f>modelo_tese_H__2[[#This Row],[Coluna2]]/modelo_tese_H__2[[#This Row],[Coluna1]]</f>
        <v>-2.2182956922729211</v>
      </c>
      <c r="BD239" s="8">
        <f>modelo_tese_H__2[[#This Row],[D]]-modelo_tese_H__2[[#This Row],[Dw]]-modelo_tese_H__2[[#This Row],[Dr]]</f>
        <v>0</v>
      </c>
    </row>
    <row r="240" spans="1:56" x14ac:dyDescent="0.25">
      <c r="A240">
        <v>239</v>
      </c>
      <c r="B240">
        <v>239</v>
      </c>
      <c r="C240">
        <v>101921322.588199</v>
      </c>
      <c r="D240">
        <v>46993149.108315803</v>
      </c>
      <c r="E240">
        <v>41823902.706400998</v>
      </c>
      <c r="F240">
        <v>5306363.60551807</v>
      </c>
      <c r="G240">
        <v>147951174.816762</v>
      </c>
      <c r="H240">
        <v>33325172.516528599</v>
      </c>
      <c r="I240">
        <v>80455438.8284477</v>
      </c>
      <c r="J240">
        <v>59795973.4305925</v>
      </c>
      <c r="K240">
        <v>375451043.050255</v>
      </c>
      <c r="L240">
        <v>-33462289.7201319</v>
      </c>
      <c r="M240">
        <v>435247016.48084801</v>
      </c>
      <c r="N240">
        <v>-635927473.22736299</v>
      </c>
      <c r="O240">
        <v>74722815.564021394</v>
      </c>
      <c r="P240">
        <v>49317058.272254102</v>
      </c>
      <c r="Q240">
        <v>76793954.613622695</v>
      </c>
      <c r="R240">
        <v>38396977.306811303</v>
      </c>
      <c r="S240">
        <v>38396977.306811303</v>
      </c>
      <c r="T240">
        <v>36325838.257210098</v>
      </c>
      <c r="U240">
        <v>14859954.497459</v>
      </c>
      <c r="V240">
        <v>282701898.35015202</v>
      </c>
      <c r="W240">
        <v>48942780.1011196</v>
      </c>
      <c r="X240">
        <v>0.273858960842218</v>
      </c>
      <c r="Y240">
        <v>433101442.87270403</v>
      </c>
      <c r="Z240">
        <v>199085556.626564</v>
      </c>
      <c r="AA240">
        <v>0.79288325901398005</v>
      </c>
      <c r="AB240">
        <v>225399231.43801701</v>
      </c>
      <c r="AC240">
        <v>129772497.100702</v>
      </c>
      <c r="AD240">
        <v>178715277.201821</v>
      </c>
      <c r="AE240">
        <v>-353225574.87721097</v>
      </c>
      <c r="AF240">
        <v>-18602335.222672898</v>
      </c>
      <c r="AG240">
        <v>5.5594999999999999E-2</v>
      </c>
      <c r="AH240">
        <v>-1071174489.70821</v>
      </c>
      <c r="AI240">
        <v>481787454.97671598</v>
      </c>
      <c r="AJ240">
        <v>0.06</v>
      </c>
      <c r="AK240">
        <v>0.05</v>
      </c>
      <c r="AL240">
        <v>8.8099999999999998E-2</v>
      </c>
      <c r="AM240">
        <v>3.8100000000000002E-2</v>
      </c>
      <c r="AN240">
        <v>0.89</v>
      </c>
      <c r="AO240">
        <v>0.66</v>
      </c>
      <c r="AP240">
        <v>0.42970000000000003</v>
      </c>
      <c r="AQ240">
        <v>0.57030000000000003</v>
      </c>
      <c r="AR240">
        <v>8.9999999999999993E-3</v>
      </c>
      <c r="AS240">
        <v>0.5</v>
      </c>
      <c r="AT240">
        <v>1.82</v>
      </c>
      <c r="AU240">
        <v>6.3545217126973294E-2</v>
      </c>
      <c r="AV240">
        <v>0.7893</v>
      </c>
      <c r="AW240">
        <v>3</v>
      </c>
      <c r="AX240">
        <v>0.05</v>
      </c>
      <c r="AY240">
        <v>1</v>
      </c>
      <c r="AZ240">
        <v>1</v>
      </c>
      <c r="BA240" s="2">
        <f>modelo_tese_H__2[[#This Row],[Vw]]+modelo_tese_H__2[[#This Row],[Vr]]+modelo_tese_H__2[[#This Row],[K]]-modelo_tese_H__2[[#This Row],[E]]</f>
        <v>-355371148.48535395</v>
      </c>
      <c r="BB240" s="2">
        <f>modelo_tese_H__2[[#This Row],[K]]-modelo_tese_H__2[[#This Row],[Coluna1]]</f>
        <v>788472591.35805798</v>
      </c>
      <c r="BC240">
        <f>modelo_tese_H__2[[#This Row],[Coluna2]]/modelo_tese_H__2[[#This Row],[Coluna1]]</f>
        <v>-2.2187298961062214</v>
      </c>
      <c r="BD240" s="8">
        <f>modelo_tese_H__2[[#This Row],[D]]-modelo_tese_H__2[[#This Row],[Dw]]-modelo_tese_H__2[[#This Row],[Dr]]</f>
        <v>0</v>
      </c>
    </row>
    <row r="241" spans="1:56" x14ac:dyDescent="0.25">
      <c r="A241">
        <v>240</v>
      </c>
      <c r="B241">
        <v>240</v>
      </c>
      <c r="C241">
        <v>107599665.44162899</v>
      </c>
      <c r="D241">
        <v>49617926.4725229</v>
      </c>
      <c r="E241">
        <v>44159954.5605454</v>
      </c>
      <c r="F241">
        <v>5601265.8550244998</v>
      </c>
      <c r="G241">
        <v>156185271.661035</v>
      </c>
      <c r="H241">
        <v>35177885.482584998</v>
      </c>
      <c r="I241">
        <v>84939105.898154899</v>
      </c>
      <c r="J241">
        <v>63119012.697911501</v>
      </c>
      <c r="K241">
        <v>396324243.79262602</v>
      </c>
      <c r="L241">
        <v>-35321179.425632</v>
      </c>
      <c r="M241">
        <v>459443256.49053699</v>
      </c>
      <c r="N241">
        <v>-671248652.65299499</v>
      </c>
      <c r="O241">
        <v>78881450.3338563</v>
      </c>
      <c r="P241">
        <v>52061757.220345199</v>
      </c>
      <c r="Q241">
        <v>81072376.363787204</v>
      </c>
      <c r="R241">
        <v>40536188.181893602</v>
      </c>
      <c r="S241">
        <v>40536188.181893602</v>
      </c>
      <c r="T241">
        <v>38345262.151962698</v>
      </c>
      <c r="U241">
        <v>15684702.608488901</v>
      </c>
      <c r="V241">
        <v>298386600.95864099</v>
      </c>
      <c r="W241">
        <v>51671178.686915897</v>
      </c>
      <c r="X241">
        <v>0.27386770287993401</v>
      </c>
      <c r="Y241">
        <v>457251096.33426899</v>
      </c>
      <c r="Z241">
        <v>210220547.13158599</v>
      </c>
      <c r="AA241">
        <v>0.79284685317195602</v>
      </c>
      <c r="AB241">
        <v>237967825.754233</v>
      </c>
      <c r="AC241">
        <v>137000863.11849999</v>
      </c>
      <c r="AD241">
        <v>188672041.80541599</v>
      </c>
      <c r="AE241">
        <v>-372862051.694354</v>
      </c>
      <c r="AF241">
        <v>-19636476.817143101</v>
      </c>
      <c r="AG241">
        <v>5.5594999999999999E-2</v>
      </c>
      <c r="AH241">
        <v>-1130691909.1435299</v>
      </c>
      <c r="AI241">
        <v>508607148.09022701</v>
      </c>
      <c r="AJ241">
        <v>0.06</v>
      </c>
      <c r="AK241">
        <v>0.05</v>
      </c>
      <c r="AL241">
        <v>8.8099999999999998E-2</v>
      </c>
      <c r="AM241">
        <v>3.8100000000000002E-2</v>
      </c>
      <c r="AN241">
        <v>0.89</v>
      </c>
      <c r="AO241">
        <v>0.66</v>
      </c>
      <c r="AP241">
        <v>0.42970000000000003</v>
      </c>
      <c r="AQ241">
        <v>0.57030000000000003</v>
      </c>
      <c r="AR241">
        <v>8.9999999999999993E-3</v>
      </c>
      <c r="AS241">
        <v>0.5</v>
      </c>
      <c r="AT241">
        <v>1.82</v>
      </c>
      <c r="AU241">
        <v>6.3545217126973294E-2</v>
      </c>
      <c r="AV241">
        <v>0.7893</v>
      </c>
      <c r="AW241">
        <v>3</v>
      </c>
      <c r="AX241">
        <v>0.05</v>
      </c>
      <c r="AY241">
        <v>1</v>
      </c>
      <c r="AZ241">
        <v>1</v>
      </c>
      <c r="BA241" s="2">
        <f>modelo_tese_H__2[[#This Row],[Vw]]+modelo_tese_H__2[[#This Row],[Vr]]+modelo_tese_H__2[[#This Row],[K]]-modelo_tese_H__2[[#This Row],[E]]</f>
        <v>-375054211.85061991</v>
      </c>
      <c r="BB241" s="2">
        <f>modelo_tese_H__2[[#This Row],[K]]-modelo_tese_H__2[[#This Row],[Coluna1]]</f>
        <v>832305308.18488884</v>
      </c>
      <c r="BC241">
        <f>modelo_tese_H__2[[#This Row],[Coluna2]]/modelo_tese_H__2[[#This Row],[Coluna1]]</f>
        <v>-2.2191600091039296</v>
      </c>
      <c r="BD241" s="8">
        <f>modelo_tese_H__2[[#This Row],[D]]-modelo_tese_H__2[[#This Row],[Dw]]-modelo_tese_H__2[[#This Row],[Dr]]</f>
        <v>0</v>
      </c>
    </row>
    <row r="242" spans="1:56" x14ac:dyDescent="0.25">
      <c r="A242">
        <v>241</v>
      </c>
      <c r="B242">
        <v>241</v>
      </c>
      <c r="C242">
        <v>113594238.628391</v>
      </c>
      <c r="D242">
        <v>52389178.713970996</v>
      </c>
      <c r="E242">
        <v>46626369.055434197</v>
      </c>
      <c r="F242">
        <v>5912558.4529106496</v>
      </c>
      <c r="G242">
        <v>164877538.11364701</v>
      </c>
      <c r="H242">
        <v>37133600.025989302</v>
      </c>
      <c r="I242">
        <v>89672527.534334093</v>
      </c>
      <c r="J242">
        <v>66626736.767031699</v>
      </c>
      <c r="K242">
        <v>418357890.13011599</v>
      </c>
      <c r="L242">
        <v>-37283348.820363201</v>
      </c>
      <c r="M242">
        <v>484984626.897147</v>
      </c>
      <c r="N242">
        <v>-708532001.47335804</v>
      </c>
      <c r="O242">
        <v>83271483.895781398</v>
      </c>
      <c r="P242">
        <v>54959179.371215701</v>
      </c>
      <c r="Q242">
        <v>85589065.997930199</v>
      </c>
      <c r="R242">
        <v>42794532.998965099</v>
      </c>
      <c r="S242">
        <v>42794532.998965099</v>
      </c>
      <c r="T242">
        <v>40476950.896816298</v>
      </c>
      <c r="U242">
        <v>16555239.8027595</v>
      </c>
      <c r="V242">
        <v>314941840.761401</v>
      </c>
      <c r="W242">
        <v>54551597.720771298</v>
      </c>
      <c r="X242">
        <v>0.27387635636989399</v>
      </c>
      <c r="Y242">
        <v>482746573.85693198</v>
      </c>
      <c r="Z242">
        <v>221977611.853392</v>
      </c>
      <c r="AA242">
        <v>0.792810815165094</v>
      </c>
      <c r="AB242">
        <v>251236866.11772999</v>
      </c>
      <c r="AC242">
        <v>144631706.90555</v>
      </c>
      <c r="AD242">
        <v>199183304.62632099</v>
      </c>
      <c r="AE242">
        <v>-393590160.71195698</v>
      </c>
      <c r="AF242">
        <v>-20728109.017603699</v>
      </c>
      <c r="AG242">
        <v>5.5594999999999999E-2</v>
      </c>
      <c r="AH242">
        <v>-1193516628.3705101</v>
      </c>
      <c r="AI242">
        <v>536919452.61479294</v>
      </c>
      <c r="AJ242">
        <v>0.06</v>
      </c>
      <c r="AK242">
        <v>0.05</v>
      </c>
      <c r="AL242">
        <v>8.8099999999999998E-2</v>
      </c>
      <c r="AM242">
        <v>3.8100000000000002E-2</v>
      </c>
      <c r="AN242">
        <v>0.89</v>
      </c>
      <c r="AO242">
        <v>0.66</v>
      </c>
      <c r="AP242">
        <v>0.42970000000000003</v>
      </c>
      <c r="AQ242">
        <v>0.57030000000000003</v>
      </c>
      <c r="AR242">
        <v>8.9999999999999993E-3</v>
      </c>
      <c r="AS242">
        <v>0.5</v>
      </c>
      <c r="AT242">
        <v>1.82</v>
      </c>
      <c r="AU242">
        <v>6.3545217126973294E-2</v>
      </c>
      <c r="AV242">
        <v>0.7893</v>
      </c>
      <c r="AW242">
        <v>3</v>
      </c>
      <c r="AX242">
        <v>0.05</v>
      </c>
      <c r="AY242">
        <v>1</v>
      </c>
      <c r="AZ242">
        <v>1</v>
      </c>
      <c r="BA242" s="2">
        <f>modelo_tese_H__2[[#This Row],[Vw]]+modelo_tese_H__2[[#This Row],[Vr]]+modelo_tese_H__2[[#This Row],[K]]-modelo_tese_H__2[[#This Row],[E]]</f>
        <v>-395828213.75217718</v>
      </c>
      <c r="BB242" s="2">
        <f>modelo_tese_H__2[[#This Row],[K]]-modelo_tese_H__2[[#This Row],[Coluna1]]</f>
        <v>878574787.60910916</v>
      </c>
      <c r="BC242">
        <f>modelo_tese_H__2[[#This Row],[Coluna2]]/modelo_tese_H__2[[#This Row],[Coluna1]]</f>
        <v>-2.2195860655834232</v>
      </c>
      <c r="BD242" s="8">
        <f>modelo_tese_H__2[[#This Row],[D]]-modelo_tese_H__2[[#This Row],[Dw]]-modelo_tese_H__2[[#This Row],[Dr]]</f>
        <v>0</v>
      </c>
    </row>
    <row r="243" spans="1:56" x14ac:dyDescent="0.25">
      <c r="A243">
        <v>242</v>
      </c>
      <c r="B243">
        <v>242</v>
      </c>
      <c r="C243">
        <v>119922647.43570399</v>
      </c>
      <c r="D243">
        <v>55315073.9043229</v>
      </c>
      <c r="E243">
        <v>49230415.774847403</v>
      </c>
      <c r="F243">
        <v>6241152.4068743996</v>
      </c>
      <c r="G243">
        <v>174053463.91233501</v>
      </c>
      <c r="H243">
        <v>39198042.519434199</v>
      </c>
      <c r="I243">
        <v>94669610.701156005</v>
      </c>
      <c r="J243">
        <v>70329410.503082201</v>
      </c>
      <c r="K243">
        <v>441616497.03559297</v>
      </c>
      <c r="L243">
        <v>-39354536.796833098</v>
      </c>
      <c r="M243">
        <v>511945907.53867501</v>
      </c>
      <c r="N243">
        <v>-747886538.27019095</v>
      </c>
      <c r="O243">
        <v>87905789.8547149</v>
      </c>
      <c r="P243">
        <v>58017821.304111801</v>
      </c>
      <c r="Q243">
        <v>90357288.450152293</v>
      </c>
      <c r="R243">
        <v>45178644.225076199</v>
      </c>
      <c r="S243">
        <v>45178644.225076199</v>
      </c>
      <c r="T243">
        <v>42727145.629638702</v>
      </c>
      <c r="U243">
        <v>17474108.895091001</v>
      </c>
      <c r="V243">
        <v>332415949.65649199</v>
      </c>
      <c r="W243">
        <v>57592503.880588204</v>
      </c>
      <c r="X243">
        <v>0.27388492220128302</v>
      </c>
      <c r="Y243">
        <v>509662841.88447899</v>
      </c>
      <c r="Z243">
        <v>234391471.50890401</v>
      </c>
      <c r="AA243">
        <v>0.79277514132224303</v>
      </c>
      <c r="AB243">
        <v>265245370.25106201</v>
      </c>
      <c r="AC243">
        <v>152687432.00526801</v>
      </c>
      <c r="AD243">
        <v>210279935.885856</v>
      </c>
      <c r="AE243">
        <v>-415470588.61369902</v>
      </c>
      <c r="AF243">
        <v>-21880427.901742101</v>
      </c>
      <c r="AG243">
        <v>5.5594999999999999E-2</v>
      </c>
      <c r="AH243">
        <v>-1259832445.8088701</v>
      </c>
      <c r="AI243">
        <v>566807421.16539598</v>
      </c>
      <c r="AJ243">
        <v>0.06</v>
      </c>
      <c r="AK243">
        <v>0.05</v>
      </c>
      <c r="AL243">
        <v>8.8099999999999998E-2</v>
      </c>
      <c r="AM243">
        <v>3.8100000000000002E-2</v>
      </c>
      <c r="AN243">
        <v>0.89</v>
      </c>
      <c r="AO243">
        <v>0.66</v>
      </c>
      <c r="AP243">
        <v>0.42970000000000003</v>
      </c>
      <c r="AQ243">
        <v>0.57030000000000003</v>
      </c>
      <c r="AR243">
        <v>8.9999999999999993E-3</v>
      </c>
      <c r="AS243">
        <v>0.5</v>
      </c>
      <c r="AT243">
        <v>1.82</v>
      </c>
      <c r="AU243">
        <v>6.3545217126973294E-2</v>
      </c>
      <c r="AV243">
        <v>0.7893</v>
      </c>
      <c r="AW243">
        <v>3</v>
      </c>
      <c r="AX243">
        <v>0.05</v>
      </c>
      <c r="AY243">
        <v>1</v>
      </c>
      <c r="AZ243">
        <v>1</v>
      </c>
      <c r="BA243" s="2">
        <f>modelo_tese_H__2[[#This Row],[Vw]]+modelo_tese_H__2[[#This Row],[Vr]]+modelo_tese_H__2[[#This Row],[K]]-modelo_tese_H__2[[#This Row],[E]]</f>
        <v>-417753654.26789916</v>
      </c>
      <c r="BB243" s="2">
        <f>modelo_tese_H__2[[#This Row],[K]]-modelo_tese_H__2[[#This Row],[Coluna1]]</f>
        <v>927416496.15237808</v>
      </c>
      <c r="BC243">
        <f>modelo_tese_H__2[[#This Row],[Coluna2]]/modelo_tese_H__2[[#This Row],[Coluna1]]</f>
        <v>-2.2200080996960945</v>
      </c>
      <c r="BD243" s="8">
        <f>modelo_tese_H__2[[#This Row],[D]]-modelo_tese_H__2[[#This Row],[Dw]]-modelo_tese_H__2[[#This Row],[Dr]]</f>
        <v>0</v>
      </c>
    </row>
    <row r="244" spans="1:56" x14ac:dyDescent="0.25">
      <c r="A244">
        <v>243</v>
      </c>
      <c r="B244">
        <v>243</v>
      </c>
      <c r="C244">
        <v>126603477.01757801</v>
      </c>
      <c r="D244">
        <v>58404235.335305199</v>
      </c>
      <c r="E244">
        <v>51979769.448421597</v>
      </c>
      <c r="F244">
        <v>6588009.3624672703</v>
      </c>
      <c r="G244">
        <v>183739956.69776699</v>
      </c>
      <c r="H244">
        <v>41377257.693302102</v>
      </c>
      <c r="I244">
        <v>99945036.504190996</v>
      </c>
      <c r="J244">
        <v>74237869.325381994</v>
      </c>
      <c r="K244">
        <v>466168166.19183898</v>
      </c>
      <c r="L244">
        <v>-41540801.168885797</v>
      </c>
      <c r="M244">
        <v>540406035.51722097</v>
      </c>
      <c r="N244">
        <v>-789427339.43907702</v>
      </c>
      <c r="O244">
        <v>92797957.928165197</v>
      </c>
      <c r="P244">
        <v>61246652.232588999</v>
      </c>
      <c r="Q244">
        <v>95391046.948015898</v>
      </c>
      <c r="R244">
        <v>47695523.474007897</v>
      </c>
      <c r="S244">
        <v>47695523.474007897</v>
      </c>
      <c r="T244">
        <v>45102434.454157203</v>
      </c>
      <c r="U244">
        <v>18443993.940769799</v>
      </c>
      <c r="V244">
        <v>350859943.59726202</v>
      </c>
      <c r="W244">
        <v>60802835.228814296</v>
      </c>
      <c r="X244">
        <v>0.273893401254519</v>
      </c>
      <c r="Y244">
        <v>538079041.16419399</v>
      </c>
      <c r="Z244">
        <v>247498783.26370999</v>
      </c>
      <c r="AA244">
        <v>0.79273982800762999</v>
      </c>
      <c r="AB244">
        <v>280034528.50795603</v>
      </c>
      <c r="AC244">
        <v>161191688.73677999</v>
      </c>
      <c r="AD244">
        <v>221994523.96559399</v>
      </c>
      <c r="AE244">
        <v>-438567395.84181499</v>
      </c>
      <c r="AF244">
        <v>-23096807.228115998</v>
      </c>
      <c r="AG244">
        <v>5.5594999999999999E-2</v>
      </c>
      <c r="AH244">
        <v>-1329833374.9563</v>
      </c>
      <c r="AI244">
        <v>598358726.86097205</v>
      </c>
      <c r="AJ244">
        <v>0.06</v>
      </c>
      <c r="AK244">
        <v>0.05</v>
      </c>
      <c r="AL244">
        <v>8.8099999999999998E-2</v>
      </c>
      <c r="AM244">
        <v>3.8100000000000002E-2</v>
      </c>
      <c r="AN244">
        <v>0.89</v>
      </c>
      <c r="AO244">
        <v>0.66</v>
      </c>
      <c r="AP244">
        <v>0.42970000000000003</v>
      </c>
      <c r="AQ244">
        <v>0.57030000000000003</v>
      </c>
      <c r="AR244">
        <v>8.9999999999999993E-3</v>
      </c>
      <c r="AS244">
        <v>0.5</v>
      </c>
      <c r="AT244">
        <v>1.82</v>
      </c>
      <c r="AU244">
        <v>6.3545217126973294E-2</v>
      </c>
      <c r="AV244">
        <v>0.7893</v>
      </c>
      <c r="AW244">
        <v>3</v>
      </c>
      <c r="AX244">
        <v>0.05</v>
      </c>
      <c r="AY244">
        <v>1</v>
      </c>
      <c r="AZ244">
        <v>1</v>
      </c>
      <c r="BA244" s="2">
        <f>modelo_tese_H__2[[#This Row],[Vw]]+modelo_tese_H__2[[#This Row],[Vr]]+modelo_tese_H__2[[#This Row],[K]]-modelo_tese_H__2[[#This Row],[E]]</f>
        <v>-440894390.19484401</v>
      </c>
      <c r="BB244" s="2">
        <f>modelo_tese_H__2[[#This Row],[K]]-modelo_tese_H__2[[#This Row],[Coluna1]]</f>
        <v>978973431.359038</v>
      </c>
      <c r="BC244">
        <f>modelo_tese_H__2[[#This Row],[Coluna2]]/modelo_tese_H__2[[#This Row],[Coluna1]]</f>
        <v>-2.2204261454231733</v>
      </c>
      <c r="BD244" s="8">
        <f>modelo_tese_H__2[[#This Row],[D]]-modelo_tese_H__2[[#This Row],[Dw]]-modelo_tese_H__2[[#This Row],[Dr]]</f>
        <v>0</v>
      </c>
    </row>
    <row r="245" spans="1:56" x14ac:dyDescent="0.25">
      <c r="A245">
        <v>244</v>
      </c>
      <c r="B245">
        <v>244</v>
      </c>
      <c r="C245">
        <v>133656346.920003</v>
      </c>
      <c r="D245">
        <v>61665766.876842298</v>
      </c>
      <c r="E245">
        <v>54882532.520389698</v>
      </c>
      <c r="F245">
        <v>6954144.4178734198</v>
      </c>
      <c r="G245">
        <v>193965420.87785801</v>
      </c>
      <c r="H245">
        <v>43677626.334761299</v>
      </c>
      <c r="I245">
        <v>105514303.27302399</v>
      </c>
      <c r="J245">
        <v>78363550.921958402</v>
      </c>
      <c r="K245">
        <v>492084785.39469099</v>
      </c>
      <c r="L245">
        <v>-43848536.396182001</v>
      </c>
      <c r="M245">
        <v>570448336.31664896</v>
      </c>
      <c r="N245">
        <v>-833275875.83525896</v>
      </c>
      <c r="O245">
        <v>97962333.776695997</v>
      </c>
      <c r="P245">
        <v>64655140.2926194</v>
      </c>
      <c r="Q245">
        <v>100705124.095258</v>
      </c>
      <c r="R245">
        <v>50352562.047628902</v>
      </c>
      <c r="S245">
        <v>50352562.047628902</v>
      </c>
      <c r="T245">
        <v>47609771.729067102</v>
      </c>
      <c r="U245">
        <v>19467728.082088102</v>
      </c>
      <c r="V245">
        <v>370327671.67935002</v>
      </c>
      <c r="W245">
        <v>64192027.449617498</v>
      </c>
      <c r="X245">
        <v>0.27390179440133999</v>
      </c>
      <c r="Y245">
        <v>568078719.11155903</v>
      </c>
      <c r="Z245">
        <v>261338248.66569901</v>
      </c>
      <c r="AA245">
        <v>0.79270487162055803</v>
      </c>
      <c r="AB245">
        <v>295647824.81549102</v>
      </c>
      <c r="AC245">
        <v>170169443.565644</v>
      </c>
      <c r="AD245">
        <v>234361471.01526099</v>
      </c>
      <c r="AE245">
        <v>-462948204.155909</v>
      </c>
      <c r="AF245">
        <v>-24380808.314094</v>
      </c>
      <c r="AG245">
        <v>5.5594999999999999E-2</v>
      </c>
      <c r="AH245">
        <v>-1403724212.1519101</v>
      </c>
      <c r="AI245">
        <v>631665920.34504902</v>
      </c>
      <c r="AJ245">
        <v>0.06</v>
      </c>
      <c r="AK245">
        <v>0.05</v>
      </c>
      <c r="AL245">
        <v>8.8099999999999998E-2</v>
      </c>
      <c r="AM245">
        <v>3.8100000000000002E-2</v>
      </c>
      <c r="AN245">
        <v>0.89</v>
      </c>
      <c r="AO245">
        <v>0.66</v>
      </c>
      <c r="AP245">
        <v>0.42970000000000003</v>
      </c>
      <c r="AQ245">
        <v>0.57030000000000003</v>
      </c>
      <c r="AR245">
        <v>8.9999999999999993E-3</v>
      </c>
      <c r="AS245">
        <v>0.5</v>
      </c>
      <c r="AT245">
        <v>1.82</v>
      </c>
      <c r="AU245">
        <v>6.3545217126973294E-2</v>
      </c>
      <c r="AV245">
        <v>0.7893</v>
      </c>
      <c r="AW245">
        <v>3</v>
      </c>
      <c r="AX245">
        <v>0.05</v>
      </c>
      <c r="AY245">
        <v>1</v>
      </c>
      <c r="AZ245">
        <v>1</v>
      </c>
      <c r="BA245" s="2">
        <f>modelo_tese_H__2[[#This Row],[Vw]]+modelo_tese_H__2[[#This Row],[Vr]]+modelo_tese_H__2[[#This Row],[K]]-modelo_tese_H__2[[#This Row],[E]]</f>
        <v>-465317821.36100101</v>
      </c>
      <c r="BB245" s="2">
        <f>modelo_tese_H__2[[#This Row],[K]]-modelo_tese_H__2[[#This Row],[Coluna1]]</f>
        <v>1033396540.47256</v>
      </c>
      <c r="BC245">
        <f>modelo_tese_H__2[[#This Row],[Coluna2]]/modelo_tese_H__2[[#This Row],[Coluna1]]</f>
        <v>-2.2208402365720579</v>
      </c>
      <c r="BD245" s="8">
        <f>modelo_tese_H__2[[#This Row],[D]]-modelo_tese_H__2[[#This Row],[Dw]]-modelo_tese_H__2[[#This Row],[Dr]]</f>
        <v>0</v>
      </c>
    </row>
    <row r="246" spans="1:56" x14ac:dyDescent="0.25">
      <c r="A246">
        <v>245</v>
      </c>
      <c r="B246">
        <v>245</v>
      </c>
      <c r="C246">
        <v>141101968.63968101</v>
      </c>
      <c r="D246">
        <v>65109279.747235</v>
      </c>
      <c r="E246">
        <v>57947258.975039102</v>
      </c>
      <c r="F246">
        <v>7340629.0951568102</v>
      </c>
      <c r="G246">
        <v>204759840.87817499</v>
      </c>
      <c r="H246">
        <v>46105883.970842302</v>
      </c>
      <c r="I246">
        <v>111393772.04103801</v>
      </c>
      <c r="J246">
        <v>82718528.726988599</v>
      </c>
      <c r="K246">
        <v>519442239.041996</v>
      </c>
      <c r="L246">
        <v>-46284492.293803297</v>
      </c>
      <c r="M246">
        <v>602160767.76898396</v>
      </c>
      <c r="N246">
        <v>-879560368.12906301</v>
      </c>
      <c r="O246">
        <v>103414061.049583</v>
      </c>
      <c r="P246">
        <v>68253280.292725101</v>
      </c>
      <c r="Q246">
        <v>106315125.240173</v>
      </c>
      <c r="R246">
        <v>53157562.620086603</v>
      </c>
      <c r="S246">
        <v>53157562.620086603</v>
      </c>
      <c r="T246">
        <v>50256498.429496802</v>
      </c>
      <c r="U246">
        <v>20548301.8308543</v>
      </c>
      <c r="V246">
        <v>390875973.51020402</v>
      </c>
      <c r="W246">
        <v>67770041.546090707</v>
      </c>
      <c r="X246">
        <v>0.27391010250488301</v>
      </c>
      <c r="Y246">
        <v>599750075.106493</v>
      </c>
      <c r="Z246">
        <v>275950727.591703</v>
      </c>
      <c r="AA246">
        <v>0.79267026859512502</v>
      </c>
      <c r="AB246">
        <v>312131164.34701002</v>
      </c>
      <c r="AC246">
        <v>179647052.333763</v>
      </c>
      <c r="AD246">
        <v>247417093.87985399</v>
      </c>
      <c r="AE246">
        <v>-488684394.61885798</v>
      </c>
      <c r="AF246">
        <v>-25736190.4629489</v>
      </c>
      <c r="AG246">
        <v>5.5594999999999999E-2</v>
      </c>
      <c r="AH246">
        <v>-1481721135.8980501</v>
      </c>
      <c r="AI246">
        <v>666826701.10190701</v>
      </c>
      <c r="AJ246">
        <v>0.06</v>
      </c>
      <c r="AK246">
        <v>0.05</v>
      </c>
      <c r="AL246">
        <v>8.8099999999999998E-2</v>
      </c>
      <c r="AM246">
        <v>3.8100000000000002E-2</v>
      </c>
      <c r="AN246">
        <v>0.89</v>
      </c>
      <c r="AO246">
        <v>0.66</v>
      </c>
      <c r="AP246">
        <v>0.42970000000000003</v>
      </c>
      <c r="AQ246">
        <v>0.57030000000000003</v>
      </c>
      <c r="AR246">
        <v>8.9999999999999993E-3</v>
      </c>
      <c r="AS246">
        <v>0.5</v>
      </c>
      <c r="AT246">
        <v>1.82</v>
      </c>
      <c r="AU246">
        <v>6.3545217126973294E-2</v>
      </c>
      <c r="AV246">
        <v>0.7893</v>
      </c>
      <c r="AW246">
        <v>3</v>
      </c>
      <c r="AX246">
        <v>0.05</v>
      </c>
      <c r="AY246">
        <v>1</v>
      </c>
      <c r="AZ246">
        <v>1</v>
      </c>
      <c r="BA246" s="2">
        <f>modelo_tese_H__2[[#This Row],[Vw]]+modelo_tese_H__2[[#This Row],[Vr]]+modelo_tese_H__2[[#This Row],[K]]-modelo_tese_H__2[[#This Row],[E]]</f>
        <v>-491095087.28135306</v>
      </c>
      <c r="BB246" s="2">
        <f>modelo_tese_H__2[[#This Row],[K]]-modelo_tese_H__2[[#This Row],[Coluna1]]</f>
        <v>1090845162.387846</v>
      </c>
      <c r="BC246">
        <f>modelo_tese_H__2[[#This Row],[Coluna2]]/modelo_tese_H__2[[#This Row],[Coluna1]]</f>
        <v>-2.221250406772834</v>
      </c>
      <c r="BD246" s="8">
        <f>modelo_tese_H__2[[#This Row],[D]]-modelo_tese_H__2[[#This Row],[Dw]]-modelo_tese_H__2[[#This Row],[Dr]]</f>
        <v>1.0132789611816406E-6</v>
      </c>
    </row>
    <row r="247" spans="1:56" x14ac:dyDescent="0.25">
      <c r="A247">
        <v>246</v>
      </c>
      <c r="B247">
        <v>246</v>
      </c>
      <c r="C247">
        <v>148962206.38506401</v>
      </c>
      <c r="D247">
        <v>68744920.773980603</v>
      </c>
      <c r="E247">
        <v>61182979.488842703</v>
      </c>
      <c r="F247">
        <v>7748594.47667454</v>
      </c>
      <c r="G247">
        <v>216154869.02233401</v>
      </c>
      <c r="H247">
        <v>48669140.590201303</v>
      </c>
      <c r="I247">
        <v>117600714.555719</v>
      </c>
      <c r="J247">
        <v>87315547.2591649</v>
      </c>
      <c r="K247">
        <v>548320630.32469702</v>
      </c>
      <c r="L247">
        <v>-48855793.781737998</v>
      </c>
      <c r="M247">
        <v>635636177.58386195</v>
      </c>
      <c r="N247">
        <v>-928416161.91079998</v>
      </c>
      <c r="O247">
        <v>109169125.76885501</v>
      </c>
      <c r="P247">
        <v>72051623.007444501</v>
      </c>
      <c r="Q247">
        <v>112237524.256816</v>
      </c>
      <c r="R247">
        <v>56118762.128407799</v>
      </c>
      <c r="S247">
        <v>56118762.128407799</v>
      </c>
      <c r="T247">
        <v>53050363.640447497</v>
      </c>
      <c r="U247">
        <v>21688871.8111021</v>
      </c>
      <c r="V247">
        <v>412564845.32130599</v>
      </c>
      <c r="W247">
        <v>71547393.078716502</v>
      </c>
      <c r="X247">
        <v>0.27391832641976399</v>
      </c>
      <c r="Y247">
        <v>633186219.44064903</v>
      </c>
      <c r="Z247">
        <v>291379358.54201198</v>
      </c>
      <c r="AA247">
        <v>0.792636015399933</v>
      </c>
      <c r="AB247">
        <v>329533008.30027097</v>
      </c>
      <c r="AC247">
        <v>189652337.56316301</v>
      </c>
      <c r="AD247">
        <v>261199730.64188001</v>
      </c>
      <c r="AE247">
        <v>-515851316.58949399</v>
      </c>
      <c r="AF247">
        <v>-27166921.970635802</v>
      </c>
      <c r="AG247">
        <v>5.5594999999999999E-2</v>
      </c>
      <c r="AH247">
        <v>-1564052339.4946599</v>
      </c>
      <c r="AI247">
        <v>703944203.86331797</v>
      </c>
      <c r="AJ247">
        <v>0.06</v>
      </c>
      <c r="AK247">
        <v>0.05</v>
      </c>
      <c r="AL247">
        <v>8.8099999999999998E-2</v>
      </c>
      <c r="AM247">
        <v>3.8100000000000002E-2</v>
      </c>
      <c r="AN247">
        <v>0.89</v>
      </c>
      <c r="AO247">
        <v>0.66</v>
      </c>
      <c r="AP247">
        <v>0.42970000000000003</v>
      </c>
      <c r="AQ247">
        <v>0.57030000000000003</v>
      </c>
      <c r="AR247">
        <v>8.9999999999999993E-3</v>
      </c>
      <c r="AS247">
        <v>0.5</v>
      </c>
      <c r="AT247">
        <v>1.82</v>
      </c>
      <c r="AU247">
        <v>6.3545217126973294E-2</v>
      </c>
      <c r="AV247">
        <v>0.7893</v>
      </c>
      <c r="AW247">
        <v>3</v>
      </c>
      <c r="AX247">
        <v>0.05</v>
      </c>
      <c r="AY247">
        <v>1</v>
      </c>
      <c r="AZ247">
        <v>1</v>
      </c>
      <c r="BA247" s="2">
        <f>modelo_tese_H__2[[#This Row],[Vw]]+modelo_tese_H__2[[#This Row],[Vr]]+modelo_tese_H__2[[#This Row],[K]]-modelo_tese_H__2[[#This Row],[E]]</f>
        <v>-518301274.73270488</v>
      </c>
      <c r="BB247" s="2">
        <f>modelo_tese_H__2[[#This Row],[K]]-modelo_tese_H__2[[#This Row],[Coluna1]]</f>
        <v>1151487494.1733539</v>
      </c>
      <c r="BC247">
        <f>modelo_tese_H__2[[#This Row],[Coluna2]]/modelo_tese_H__2[[#This Row],[Coluna1]]</f>
        <v>-2.2216566894750391</v>
      </c>
      <c r="BD247" s="8">
        <f>modelo_tese_H__2[[#This Row],[D]]-modelo_tese_H__2[[#This Row],[Dw]]-modelo_tese_H__2[[#This Row],[Dr]]</f>
        <v>0</v>
      </c>
    </row>
    <row r="248" spans="1:56" x14ac:dyDescent="0.25">
      <c r="A248">
        <v>247</v>
      </c>
      <c r="B248">
        <v>247</v>
      </c>
      <c r="C248">
        <v>157260141.21783301</v>
      </c>
      <c r="D248">
        <v>72583402.228215694</v>
      </c>
      <c r="E248">
        <v>64599227.983112</v>
      </c>
      <c r="F248">
        <v>8179234.5158379599</v>
      </c>
      <c r="G248">
        <v>228183918.299871</v>
      </c>
      <c r="H248">
        <v>51374901.461313501</v>
      </c>
      <c r="I248">
        <v>124153363.960264</v>
      </c>
      <c r="J248">
        <v>92168059.424428597</v>
      </c>
      <c r="K248">
        <v>578804515.77063894</v>
      </c>
      <c r="L248">
        <v>-51569961.732047804</v>
      </c>
      <c r="M248">
        <v>670972575.195068</v>
      </c>
      <c r="N248">
        <v>-979986123.64284801</v>
      </c>
      <c r="O248">
        <v>115244403.18175299</v>
      </c>
      <c r="P248">
        <v>76061306.099957094</v>
      </c>
      <c r="Q248">
        <v>118489711.87323</v>
      </c>
      <c r="R248">
        <v>59244855.936614901</v>
      </c>
      <c r="S248">
        <v>59244855.936614901</v>
      </c>
      <c r="T248">
        <v>55999547.245138198</v>
      </c>
      <c r="U248">
        <v>22892769.987568401</v>
      </c>
      <c r="V248">
        <v>435457615.30887502</v>
      </c>
      <c r="W248">
        <v>75535183.030842602</v>
      </c>
      <c r="X248">
        <v>0.273926466992163</v>
      </c>
      <c r="Y248">
        <v>668485446.67532802</v>
      </c>
      <c r="Z248">
        <v>307669685.63623899</v>
      </c>
      <c r="AA248">
        <v>0.792602108537798</v>
      </c>
      <c r="AB248">
        <v>347904516.17618102</v>
      </c>
      <c r="AC248">
        <v>200214670.06022099</v>
      </c>
      <c r="AD248">
        <v>275749853.09106302</v>
      </c>
      <c r="AE248">
        <v>-544528508.333974</v>
      </c>
      <c r="AF248">
        <v>-28677191.744479399</v>
      </c>
      <c r="AG248">
        <v>5.5594999999999999E-2</v>
      </c>
      <c r="AH248">
        <v>-1650958698.83792</v>
      </c>
      <c r="AI248">
        <v>743127300.94511402</v>
      </c>
      <c r="AJ248">
        <v>0.06</v>
      </c>
      <c r="AK248">
        <v>0.05</v>
      </c>
      <c r="AL248">
        <v>8.8099999999999998E-2</v>
      </c>
      <c r="AM248">
        <v>3.8100000000000002E-2</v>
      </c>
      <c r="AN248">
        <v>0.89</v>
      </c>
      <c r="AO248">
        <v>0.66</v>
      </c>
      <c r="AP248">
        <v>0.42970000000000003</v>
      </c>
      <c r="AQ248">
        <v>0.57030000000000003</v>
      </c>
      <c r="AR248">
        <v>8.9999999999999993E-3</v>
      </c>
      <c r="AS248">
        <v>0.5</v>
      </c>
      <c r="AT248">
        <v>1.82</v>
      </c>
      <c r="AU248">
        <v>6.3545217126973294E-2</v>
      </c>
      <c r="AV248">
        <v>0.7893</v>
      </c>
      <c r="AW248">
        <v>3</v>
      </c>
      <c r="AX248">
        <v>0.05</v>
      </c>
      <c r="AY248">
        <v>1</v>
      </c>
      <c r="AZ248">
        <v>1</v>
      </c>
      <c r="BA248" s="2">
        <f>modelo_tese_H__2[[#This Row],[Vw]]+modelo_tese_H__2[[#This Row],[Vr]]+modelo_tese_H__2[[#This Row],[K]]-modelo_tese_H__2[[#This Row],[E]]</f>
        <v>-547015636.85371685</v>
      </c>
      <c r="BB248" s="2">
        <f>modelo_tese_H__2[[#This Row],[K]]-modelo_tese_H__2[[#This Row],[Coluna1]]</f>
        <v>1215501083.5290449</v>
      </c>
      <c r="BC248">
        <f>modelo_tese_H__2[[#This Row],[Coluna2]]/modelo_tese_H__2[[#This Row],[Coluna1]]</f>
        <v>-2.2220591179445472</v>
      </c>
      <c r="BD248" s="8">
        <f>modelo_tese_H__2[[#This Row],[D]]-modelo_tese_H__2[[#This Row],[Dw]]-modelo_tese_H__2[[#This Row],[Dr]]</f>
        <v>-1.0132789611816406E-6</v>
      </c>
    </row>
    <row r="249" spans="1:56" x14ac:dyDescent="0.25">
      <c r="A249">
        <v>248</v>
      </c>
      <c r="B249">
        <v>248</v>
      </c>
      <c r="C249">
        <v>166020138.76285201</v>
      </c>
      <c r="D249">
        <v>76636033.320374504</v>
      </c>
      <c r="E249">
        <v>68206069.655133307</v>
      </c>
      <c r="F249">
        <v>8633809.5319132395</v>
      </c>
      <c r="G249">
        <v>240882260.29339799</v>
      </c>
      <c r="H249">
        <v>54231089.108055301</v>
      </c>
      <c r="I249">
        <v>131070968.295102</v>
      </c>
      <c r="J249">
        <v>97290265.892271206</v>
      </c>
      <c r="K249">
        <v>610983152.82783306</v>
      </c>
      <c r="L249">
        <v>-54434934.974727303</v>
      </c>
      <c r="M249">
        <v>708273418.72010398</v>
      </c>
      <c r="N249">
        <v>-1034421058.6175801</v>
      </c>
      <c r="O249">
        <v>121657707.218888</v>
      </c>
      <c r="P249">
        <v>80294086.764466003</v>
      </c>
      <c r="Q249">
        <v>125090046.68840501</v>
      </c>
      <c r="R249">
        <v>62545023.344202504</v>
      </c>
      <c r="S249">
        <v>62545023.344202504</v>
      </c>
      <c r="T249">
        <v>59112683.874685504</v>
      </c>
      <c r="U249">
        <v>24163513.406935599</v>
      </c>
      <c r="V249">
        <v>459621128.71581</v>
      </c>
      <c r="W249">
        <v>79745130.391688704</v>
      </c>
      <c r="X249">
        <v>0.27393452505989901</v>
      </c>
      <c r="Y249">
        <v>705751524.21181095</v>
      </c>
      <c r="Z249">
        <v>324869792.68372601</v>
      </c>
      <c r="AA249">
        <v>0.792568544545461</v>
      </c>
      <c r="AB249">
        <v>367299695.97545499</v>
      </c>
      <c r="AC249">
        <v>211365055.05956799</v>
      </c>
      <c r="AD249">
        <v>291110185.45125699</v>
      </c>
      <c r="AE249">
        <v>-574799929.90176499</v>
      </c>
      <c r="AF249">
        <v>-30271421.5677917</v>
      </c>
      <c r="AG249">
        <v>5.5594999999999999E-2</v>
      </c>
      <c r="AH249">
        <v>-1742694477.3376801</v>
      </c>
      <c r="AI249">
        <v>784490921.39953601</v>
      </c>
      <c r="AJ249">
        <v>0.06</v>
      </c>
      <c r="AK249">
        <v>0.05</v>
      </c>
      <c r="AL249">
        <v>8.8099999999999998E-2</v>
      </c>
      <c r="AM249">
        <v>3.8100000000000002E-2</v>
      </c>
      <c r="AN249">
        <v>0.89</v>
      </c>
      <c r="AO249">
        <v>0.66</v>
      </c>
      <c r="AP249">
        <v>0.42970000000000003</v>
      </c>
      <c r="AQ249">
        <v>0.57030000000000003</v>
      </c>
      <c r="AR249">
        <v>8.9999999999999993E-3</v>
      </c>
      <c r="AS249">
        <v>0.5</v>
      </c>
      <c r="AT249">
        <v>1.82</v>
      </c>
      <c r="AU249">
        <v>6.3545217126973294E-2</v>
      </c>
      <c r="AV249">
        <v>0.7893</v>
      </c>
      <c r="AW249">
        <v>3</v>
      </c>
      <c r="AX249">
        <v>0.05</v>
      </c>
      <c r="AY249">
        <v>1</v>
      </c>
      <c r="AZ249">
        <v>1</v>
      </c>
      <c r="BA249" s="2">
        <f>modelo_tese_H__2[[#This Row],[Vw]]+modelo_tese_H__2[[#This Row],[Vr]]+modelo_tese_H__2[[#This Row],[K]]-modelo_tese_H__2[[#This Row],[E]]</f>
        <v>-577321824.41005921</v>
      </c>
      <c r="BB249" s="2">
        <f>modelo_tese_H__2[[#This Row],[K]]-modelo_tese_H__2[[#This Row],[Coluna1]]</f>
        <v>1283073348.62187</v>
      </c>
      <c r="BC249">
        <f>modelo_tese_H__2[[#This Row],[Coluna2]]/modelo_tese_H__2[[#This Row],[Coluna1]]</f>
        <v>-2.2224577252609294</v>
      </c>
      <c r="BD249" s="8">
        <f>modelo_tese_H__2[[#This Row],[D]]-modelo_tese_H__2[[#This Row],[Dw]]-modelo_tese_H__2[[#This Row],[Dr]]</f>
        <v>5.0663948059082031E-6</v>
      </c>
    </row>
    <row r="250" spans="1:56" x14ac:dyDescent="0.25">
      <c r="A250">
        <v>249</v>
      </c>
      <c r="B250">
        <v>249</v>
      </c>
      <c r="C250">
        <v>175267920.685105</v>
      </c>
      <c r="D250">
        <v>80914753.4495354</v>
      </c>
      <c r="E250">
        <v>72014130.570086494</v>
      </c>
      <c r="F250">
        <v>9113649.8990923706</v>
      </c>
      <c r="G250">
        <v>254287128.551934</v>
      </c>
      <c r="H250">
        <v>57246066.507017598</v>
      </c>
      <c r="I250">
        <v>138373846.97619599</v>
      </c>
      <c r="J250">
        <v>102697156.660868</v>
      </c>
      <c r="K250">
        <v>644950761.21211004</v>
      </c>
      <c r="L250">
        <v>-57459093.526661098</v>
      </c>
      <c r="M250">
        <v>747647917.87297797</v>
      </c>
      <c r="N250">
        <v>-1091880152.1442399</v>
      </c>
      <c r="O250">
        <v>128427842.702997</v>
      </c>
      <c r="P250">
        <v>84762376.183978006</v>
      </c>
      <c r="Q250">
        <v>132057909.027511</v>
      </c>
      <c r="R250">
        <v>66028954.513755701</v>
      </c>
      <c r="S250">
        <v>66028954.513755701</v>
      </c>
      <c r="T250">
        <v>62398888.189241201</v>
      </c>
      <c r="U250">
        <v>25504814.480332401</v>
      </c>
      <c r="V250">
        <v>485125943.19614297</v>
      </c>
      <c r="W250">
        <v>84189606.552442297</v>
      </c>
      <c r="X250">
        <v>0.27394250145251098</v>
      </c>
      <c r="Y250">
        <v>745093996.92052197</v>
      </c>
      <c r="Z250">
        <v>343030444.72241199</v>
      </c>
      <c r="AA250">
        <v>0.79253531999329396</v>
      </c>
      <c r="AB250">
        <v>387775562.75374198</v>
      </c>
      <c r="AC250">
        <v>223136223.16017401</v>
      </c>
      <c r="AD250">
        <v>307325829.71261698</v>
      </c>
      <c r="AE250">
        <v>-606754208.94809401</v>
      </c>
      <c r="AF250">
        <v>-31954279.046328701</v>
      </c>
      <c r="AG250">
        <v>5.5594999999999999E-2</v>
      </c>
      <c r="AH250">
        <v>-1839528070.01722</v>
      </c>
      <c r="AI250">
        <v>828156387.91855502</v>
      </c>
      <c r="AJ250">
        <v>0.06</v>
      </c>
      <c r="AK250">
        <v>0.05</v>
      </c>
      <c r="AL250">
        <v>8.8099999999999998E-2</v>
      </c>
      <c r="AM250">
        <v>3.8100000000000002E-2</v>
      </c>
      <c r="AN250">
        <v>0.89</v>
      </c>
      <c r="AO250">
        <v>0.66</v>
      </c>
      <c r="AP250">
        <v>0.42970000000000003</v>
      </c>
      <c r="AQ250">
        <v>0.57030000000000003</v>
      </c>
      <c r="AR250">
        <v>8.9999999999999993E-3</v>
      </c>
      <c r="AS250">
        <v>0.5</v>
      </c>
      <c r="AT250">
        <v>1.82</v>
      </c>
      <c r="AU250">
        <v>6.3545217126973294E-2</v>
      </c>
      <c r="AV250">
        <v>0.7893</v>
      </c>
      <c r="AW250">
        <v>3</v>
      </c>
      <c r="AX250">
        <v>0.05</v>
      </c>
      <c r="AY250">
        <v>1</v>
      </c>
      <c r="AZ250">
        <v>1</v>
      </c>
      <c r="BA250" s="2">
        <f>modelo_tese_H__2[[#This Row],[Vw]]+modelo_tese_H__2[[#This Row],[Vr]]+modelo_tese_H__2[[#This Row],[K]]-modelo_tese_H__2[[#This Row],[E]]</f>
        <v>-609308129.90055501</v>
      </c>
      <c r="BB250" s="2">
        <f>modelo_tese_H__2[[#This Row],[K]]-modelo_tese_H__2[[#This Row],[Coluna1]]</f>
        <v>1354402126.8210769</v>
      </c>
      <c r="BC250">
        <f>modelo_tese_H__2[[#This Row],[Coluna2]]/modelo_tese_H__2[[#This Row],[Coluna1]]</f>
        <v>-2.2228525443146943</v>
      </c>
      <c r="BD250" s="8">
        <f>modelo_tese_H__2[[#This Row],[D]]-modelo_tese_H__2[[#This Row],[Dw]]-modelo_tese_H__2[[#This Row],[Dr]]</f>
        <v>2.9206275939941406E-6</v>
      </c>
    </row>
    <row r="251" spans="1:56" x14ac:dyDescent="0.25">
      <c r="A251">
        <v>250</v>
      </c>
      <c r="B251">
        <v>250</v>
      </c>
      <c r="C251">
        <v>185030640.143179</v>
      </c>
      <c r="D251">
        <v>85432167.304077104</v>
      </c>
      <c r="E251">
        <v>76034628.900628597</v>
      </c>
      <c r="F251">
        <v>9620159.9406336695</v>
      </c>
      <c r="G251">
        <v>268437827.71330202</v>
      </c>
      <c r="H251">
        <v>60428661.574475303</v>
      </c>
      <c r="I251">
        <v>146083450.41573799</v>
      </c>
      <c r="J251">
        <v>108404554.932723</v>
      </c>
      <c r="K251">
        <v>680806798.78440404</v>
      </c>
      <c r="L251">
        <v>-60651283.111660399</v>
      </c>
      <c r="M251">
        <v>789211353.71712697</v>
      </c>
      <c r="N251">
        <v>-1152531435.2558999</v>
      </c>
      <c r="O251">
        <v>135574660.46126401</v>
      </c>
      <c r="P251">
        <v>89479275.904433995</v>
      </c>
      <c r="Q251">
        <v>139413757.79330799</v>
      </c>
      <c r="R251">
        <v>69706878.896654204</v>
      </c>
      <c r="S251">
        <v>69706878.896654204</v>
      </c>
      <c r="T251">
        <v>65867781.564609401</v>
      </c>
      <c r="U251">
        <v>26920591.8371685</v>
      </c>
      <c r="V251">
        <v>512046535.03331101</v>
      </c>
      <c r="W251">
        <v>88881671.616315395</v>
      </c>
      <c r="X251">
        <v>0.273950396991336</v>
      </c>
      <c r="Y251">
        <v>786628508.72251797</v>
      </c>
      <c r="Z251">
        <v>362205237.44207299</v>
      </c>
      <c r="AA251">
        <v>0.79250243148502098</v>
      </c>
      <c r="AB251">
        <v>409392306.000287</v>
      </c>
      <c r="AC251">
        <v>235562726.32017201</v>
      </c>
      <c r="AD251">
        <v>324444397.93648702</v>
      </c>
      <c r="AE251">
        <v>-640484900.22258604</v>
      </c>
      <c r="AF251">
        <v>-33730691.274492003</v>
      </c>
      <c r="AG251">
        <v>5.5594999999999999E-2</v>
      </c>
      <c r="AH251">
        <v>-1941742788.9730201</v>
      </c>
      <c r="AI251">
        <v>874251772.475384</v>
      </c>
      <c r="AJ251">
        <v>0.06</v>
      </c>
      <c r="AK251">
        <v>0.05</v>
      </c>
      <c r="AL251">
        <v>8.8099999999999998E-2</v>
      </c>
      <c r="AM251">
        <v>3.8100000000000002E-2</v>
      </c>
      <c r="AN251">
        <v>0.89</v>
      </c>
      <c r="AO251">
        <v>0.66</v>
      </c>
      <c r="AP251">
        <v>0.42970000000000003</v>
      </c>
      <c r="AQ251">
        <v>0.57030000000000003</v>
      </c>
      <c r="AR251">
        <v>8.9999999999999993E-3</v>
      </c>
      <c r="AS251">
        <v>0.5</v>
      </c>
      <c r="AT251">
        <v>1.82</v>
      </c>
      <c r="AU251">
        <v>6.3545217126973294E-2</v>
      </c>
      <c r="AV251">
        <v>0.7893</v>
      </c>
      <c r="AW251">
        <v>3</v>
      </c>
      <c r="AX251">
        <v>0.05</v>
      </c>
      <c r="AY251">
        <v>1</v>
      </c>
      <c r="AZ251">
        <v>1</v>
      </c>
      <c r="BA251" s="2">
        <f>modelo_tese_H__2[[#This Row],[Vw]]+modelo_tese_H__2[[#This Row],[Vr]]+modelo_tese_H__2[[#This Row],[K]]-modelo_tese_H__2[[#This Row],[E]]</f>
        <v>-643067745.2171911</v>
      </c>
      <c r="BB251" s="2">
        <f>modelo_tese_H__2[[#This Row],[K]]-modelo_tese_H__2[[#This Row],[Coluna1]]</f>
        <v>1429696253.9397092</v>
      </c>
      <c r="BC251">
        <f>modelo_tese_H__2[[#This Row],[Coluna2]]/modelo_tese_H__2[[#This Row],[Coluna1]]</f>
        <v>-2.2232436078050228</v>
      </c>
      <c r="BD251" s="8">
        <f>modelo_tese_H__2[[#This Row],[D]]-modelo_tese_H__2[[#This Row],[Dw]]-modelo_tese_H__2[[#This Row],[Dr]]</f>
        <v>2.86102294921875E-6</v>
      </c>
    </row>
    <row r="252" spans="1:56" x14ac:dyDescent="0.25">
      <c r="A252">
        <v>251</v>
      </c>
      <c r="B252">
        <v>251</v>
      </c>
      <c r="C252">
        <v>195336961.440449</v>
      </c>
      <c r="D252">
        <v>90201581.916680202</v>
      </c>
      <c r="E252">
        <v>80279407.905845404</v>
      </c>
      <c r="F252">
        <v>10154822.039472001</v>
      </c>
      <c r="G252">
        <v>283375848.69528502</v>
      </c>
      <c r="H252">
        <v>63788193.014708199</v>
      </c>
      <c r="I252">
        <v>154222422.960026</v>
      </c>
      <c r="J252">
        <v>114429163.429258</v>
      </c>
      <c r="K252">
        <v>718656252.76542699</v>
      </c>
      <c r="L252">
        <v>-64020841.043345399</v>
      </c>
      <c r="M252">
        <v>833085416.19468498</v>
      </c>
      <c r="N252">
        <v>-1216552276.2992401</v>
      </c>
      <c r="O252">
        <v>143119115.50266901</v>
      </c>
      <c r="P252">
        <v>94458616.231761694</v>
      </c>
      <c r="Q252">
        <v>147179190.48038101</v>
      </c>
      <c r="R252">
        <v>73589595.240190297</v>
      </c>
      <c r="S252">
        <v>73589595.240190297</v>
      </c>
      <c r="T252">
        <v>69529520.262478903</v>
      </c>
      <c r="U252">
        <v>28414981.782055099</v>
      </c>
      <c r="V252">
        <v>540461516.81536603</v>
      </c>
      <c r="W252">
        <v>93835112.729042903</v>
      </c>
      <c r="X252">
        <v>0.27395821248958901</v>
      </c>
      <c r="Y252">
        <v>830477142.06652105</v>
      </c>
      <c r="Z252">
        <v>382450754.93092602</v>
      </c>
      <c r="AA252">
        <v>0.792469875657414</v>
      </c>
      <c r="AB252">
        <v>432213466.33105397</v>
      </c>
      <c r="AC252">
        <v>248681039.191787</v>
      </c>
      <c r="AD252">
        <v>342516151.92083001</v>
      </c>
      <c r="AE252">
        <v>-676090759.48387599</v>
      </c>
      <c r="AF252">
        <v>-35605859.261290297</v>
      </c>
      <c r="AG252">
        <v>5.5594999999999999E-2</v>
      </c>
      <c r="AH252">
        <v>-2049637692.4939301</v>
      </c>
      <c r="AI252">
        <v>922912271.746292</v>
      </c>
      <c r="AJ252">
        <v>0.06</v>
      </c>
      <c r="AK252">
        <v>0.05</v>
      </c>
      <c r="AL252">
        <v>8.8099999999999998E-2</v>
      </c>
      <c r="AM252">
        <v>3.8100000000000002E-2</v>
      </c>
      <c r="AN252">
        <v>0.89</v>
      </c>
      <c r="AO252">
        <v>0.66</v>
      </c>
      <c r="AP252">
        <v>0.42970000000000003</v>
      </c>
      <c r="AQ252">
        <v>0.57030000000000003</v>
      </c>
      <c r="AR252">
        <v>8.9999999999999993E-3</v>
      </c>
      <c r="AS252">
        <v>0.5</v>
      </c>
      <c r="AT252">
        <v>1.82</v>
      </c>
      <c r="AU252">
        <v>6.3545217126973294E-2</v>
      </c>
      <c r="AV252">
        <v>0.7893</v>
      </c>
      <c r="AW252">
        <v>3</v>
      </c>
      <c r="AX252">
        <v>0.05</v>
      </c>
      <c r="AY252">
        <v>1</v>
      </c>
      <c r="AZ252">
        <v>1</v>
      </c>
      <c r="BA252" s="2">
        <f>modelo_tese_H__2[[#This Row],[Vw]]+modelo_tese_H__2[[#This Row],[Vr]]+modelo_tese_H__2[[#This Row],[K]]-modelo_tese_H__2[[#This Row],[E]]</f>
        <v>-678699033.61204314</v>
      </c>
      <c r="BB252" s="2">
        <f>modelo_tese_H__2[[#This Row],[K]]-modelo_tese_H__2[[#This Row],[Coluna1]]</f>
        <v>1509176175.6785641</v>
      </c>
      <c r="BC252">
        <f>modelo_tese_H__2[[#This Row],[Coluna2]]/modelo_tese_H__2[[#This Row],[Coluna1]]</f>
        <v>-2.2236309482374139</v>
      </c>
      <c r="BD252" s="8">
        <f>modelo_tese_H__2[[#This Row],[D]]-modelo_tese_H__2[[#This Row],[Dw]]-modelo_tese_H__2[[#This Row],[Dr]]</f>
        <v>-1.9073486328125E-6</v>
      </c>
    </row>
    <row r="253" spans="1:56" x14ac:dyDescent="0.25">
      <c r="A253">
        <v>252</v>
      </c>
      <c r="B253">
        <v>252</v>
      </c>
      <c r="C253">
        <v>206217144.10752901</v>
      </c>
      <c r="D253">
        <v>95237045.782479495</v>
      </c>
      <c r="E253">
        <v>84760970.746406704</v>
      </c>
      <c r="F253">
        <v>10719200.977331599</v>
      </c>
      <c r="G253">
        <v>299144990.29303902</v>
      </c>
      <c r="H253">
        <v>67334497.605360895</v>
      </c>
      <c r="I253">
        <v>162814669.329099</v>
      </c>
      <c r="J253">
        <v>120788613.279935</v>
      </c>
      <c r="K253">
        <v>758609947.14042497</v>
      </c>
      <c r="L253">
        <v>-67577623.546619803</v>
      </c>
      <c r="M253">
        <v>879398560.42035902</v>
      </c>
      <c r="N253">
        <v>-1284129899.84586</v>
      </c>
      <c r="O253">
        <v>151083328.43082801</v>
      </c>
      <c r="P253">
        <v>99714996.764346302</v>
      </c>
      <c r="Q253">
        <v>155377006.52815199</v>
      </c>
      <c r="R253">
        <v>77688503.264076099</v>
      </c>
      <c r="S253">
        <v>77688503.264076099</v>
      </c>
      <c r="T253">
        <v>73394825.166751698</v>
      </c>
      <c r="U253">
        <v>29992350.388322201</v>
      </c>
      <c r="V253">
        <v>570453867.20368803</v>
      </c>
      <c r="W253">
        <v>99064484.5422353</v>
      </c>
      <c r="X253">
        <v>0.27396594875243602</v>
      </c>
      <c r="Y253">
        <v>876768776.29715097</v>
      </c>
      <c r="Z253">
        <v>403826736.20908499</v>
      </c>
      <c r="AA253">
        <v>0.79243764918002402</v>
      </c>
      <c r="AB253">
        <v>456306122.01457202</v>
      </c>
      <c r="AC253">
        <v>262529666.09344599</v>
      </c>
      <c r="AD253">
        <v>361594150.63568097</v>
      </c>
      <c r="AE253">
        <v>-713676032.64217401</v>
      </c>
      <c r="AF253">
        <v>-37585273.158297598</v>
      </c>
      <c r="AG253">
        <v>5.5594999999999999E-2</v>
      </c>
      <c r="AH253">
        <v>-2163528460.2662201</v>
      </c>
      <c r="AI253">
        <v>974280603.41277301</v>
      </c>
      <c r="AJ253">
        <v>0.06</v>
      </c>
      <c r="AK253">
        <v>0.05</v>
      </c>
      <c r="AL253">
        <v>8.8099999999999998E-2</v>
      </c>
      <c r="AM253">
        <v>3.8100000000000002E-2</v>
      </c>
      <c r="AN253">
        <v>0.89</v>
      </c>
      <c r="AO253">
        <v>0.66</v>
      </c>
      <c r="AP253">
        <v>0.42970000000000003</v>
      </c>
      <c r="AQ253">
        <v>0.57030000000000003</v>
      </c>
      <c r="AR253">
        <v>8.9999999999999993E-3</v>
      </c>
      <c r="AS253">
        <v>0.5</v>
      </c>
      <c r="AT253">
        <v>1.82</v>
      </c>
      <c r="AU253">
        <v>6.3545217126973294E-2</v>
      </c>
      <c r="AV253">
        <v>0.7893</v>
      </c>
      <c r="AW253">
        <v>3</v>
      </c>
      <c r="AX253">
        <v>0.05</v>
      </c>
      <c r="AY253">
        <v>1</v>
      </c>
      <c r="AZ253">
        <v>1</v>
      </c>
      <c r="BA253" s="2">
        <f>modelo_tese_H__2[[#This Row],[Vw]]+modelo_tese_H__2[[#This Row],[Vr]]+modelo_tese_H__2[[#This Row],[K]]-modelo_tese_H__2[[#This Row],[E]]</f>
        <v>-716305816.76538098</v>
      </c>
      <c r="BB253" s="2">
        <f>modelo_tese_H__2[[#This Row],[K]]-modelo_tese_H__2[[#This Row],[Coluna1]]</f>
        <v>1593074593.0625319</v>
      </c>
      <c r="BC253">
        <f>modelo_tese_H__2[[#This Row],[Coluna2]]/modelo_tese_H__2[[#This Row],[Coluna1]]</f>
        <v>-2.2240145979218373</v>
      </c>
      <c r="BD253" s="8">
        <f>modelo_tese_H__2[[#This Row],[D]]-modelo_tese_H__2[[#This Row],[Dw]]-modelo_tese_H__2[[#This Row],[Dr]]</f>
        <v>-2.0265579223632813E-6</v>
      </c>
    </row>
    <row r="254" spans="1:56" x14ac:dyDescent="0.25">
      <c r="A254">
        <v>253</v>
      </c>
      <c r="B254">
        <v>253</v>
      </c>
      <c r="C254">
        <v>217703131.66240799</v>
      </c>
      <c r="D254">
        <v>100553390.155178</v>
      </c>
      <c r="E254">
        <v>89492517.238108307</v>
      </c>
      <c r="F254">
        <v>11314948.515044799</v>
      </c>
      <c r="G254">
        <v>315791487.53900403</v>
      </c>
      <c r="H254">
        <v>71077958.9997309</v>
      </c>
      <c r="I254">
        <v>171885424.752884</v>
      </c>
      <c r="J254">
        <v>127501515.629014</v>
      </c>
      <c r="K254">
        <v>800784867.15410602</v>
      </c>
      <c r="L254">
        <v>-71332034.597706094</v>
      </c>
      <c r="M254">
        <v>928286382.78312004</v>
      </c>
      <c r="N254">
        <v>-1355461934.4435699</v>
      </c>
      <c r="O254">
        <v>159490650.27222401</v>
      </c>
      <c r="P254">
        <v>105263829.17966799</v>
      </c>
      <c r="Q254">
        <v>164031274.19838101</v>
      </c>
      <c r="R254">
        <v>82015637.099190399</v>
      </c>
      <c r="S254">
        <v>82015637.099190399</v>
      </c>
      <c r="T254">
        <v>77475013.173033699</v>
      </c>
      <c r="U254">
        <v>31657306.263510201</v>
      </c>
      <c r="V254">
        <v>602111173.46719801</v>
      </c>
      <c r="W254">
        <v>104585151.92823599</v>
      </c>
      <c r="X254">
        <v>0.27397360657707398</v>
      </c>
      <c r="Y254">
        <v>925639465.96543503</v>
      </c>
      <c r="Z254">
        <v>426396251.038131</v>
      </c>
      <c r="AA254">
        <v>0.79240574875486902</v>
      </c>
      <c r="AB254">
        <v>481741085.87755603</v>
      </c>
      <c r="AC254">
        <v>277149253.93255198</v>
      </c>
      <c r="AD254">
        <v>381734405.86078799</v>
      </c>
      <c r="AE254">
        <v>-753350760.97636998</v>
      </c>
      <c r="AF254">
        <v>-39674728.334196001</v>
      </c>
      <c r="AG254">
        <v>5.5594999999999999E-2</v>
      </c>
      <c r="AH254">
        <v>-2283748317.2266898</v>
      </c>
      <c r="AI254">
        <v>1028507424.50533</v>
      </c>
      <c r="AJ254">
        <v>0.06</v>
      </c>
      <c r="AK254">
        <v>0.05</v>
      </c>
      <c r="AL254">
        <v>8.8099999999999998E-2</v>
      </c>
      <c r="AM254">
        <v>3.8100000000000002E-2</v>
      </c>
      <c r="AN254">
        <v>0.89</v>
      </c>
      <c r="AO254">
        <v>0.66</v>
      </c>
      <c r="AP254">
        <v>0.42970000000000003</v>
      </c>
      <c r="AQ254">
        <v>0.57030000000000003</v>
      </c>
      <c r="AR254">
        <v>8.9999999999999993E-3</v>
      </c>
      <c r="AS254">
        <v>0.5</v>
      </c>
      <c r="AT254">
        <v>1.82</v>
      </c>
      <c r="AU254">
        <v>6.3545217126973294E-2</v>
      </c>
      <c r="AV254">
        <v>0.7893</v>
      </c>
      <c r="AW254">
        <v>3</v>
      </c>
      <c r="AX254">
        <v>0.05</v>
      </c>
      <c r="AY254">
        <v>1</v>
      </c>
      <c r="AZ254">
        <v>1</v>
      </c>
      <c r="BA254" s="2">
        <f>modelo_tese_H__2[[#This Row],[Vw]]+modelo_tese_H__2[[#This Row],[Vr]]+modelo_tese_H__2[[#This Row],[K]]-modelo_tese_H__2[[#This Row],[E]]</f>
        <v>-755997677.7940557</v>
      </c>
      <c r="BB254" s="2">
        <f>modelo_tese_H__2[[#This Row],[K]]-modelo_tese_H__2[[#This Row],[Coluna1]]</f>
        <v>1681637143.7594907</v>
      </c>
      <c r="BC254">
        <f>modelo_tese_H__2[[#This Row],[Coluna2]]/modelo_tese_H__2[[#This Row],[Coluna1]]</f>
        <v>-2.2243945889706715</v>
      </c>
      <c r="BD254" s="8">
        <f>modelo_tese_H__2[[#This Row],[D]]-modelo_tese_H__2[[#This Row],[Dw]]-modelo_tese_H__2[[#This Row],[Dr]]</f>
        <v>1.9073486328125E-6</v>
      </c>
    </row>
    <row r="255" spans="1:56" x14ac:dyDescent="0.25">
      <c r="A255">
        <v>254</v>
      </c>
      <c r="B255">
        <v>254</v>
      </c>
      <c r="C255">
        <v>229828645.30853999</v>
      </c>
      <c r="D255">
        <v>106166272.642381</v>
      </c>
      <c r="E255">
        <v>94487982.6517189</v>
      </c>
      <c r="F255">
        <v>11943808.2274839</v>
      </c>
      <c r="G255">
        <v>333364147.20139599</v>
      </c>
      <c r="H255">
        <v>75029538.130320996</v>
      </c>
      <c r="I255">
        <v>181461329.00952399</v>
      </c>
      <c r="J255">
        <v>134587516.11103201</v>
      </c>
      <c r="K255">
        <v>845304501.845855</v>
      </c>
      <c r="L255">
        <v>-75295056.367143005</v>
      </c>
      <c r="M255">
        <v>979892017.95688796</v>
      </c>
      <c r="N255">
        <v>-1430756990.81071</v>
      </c>
      <c r="O255">
        <v>168365730.909796</v>
      </c>
      <c r="P255">
        <v>111121382.400465</v>
      </c>
      <c r="Q255">
        <v>173167401.173206</v>
      </c>
      <c r="R255">
        <v>86583700.586603194</v>
      </c>
      <c r="S255">
        <v>86583700.586603194</v>
      </c>
      <c r="T255">
        <v>81782030.323192805</v>
      </c>
      <c r="U255">
        <v>33414714.024176601</v>
      </c>
      <c r="V255">
        <v>635525887.49137497</v>
      </c>
      <c r="W255">
        <v>110413335.071757</v>
      </c>
      <c r="X255">
        <v>0.27398118675280603</v>
      </c>
      <c r="Y255">
        <v>977232840.19112301</v>
      </c>
      <c r="Z255">
        <v>450225885.52328497</v>
      </c>
      <c r="AA255">
        <v>0.79237417111617303</v>
      </c>
      <c r="AB255">
        <v>508593113.16782099</v>
      </c>
      <c r="AC255">
        <v>292582711.409989</v>
      </c>
      <c r="AD255">
        <v>402996046.48174602</v>
      </c>
      <c r="AE255">
        <v>-795231103.31933606</v>
      </c>
      <c r="AF255">
        <v>-41880342.3429664</v>
      </c>
      <c r="AG255">
        <v>5.5594999999999999E-2</v>
      </c>
      <c r="AH255">
        <v>-2410649008.7676001</v>
      </c>
      <c r="AI255">
        <v>1085751773.0146599</v>
      </c>
      <c r="AJ255">
        <v>0.06</v>
      </c>
      <c r="AK255">
        <v>0.05</v>
      </c>
      <c r="AL255">
        <v>8.8099999999999998E-2</v>
      </c>
      <c r="AM255">
        <v>3.8100000000000002E-2</v>
      </c>
      <c r="AN255">
        <v>0.89</v>
      </c>
      <c r="AO255">
        <v>0.66</v>
      </c>
      <c r="AP255">
        <v>0.42970000000000003</v>
      </c>
      <c r="AQ255">
        <v>0.57030000000000003</v>
      </c>
      <c r="AR255">
        <v>8.9999999999999993E-3</v>
      </c>
      <c r="AS255">
        <v>0.5</v>
      </c>
      <c r="AT255">
        <v>1.82</v>
      </c>
      <c r="AU255">
        <v>6.3545217126973294E-2</v>
      </c>
      <c r="AV255">
        <v>0.7893</v>
      </c>
      <c r="AW255">
        <v>3</v>
      </c>
      <c r="AX255">
        <v>0.05</v>
      </c>
      <c r="AY255">
        <v>1</v>
      </c>
      <c r="AZ255">
        <v>1</v>
      </c>
      <c r="BA255" s="2">
        <f>modelo_tese_H__2[[#This Row],[Vw]]+modelo_tese_H__2[[#This Row],[Vr]]+modelo_tese_H__2[[#This Row],[K]]-modelo_tese_H__2[[#This Row],[E]]</f>
        <v>-797890281.08510208</v>
      </c>
      <c r="BB255" s="2">
        <f>modelo_tese_H__2[[#This Row],[K]]-modelo_tese_H__2[[#This Row],[Coluna1]]</f>
        <v>1775123121.2762251</v>
      </c>
      <c r="BC255">
        <f>modelo_tese_H__2[[#This Row],[Coluna2]]/modelo_tese_H__2[[#This Row],[Coluna1]]</f>
        <v>-2.2247709532971394</v>
      </c>
      <c r="BD255" s="8">
        <f>modelo_tese_H__2[[#This Row],[D]]-modelo_tese_H__2[[#This Row],[Dw]]-modelo_tese_H__2[[#This Row],[Dr]]</f>
        <v>-1.0728836059570313E-6</v>
      </c>
    </row>
    <row r="256" spans="1:56" x14ac:dyDescent="0.25">
      <c r="A256">
        <v>255</v>
      </c>
      <c r="B256">
        <v>255</v>
      </c>
      <c r="C256">
        <v>242629282.84551001</v>
      </c>
      <c r="D256">
        <v>112092223.22809701</v>
      </c>
      <c r="E256">
        <v>99762078.6730064</v>
      </c>
      <c r="F256">
        <v>12607620.607261799</v>
      </c>
      <c r="G256">
        <v>351914490.81824303</v>
      </c>
      <c r="H256">
        <v>79200805.302676201</v>
      </c>
      <c r="I256">
        <v>191570504.58294401</v>
      </c>
      <c r="J256">
        <v>142067352.35446399</v>
      </c>
      <c r="K256">
        <v>892299205.62820399</v>
      </c>
      <c r="L256">
        <v>-79478281.354847297</v>
      </c>
      <c r="M256">
        <v>1034366557.9826699</v>
      </c>
      <c r="N256">
        <v>-1510235272.16556</v>
      </c>
      <c r="O256">
        <v>177734591.32234499</v>
      </c>
      <c r="P256">
        <v>117304830.27274799</v>
      </c>
      <c r="Q256">
        <v>182812209.08068699</v>
      </c>
      <c r="R256">
        <v>91406104.5403433</v>
      </c>
      <c r="S256">
        <v>91406104.5403433</v>
      </c>
      <c r="T256">
        <v>86328486.782001793</v>
      </c>
      <c r="U256">
        <v>35269708.519436397</v>
      </c>
      <c r="V256">
        <v>670795596.01081097</v>
      </c>
      <c r="W256">
        <v>116566157.07050399</v>
      </c>
      <c r="X256">
        <v>0.27398869006111398</v>
      </c>
      <c r="Y256">
        <v>1031700524.24807</v>
      </c>
      <c r="Z256">
        <v>475385938.05344599</v>
      </c>
      <c r="AA256">
        <v>0.79234291303006399</v>
      </c>
      <c r="AB256">
        <v>536941120.98413301</v>
      </c>
      <c r="AC256">
        <v>308875334.85569203</v>
      </c>
      <c r="AD256">
        <v>425441491.92619598</v>
      </c>
      <c r="AE256">
        <v>-839439676.15474701</v>
      </c>
      <c r="AF256">
        <v>-44208572.8354109</v>
      </c>
      <c r="AG256">
        <v>5.5594999999999999E-2</v>
      </c>
      <c r="AH256">
        <v>-2544601830.1482301</v>
      </c>
      <c r="AI256">
        <v>1146181534.06426</v>
      </c>
      <c r="AJ256">
        <v>0.06</v>
      </c>
      <c r="AK256">
        <v>0.05</v>
      </c>
      <c r="AL256">
        <v>8.8099999999999998E-2</v>
      </c>
      <c r="AM256">
        <v>3.8100000000000002E-2</v>
      </c>
      <c r="AN256">
        <v>0.89</v>
      </c>
      <c r="AO256">
        <v>0.66</v>
      </c>
      <c r="AP256">
        <v>0.42970000000000003</v>
      </c>
      <c r="AQ256">
        <v>0.57030000000000003</v>
      </c>
      <c r="AR256">
        <v>8.9999999999999993E-3</v>
      </c>
      <c r="AS256">
        <v>0.5</v>
      </c>
      <c r="AT256">
        <v>1.82</v>
      </c>
      <c r="AU256">
        <v>6.3545217126973294E-2</v>
      </c>
      <c r="AV256">
        <v>0.7893</v>
      </c>
      <c r="AW256">
        <v>3</v>
      </c>
      <c r="AX256">
        <v>0.05</v>
      </c>
      <c r="AY256">
        <v>1</v>
      </c>
      <c r="AZ256">
        <v>1</v>
      </c>
      <c r="BA256" s="2">
        <f>modelo_tese_H__2[[#This Row],[Vw]]+modelo_tese_H__2[[#This Row],[Vr]]+modelo_tese_H__2[[#This Row],[K]]-modelo_tese_H__2[[#This Row],[E]]</f>
        <v>-842105709.88934612</v>
      </c>
      <c r="BB256" s="2">
        <f>modelo_tese_H__2[[#This Row],[K]]-modelo_tese_H__2[[#This Row],[Coluna1]]</f>
        <v>1873806234.1374161</v>
      </c>
      <c r="BC256">
        <f>modelo_tese_H__2[[#This Row],[Coluna2]]/modelo_tese_H__2[[#This Row],[Coluna1]]</f>
        <v>-2.225143722613681</v>
      </c>
      <c r="BD256" s="8">
        <f>modelo_tese_H__2[[#This Row],[D]]-modelo_tese_H__2[[#This Row],[Dw]]-modelo_tese_H__2[[#This Row],[Dr]]</f>
        <v>2.0265579223632813E-6</v>
      </c>
    </row>
    <row r="257" spans="1:56" x14ac:dyDescent="0.25">
      <c r="A257">
        <v>256</v>
      </c>
      <c r="B257">
        <v>256</v>
      </c>
      <c r="C257">
        <v>256142623.08224201</v>
      </c>
      <c r="D257">
        <v>118348692.85752</v>
      </c>
      <c r="E257">
        <v>105330336.64319301</v>
      </c>
      <c r="F257">
        <v>13308328.452141101</v>
      </c>
      <c r="G257">
        <v>371496905.68601501</v>
      </c>
      <c r="H257">
        <v>83603974.073478505</v>
      </c>
      <c r="I257">
        <v>202242639.16881201</v>
      </c>
      <c r="J257">
        <v>149962914.68189999</v>
      </c>
      <c r="K257">
        <v>941906579.96724796</v>
      </c>
      <c r="L257">
        <v>-83893946.311292395</v>
      </c>
      <c r="M257">
        <v>1091869494.6491499</v>
      </c>
      <c r="N257">
        <v>-1594129218.47685</v>
      </c>
      <c r="O257">
        <v>187624699.84142199</v>
      </c>
      <c r="P257">
        <v>123832301.895338</v>
      </c>
      <c r="Q257">
        <v>192994012.166298</v>
      </c>
      <c r="R257">
        <v>96497006.083148897</v>
      </c>
      <c r="S257">
        <v>96497006.083148897</v>
      </c>
      <c r="T257">
        <v>91127693.758273095</v>
      </c>
      <c r="U257">
        <v>37227709.844842903</v>
      </c>
      <c r="V257">
        <v>708023305.855654</v>
      </c>
      <c r="W257">
        <v>123061694.184389</v>
      </c>
      <c r="X257">
        <v>0.27399611727573903</v>
      </c>
      <c r="Y257">
        <v>1089202584.6091101</v>
      </c>
      <c r="Z257">
        <v>501950626.15468699</v>
      </c>
      <c r="AA257">
        <v>0.79231197129428999</v>
      </c>
      <c r="AB257">
        <v>566868419.91652405</v>
      </c>
      <c r="AC257">
        <v>326074941.06415099</v>
      </c>
      <c r="AD257">
        <v>449136635.24853998</v>
      </c>
      <c r="AE257">
        <v>-886105912.62119699</v>
      </c>
      <c r="AF257">
        <v>-46666236.466449499</v>
      </c>
      <c r="AG257">
        <v>5.5594999999999999E-2</v>
      </c>
      <c r="AH257">
        <v>-2685998713.1259999</v>
      </c>
      <c r="AI257">
        <v>1209973932.01034</v>
      </c>
      <c r="AJ257">
        <v>0.06</v>
      </c>
      <c r="AK257">
        <v>0.05</v>
      </c>
      <c r="AL257">
        <v>8.8099999999999998E-2</v>
      </c>
      <c r="AM257">
        <v>3.8100000000000002E-2</v>
      </c>
      <c r="AN257">
        <v>0.89</v>
      </c>
      <c r="AO257">
        <v>0.66</v>
      </c>
      <c r="AP257">
        <v>0.42970000000000003</v>
      </c>
      <c r="AQ257">
        <v>0.57030000000000003</v>
      </c>
      <c r="AR257">
        <v>8.9999999999999993E-3</v>
      </c>
      <c r="AS257">
        <v>0.5</v>
      </c>
      <c r="AT257">
        <v>1.82</v>
      </c>
      <c r="AU257">
        <v>6.3545217126973294E-2</v>
      </c>
      <c r="AV257">
        <v>0.7893</v>
      </c>
      <c r="AW257">
        <v>3</v>
      </c>
      <c r="AX257">
        <v>0.05</v>
      </c>
      <c r="AY257">
        <v>1</v>
      </c>
      <c r="AZ257">
        <v>1</v>
      </c>
      <c r="BA257" s="2">
        <f>modelo_tese_H__2[[#This Row],[Vw]]+modelo_tese_H__2[[#This Row],[Vr]]+modelo_tese_H__2[[#This Row],[K]]-modelo_tese_H__2[[#This Row],[E]]</f>
        <v>-888772822.66123676</v>
      </c>
      <c r="BB257" s="2">
        <f>modelo_tese_H__2[[#This Row],[K]]-modelo_tese_H__2[[#This Row],[Coluna1]]</f>
        <v>1977975407.2703469</v>
      </c>
      <c r="BC257">
        <f>modelo_tese_H__2[[#This Row],[Coluna2]]/modelo_tese_H__2[[#This Row],[Coluna1]]</f>
        <v>-2.2255129284306086</v>
      </c>
      <c r="BD257" s="8">
        <f>modelo_tese_H__2[[#This Row],[D]]-modelo_tese_H__2[[#This Row],[Dw]]-modelo_tese_H__2[[#This Row],[Dr]]</f>
        <v>-9.5367431640625E-7</v>
      </c>
    </row>
    <row r="258" spans="1:56" x14ac:dyDescent="0.25">
      <c r="A258">
        <v>257</v>
      </c>
      <c r="B258">
        <v>257</v>
      </c>
      <c r="C258">
        <v>270408336.05883902</v>
      </c>
      <c r="D258">
        <v>124954104.72669999</v>
      </c>
      <c r="E258">
        <v>111209153.206763</v>
      </c>
      <c r="F258">
        <v>14047982.551922699</v>
      </c>
      <c r="G258">
        <v>392168804.24521703</v>
      </c>
      <c r="H258">
        <v>88251937.012093499</v>
      </c>
      <c r="I258">
        <v>213509072.77077901</v>
      </c>
      <c r="J258">
        <v>158297310.18444201</v>
      </c>
      <c r="K258">
        <v>994271876.28258896</v>
      </c>
      <c r="L258">
        <v>-88554968.044079199</v>
      </c>
      <c r="M258">
        <v>1152569186.46703</v>
      </c>
      <c r="N258">
        <v>-1682684186.5209301</v>
      </c>
      <c r="O258">
        <v>198065052.64910001</v>
      </c>
      <c r="P258">
        <v>130722934.74840599</v>
      </c>
      <c r="Q258">
        <v>203742700.341019</v>
      </c>
      <c r="R258">
        <v>101871350.17050999</v>
      </c>
      <c r="S258">
        <v>101871350.17050999</v>
      </c>
      <c r="T258">
        <v>96193702.478589907</v>
      </c>
      <c r="U258">
        <v>39294439.190529801</v>
      </c>
      <c r="V258">
        <v>747317745.04618394</v>
      </c>
      <c r="W258">
        <v>129919028.880674</v>
      </c>
      <c r="X258">
        <v>0.27400346916274898</v>
      </c>
      <c r="Y258">
        <v>1149907998.7555301</v>
      </c>
      <c r="Z258">
        <v>529998304.864851</v>
      </c>
      <c r="AA258">
        <v>0.79228134273794404</v>
      </c>
      <c r="AB258">
        <v>598462958.57643199</v>
      </c>
      <c r="AC258">
        <v>344232007.51918501</v>
      </c>
      <c r="AD258">
        <v>474151036.39985901</v>
      </c>
      <c r="AE258">
        <v>-935366441.47474599</v>
      </c>
      <c r="AF258">
        <v>-49260528.853549503</v>
      </c>
      <c r="AG258">
        <v>5.5594999999999999E-2</v>
      </c>
      <c r="AH258">
        <v>-2835253372.9879599</v>
      </c>
      <c r="AI258">
        <v>1277316049.9110301</v>
      </c>
      <c r="AJ258">
        <v>0.06</v>
      </c>
      <c r="AK258">
        <v>0.05</v>
      </c>
      <c r="AL258">
        <v>8.8099999999999998E-2</v>
      </c>
      <c r="AM258">
        <v>3.8100000000000002E-2</v>
      </c>
      <c r="AN258">
        <v>0.89</v>
      </c>
      <c r="AO258">
        <v>0.66</v>
      </c>
      <c r="AP258">
        <v>0.42970000000000003</v>
      </c>
      <c r="AQ258">
        <v>0.57030000000000003</v>
      </c>
      <c r="AR258">
        <v>8.9999999999999993E-3</v>
      </c>
      <c r="AS258">
        <v>0.5</v>
      </c>
      <c r="AT258">
        <v>1.82</v>
      </c>
      <c r="AU258">
        <v>6.3545217126973294E-2</v>
      </c>
      <c r="AV258">
        <v>0.7893</v>
      </c>
      <c r="AW258">
        <v>3</v>
      </c>
      <c r="AX258">
        <v>0.05</v>
      </c>
      <c r="AY258">
        <v>1</v>
      </c>
      <c r="AZ258">
        <v>1</v>
      </c>
      <c r="BA258" s="2">
        <f>modelo_tese_H__2[[#This Row],[Vw]]+modelo_tese_H__2[[#This Row],[Vr]]+modelo_tese_H__2[[#This Row],[K]]-modelo_tese_H__2[[#This Row],[E]]</f>
        <v>-938027629.18625069</v>
      </c>
      <c r="BB258" s="2">
        <f>modelo_tese_H__2[[#This Row],[K]]-modelo_tese_H__2[[#This Row],[Coluna1]]</f>
        <v>2087935627.9417808</v>
      </c>
      <c r="BC258">
        <f>modelo_tese_H__2[[#This Row],[Coluna2]]/modelo_tese_H__2[[#This Row],[Coluna1]]</f>
        <v>-2.225878602054705</v>
      </c>
      <c r="BD258" s="8">
        <f>modelo_tese_H__2[[#This Row],[D]]-modelo_tese_H__2[[#This Row],[Dw]]-modelo_tese_H__2[[#This Row],[Dr]]</f>
        <v>0</v>
      </c>
    </row>
    <row r="259" spans="1:56" x14ac:dyDescent="0.25">
      <c r="A259">
        <v>258</v>
      </c>
      <c r="B259">
        <v>258</v>
      </c>
      <c r="C259">
        <v>285468299.400123</v>
      </c>
      <c r="D259">
        <v>131927908.42765</v>
      </c>
      <c r="E259">
        <v>117415838.500609</v>
      </c>
      <c r="F259">
        <v>14828747.6914634</v>
      </c>
      <c r="G259">
        <v>413990792.32987702</v>
      </c>
      <c r="H259">
        <v>93158303.4502808</v>
      </c>
      <c r="I259">
        <v>225402889.642353</v>
      </c>
      <c r="J259">
        <v>167094930.35787901</v>
      </c>
      <c r="K259">
        <v>1049548421.2465</v>
      </c>
      <c r="L259">
        <v>-93474981.214702696</v>
      </c>
      <c r="M259">
        <v>1216643351.6043799</v>
      </c>
      <c r="N259">
        <v>-1776159167.73563</v>
      </c>
      <c r="O259">
        <v>209086258.75246301</v>
      </c>
      <c r="P259">
        <v>137996930.77662599</v>
      </c>
      <c r="Q259">
        <v>215089826.849435</v>
      </c>
      <c r="R259">
        <v>107544913.42471801</v>
      </c>
      <c r="S259">
        <v>107544913.42471801</v>
      </c>
      <c r="T259">
        <v>101541345.32774501</v>
      </c>
      <c r="U259">
        <v>41475935.569975302</v>
      </c>
      <c r="V259">
        <v>788793680.61615896</v>
      </c>
      <c r="W259">
        <v>137158305.83058</v>
      </c>
      <c r="X259">
        <v>0.27401074648061702</v>
      </c>
      <c r="Y259">
        <v>1213995151.1291499</v>
      </c>
      <c r="Z259">
        <v>559611697.27071297</v>
      </c>
      <c r="AA259">
        <v>0.79225102422117799</v>
      </c>
      <c r="AB259">
        <v>631817581.73380995</v>
      </c>
      <c r="AC259">
        <v>363399820.41897899</v>
      </c>
      <c r="AD259">
        <v>500558126.24955899</v>
      </c>
      <c r="AE259">
        <v>-987365487.11947405</v>
      </c>
      <c r="AF259">
        <v>-51999045.644727498</v>
      </c>
      <c r="AG259">
        <v>5.5594999999999999E-2</v>
      </c>
      <c r="AH259">
        <v>-2992802519.3400202</v>
      </c>
      <c r="AI259">
        <v>1348405377.8868699</v>
      </c>
      <c r="AJ259">
        <v>0.06</v>
      </c>
      <c r="AK259">
        <v>0.05</v>
      </c>
      <c r="AL259">
        <v>8.8099999999999998E-2</v>
      </c>
      <c r="AM259">
        <v>3.8100000000000002E-2</v>
      </c>
      <c r="AN259">
        <v>0.89</v>
      </c>
      <c r="AO259">
        <v>0.66</v>
      </c>
      <c r="AP259">
        <v>0.42970000000000003</v>
      </c>
      <c r="AQ259">
        <v>0.57030000000000003</v>
      </c>
      <c r="AR259">
        <v>8.9999999999999993E-3</v>
      </c>
      <c r="AS259">
        <v>0.5</v>
      </c>
      <c r="AT259">
        <v>1.82</v>
      </c>
      <c r="AU259">
        <v>6.3545217126973294E-2</v>
      </c>
      <c r="AV259">
        <v>0.7893</v>
      </c>
      <c r="AW259">
        <v>3</v>
      </c>
      <c r="AX259">
        <v>0.05</v>
      </c>
      <c r="AY259">
        <v>1</v>
      </c>
      <c r="AZ259">
        <v>1</v>
      </c>
      <c r="BA259" s="2">
        <f>modelo_tese_H__2[[#This Row],[Vw]]+modelo_tese_H__2[[#This Row],[Vr]]+modelo_tese_H__2[[#This Row],[K]]-modelo_tese_H__2[[#This Row],[E]]</f>
        <v>-990013687.59471333</v>
      </c>
      <c r="BB259" s="2">
        <f>modelo_tese_H__2[[#This Row],[K]]-modelo_tese_H__2[[#This Row],[Coluna1]]</f>
        <v>2204008838.7238631</v>
      </c>
      <c r="BC259">
        <f>modelo_tese_H__2[[#This Row],[Coluna2]]/modelo_tese_H__2[[#This Row],[Coluna1]]</f>
        <v>-2.2262407745882893</v>
      </c>
      <c r="BD259" s="8">
        <f>modelo_tese_H__2[[#This Row],[D]]-modelo_tese_H__2[[#This Row],[Dw]]-modelo_tese_H__2[[#This Row],[Dr]]</f>
        <v>-2.9802322387695313E-6</v>
      </c>
    </row>
    <row r="260" spans="1:56" x14ac:dyDescent="0.25">
      <c r="A260">
        <v>259</v>
      </c>
      <c r="B260">
        <v>259</v>
      </c>
      <c r="C260">
        <v>301366721.14197397</v>
      </c>
      <c r="D260">
        <v>139290637.10782099</v>
      </c>
      <c r="E260">
        <v>123968667.025961</v>
      </c>
      <c r="F260">
        <v>15652908.9873951</v>
      </c>
      <c r="G260">
        <v>437026846.773862</v>
      </c>
      <c r="H260">
        <v>98337439.330599204</v>
      </c>
      <c r="I260">
        <v>237959015.34395501</v>
      </c>
      <c r="J260">
        <v>176381522.498638</v>
      </c>
      <c r="K260">
        <v>1107898065.7276101</v>
      </c>
      <c r="L260">
        <v>-98668378.236133903</v>
      </c>
      <c r="M260">
        <v>1284279588.2262499</v>
      </c>
      <c r="N260">
        <v>-1874827545.97177</v>
      </c>
      <c r="O260">
        <v>220720629.68376899</v>
      </c>
      <c r="P260">
        <v>145675615.59128699</v>
      </c>
      <c r="Q260">
        <v>227068700.814845</v>
      </c>
      <c r="R260">
        <v>113534350.407423</v>
      </c>
      <c r="S260">
        <v>113534350.407423</v>
      </c>
      <c r="T260">
        <v>107186279.276346</v>
      </c>
      <c r="U260">
        <v>43778573.478327401</v>
      </c>
      <c r="V260">
        <v>832572254.09448695</v>
      </c>
      <c r="W260">
        <v>144800791.021577</v>
      </c>
      <c r="X260">
        <v>0.27401794998029</v>
      </c>
      <c r="Y260">
        <v>1281652356.6811299</v>
      </c>
      <c r="Z260">
        <v>590878137.88486695</v>
      </c>
      <c r="AA260">
        <v>0.79222101263491396</v>
      </c>
      <c r="AB260">
        <v>667030302.81821501</v>
      </c>
      <c r="AC260">
        <v>383634630.93524301</v>
      </c>
      <c r="AD260">
        <v>528435421.95682001</v>
      </c>
      <c r="AE260">
        <v>-1042255291.87728</v>
      </c>
      <c r="AF260">
        <v>-54889804.757806599</v>
      </c>
      <c r="AG260">
        <v>5.5594999999999999E-2</v>
      </c>
      <c r="AH260">
        <v>-3159107134.19802</v>
      </c>
      <c r="AI260">
        <v>1423450391.9793501</v>
      </c>
      <c r="AJ260">
        <v>0.06</v>
      </c>
      <c r="AK260">
        <v>0.05</v>
      </c>
      <c r="AL260">
        <v>8.8099999999999998E-2</v>
      </c>
      <c r="AM260">
        <v>3.8100000000000002E-2</v>
      </c>
      <c r="AN260">
        <v>0.89</v>
      </c>
      <c r="AO260">
        <v>0.66</v>
      </c>
      <c r="AP260">
        <v>0.42970000000000003</v>
      </c>
      <c r="AQ260">
        <v>0.57030000000000003</v>
      </c>
      <c r="AR260">
        <v>8.9999999999999993E-3</v>
      </c>
      <c r="AS260">
        <v>0.5</v>
      </c>
      <c r="AT260">
        <v>1.82</v>
      </c>
      <c r="AU260">
        <v>6.3545217126973294E-2</v>
      </c>
      <c r="AV260">
        <v>0.7893</v>
      </c>
      <c r="AW260">
        <v>3</v>
      </c>
      <c r="AX260">
        <v>0.05</v>
      </c>
      <c r="AY260">
        <v>1</v>
      </c>
      <c r="AZ260">
        <v>1</v>
      </c>
      <c r="BA260" s="2">
        <f>modelo_tese_H__2[[#This Row],[Vw]]+modelo_tese_H__2[[#This Row],[Vr]]+modelo_tese_H__2[[#This Row],[K]]-modelo_tese_H__2[[#This Row],[E]]</f>
        <v>-1044882523.4224069</v>
      </c>
      <c r="BB260" s="2">
        <f>modelo_tese_H__2[[#This Row],[K]]-modelo_tese_H__2[[#This Row],[Coluna1]]</f>
        <v>2326534880.1035366</v>
      </c>
      <c r="BC260">
        <f>modelo_tese_H__2[[#This Row],[Coluna2]]/modelo_tese_H__2[[#This Row],[Coluna1]]</f>
        <v>-2.2265994769279969</v>
      </c>
      <c r="BD260" s="8">
        <f>modelo_tese_H__2[[#This Row],[D]]-modelo_tese_H__2[[#This Row],[Dw]]-modelo_tese_H__2[[#This Row],[Dr]]</f>
        <v>3.0994415283203125E-6</v>
      </c>
    </row>
    <row r="261" spans="1:56" x14ac:dyDescent="0.25">
      <c r="A261">
        <v>260</v>
      </c>
      <c r="B261">
        <v>260</v>
      </c>
      <c r="C261">
        <v>318150269.39049101</v>
      </c>
      <c r="D261">
        <v>147063967.81171301</v>
      </c>
      <c r="E261">
        <v>130886931.352424</v>
      </c>
      <c r="F261">
        <v>16522878.577095799</v>
      </c>
      <c r="G261">
        <v>461344502.89433998</v>
      </c>
      <c r="H261">
        <v>103804509.270184</v>
      </c>
      <c r="I261">
        <v>251214319.19970399</v>
      </c>
      <c r="J261">
        <v>186184265.06853601</v>
      </c>
      <c r="K261">
        <v>1169491658.6935699</v>
      </c>
      <c r="L261">
        <v>-104150351.387991</v>
      </c>
      <c r="M261">
        <v>1355675923.76211</v>
      </c>
      <c r="N261">
        <v>-1978977897.35976</v>
      </c>
      <c r="O261">
        <v>233002274.18906099</v>
      </c>
      <c r="P261">
        <v>153781500.96478</v>
      </c>
      <c r="Q261">
        <v>239714484.93265599</v>
      </c>
      <c r="R261">
        <v>119857242.466328</v>
      </c>
      <c r="S261">
        <v>119857242.466328</v>
      </c>
      <c r="T261">
        <v>113145031.72273301</v>
      </c>
      <c r="U261">
        <v>46209081.531945802</v>
      </c>
      <c r="V261">
        <v>878781335.62643194</v>
      </c>
      <c r="W261">
        <v>152868934.158663</v>
      </c>
      <c r="X261">
        <v>0.27402508040526502</v>
      </c>
      <c r="Y261">
        <v>1353078413.5532</v>
      </c>
      <c r="Z261">
        <v>623889829.57720196</v>
      </c>
      <c r="AA261">
        <v>0.79219130490057899</v>
      </c>
      <c r="AB261">
        <v>704204591.58304</v>
      </c>
      <c r="AC261">
        <v>404995820.16448402</v>
      </c>
      <c r="AD261">
        <v>557864754.32314706</v>
      </c>
      <c r="AE261">
        <v>-1100196561.73333</v>
      </c>
      <c r="AF261">
        <v>-57941269.856045499</v>
      </c>
      <c r="AG261">
        <v>5.5594999999999999E-2</v>
      </c>
      <c r="AH261">
        <v>-3334653821.12187</v>
      </c>
      <c r="AI261">
        <v>1502671165.20363</v>
      </c>
      <c r="AJ261">
        <v>0.06</v>
      </c>
      <c r="AK261">
        <v>0.05</v>
      </c>
      <c r="AL261">
        <v>8.8099999999999998E-2</v>
      </c>
      <c r="AM261">
        <v>3.8100000000000002E-2</v>
      </c>
      <c r="AN261">
        <v>0.89</v>
      </c>
      <c r="AO261">
        <v>0.66</v>
      </c>
      <c r="AP261">
        <v>0.42970000000000003</v>
      </c>
      <c r="AQ261">
        <v>0.57030000000000003</v>
      </c>
      <c r="AR261">
        <v>8.9999999999999993E-3</v>
      </c>
      <c r="AS261">
        <v>0.5</v>
      </c>
      <c r="AT261">
        <v>1.82</v>
      </c>
      <c r="AU261">
        <v>6.3545217126973294E-2</v>
      </c>
      <c r="AV261">
        <v>0.7893</v>
      </c>
      <c r="AW261">
        <v>3</v>
      </c>
      <c r="AX261">
        <v>0.05</v>
      </c>
      <c r="AY261">
        <v>1</v>
      </c>
      <c r="AZ261">
        <v>1</v>
      </c>
      <c r="BA261" s="2">
        <f>modelo_tese_H__2[[#This Row],[Vw]]+modelo_tese_H__2[[#This Row],[Vr]]+modelo_tese_H__2[[#This Row],[K]]-modelo_tese_H__2[[#This Row],[E]]</f>
        <v>-1102794071.9422421</v>
      </c>
      <c r="BB261" s="2">
        <f>modelo_tese_H__2[[#This Row],[K]]-modelo_tese_H__2[[#This Row],[Coluna1]]</f>
        <v>2455872485.4954424</v>
      </c>
      <c r="BC261">
        <f>modelo_tese_H__2[[#This Row],[Coluna2]]/modelo_tese_H__2[[#This Row],[Coluna1]]</f>
        <v>-2.2269547397640221</v>
      </c>
      <c r="BD261" s="8">
        <f>modelo_tese_H__2[[#This Row],[D]]-modelo_tese_H__2[[#This Row],[Dw]]-modelo_tese_H__2[[#This Row],[Dr]]</f>
        <v>-1.9073486328125E-6</v>
      </c>
    </row>
    <row r="262" spans="1:56" x14ac:dyDescent="0.25">
      <c r="A262">
        <v>261</v>
      </c>
      <c r="B262">
        <v>261</v>
      </c>
      <c r="C262">
        <v>335868209.19404203</v>
      </c>
      <c r="D262">
        <v>155270785.181725</v>
      </c>
      <c r="E262">
        <v>138190998.811735</v>
      </c>
      <c r="F262">
        <v>17441202.679495901</v>
      </c>
      <c r="G262">
        <v>487015052.40165198</v>
      </c>
      <c r="H262">
        <v>109575520.96306001</v>
      </c>
      <c r="I262">
        <v>265207722.45429099</v>
      </c>
      <c r="J262">
        <v>196531847.24892101</v>
      </c>
      <c r="K262">
        <v>1234509547.4604101</v>
      </c>
      <c r="L262">
        <v>-109936937.27256601</v>
      </c>
      <c r="M262">
        <v>1431041394.7093301</v>
      </c>
      <c r="N262">
        <v>-2088914834.6323199</v>
      </c>
      <c r="O262">
        <v>245967198.18265301</v>
      </c>
      <c r="P262">
        <v>162338350.800551</v>
      </c>
      <c r="Q262">
        <v>253064298.59842199</v>
      </c>
      <c r="R262">
        <v>126532149.299211</v>
      </c>
      <c r="S262">
        <v>126532149.299211</v>
      </c>
      <c r="T262">
        <v>119435048.883442</v>
      </c>
      <c r="U262">
        <v>48774562.1436904</v>
      </c>
      <c r="V262">
        <v>927555897.770123</v>
      </c>
      <c r="W262">
        <v>161386434.537622</v>
      </c>
      <c r="X262">
        <v>0.27403213849165597</v>
      </c>
      <c r="Y262">
        <v>1428483186.51176</v>
      </c>
      <c r="Z262">
        <v>658744114.81561303</v>
      </c>
      <c r="AA262">
        <v>0.79216189796981296</v>
      </c>
      <c r="AB262">
        <v>743449677.77648103</v>
      </c>
      <c r="AC262">
        <v>427546073.25484103</v>
      </c>
      <c r="AD262">
        <v>588932507.79246402</v>
      </c>
      <c r="AE262">
        <v>-1161358936.8622</v>
      </c>
      <c r="AF262">
        <v>-61162375.128875397</v>
      </c>
      <c r="AG262">
        <v>5.5594999999999999E-2</v>
      </c>
      <c r="AH262">
        <v>-3519956229.34165</v>
      </c>
      <c r="AI262">
        <v>1586300012.5857401</v>
      </c>
      <c r="AJ262">
        <v>0.06</v>
      </c>
      <c r="AK262">
        <v>0.05</v>
      </c>
      <c r="AL262">
        <v>8.8099999999999998E-2</v>
      </c>
      <c r="AM262">
        <v>3.8100000000000002E-2</v>
      </c>
      <c r="AN262">
        <v>0.89</v>
      </c>
      <c r="AO262">
        <v>0.66</v>
      </c>
      <c r="AP262">
        <v>0.42970000000000003</v>
      </c>
      <c r="AQ262">
        <v>0.57030000000000003</v>
      </c>
      <c r="AR262">
        <v>8.9999999999999993E-3</v>
      </c>
      <c r="AS262">
        <v>0.5</v>
      </c>
      <c r="AT262">
        <v>1.82</v>
      </c>
      <c r="AU262">
        <v>6.3545217126973294E-2</v>
      </c>
      <c r="AV262">
        <v>0.7893</v>
      </c>
      <c r="AW262">
        <v>3</v>
      </c>
      <c r="AX262">
        <v>0.05</v>
      </c>
      <c r="AY262">
        <v>1</v>
      </c>
      <c r="AZ262">
        <v>1</v>
      </c>
      <c r="BA262" s="2">
        <f>modelo_tese_H__2[[#This Row],[Vw]]+modelo_tese_H__2[[#This Row],[Vr]]+modelo_tese_H__2[[#This Row],[K]]-modelo_tese_H__2[[#This Row],[E]]</f>
        <v>-1163917145.059763</v>
      </c>
      <c r="BB262" s="2">
        <f>modelo_tese_H__2[[#This Row],[K]]-modelo_tese_H__2[[#This Row],[Coluna1]]</f>
        <v>2592400331.5715227</v>
      </c>
      <c r="BC262">
        <f>modelo_tese_H__2[[#This Row],[Coluna2]]/modelo_tese_H__2[[#This Row],[Coluna1]]</f>
        <v>-2.2273065935792298</v>
      </c>
      <c r="BD262" s="8">
        <f>modelo_tese_H__2[[#This Row],[D]]-modelo_tese_H__2[[#This Row],[Dw]]-modelo_tese_H__2[[#This Row],[Dr]]</f>
        <v>-3.0994415283203125E-6</v>
      </c>
    </row>
    <row r="263" spans="1:56" x14ac:dyDescent="0.25">
      <c r="A263">
        <v>262</v>
      </c>
      <c r="B263">
        <v>262</v>
      </c>
      <c r="C263">
        <v>354572547.02941</v>
      </c>
      <c r="D263">
        <v>163935248.705219</v>
      </c>
      <c r="E263">
        <v>145902371.34764501</v>
      </c>
      <c r="F263">
        <v>18410569.048387501</v>
      </c>
      <c r="G263">
        <v>514113752.31539398</v>
      </c>
      <c r="H263">
        <v>115667372.051001</v>
      </c>
      <c r="I263">
        <v>279980312.44703299</v>
      </c>
      <c r="J263">
        <v>207454552.917124</v>
      </c>
      <c r="K263">
        <v>1303142105.75317</v>
      </c>
      <c r="L263">
        <v>-116045063.741814</v>
      </c>
      <c r="M263">
        <v>1510596658.67029</v>
      </c>
      <c r="N263">
        <v>-2204959898.3741398</v>
      </c>
      <c r="O263">
        <v>259653410.26030001</v>
      </c>
      <c r="P263">
        <v>171371250.77179801</v>
      </c>
      <c r="Q263">
        <v>267157326.77281699</v>
      </c>
      <c r="R263">
        <v>133578663.386408</v>
      </c>
      <c r="S263">
        <v>133578663.386408</v>
      </c>
      <c r="T263">
        <v>126074746.87389199</v>
      </c>
      <c r="U263">
        <v>51482512.291515499</v>
      </c>
      <c r="V263">
        <v>979038410.061638</v>
      </c>
      <c r="W263">
        <v>170378310.583395</v>
      </c>
      <c r="X263">
        <v>0.27403912496827099</v>
      </c>
      <c r="Y263">
        <v>1508088222.84603</v>
      </c>
      <c r="Z263">
        <v>695543762.01259995</v>
      </c>
      <c r="AA263">
        <v>0.79213278882420901</v>
      </c>
      <c r="AB263">
        <v>784880871.70975804</v>
      </c>
      <c r="AC263">
        <v>451351563.21883202</v>
      </c>
      <c r="AD263">
        <v>621729873.80222702</v>
      </c>
      <c r="AE263">
        <v>-1225921488.3125</v>
      </c>
      <c r="AF263">
        <v>-64562551.450298898</v>
      </c>
      <c r="AG263">
        <v>5.5594999999999999E-2</v>
      </c>
      <c r="AH263">
        <v>-3715556557.0444298</v>
      </c>
      <c r="AI263">
        <v>1674582172.07424</v>
      </c>
      <c r="AJ263">
        <v>0.06</v>
      </c>
      <c r="AK263">
        <v>0.05</v>
      </c>
      <c r="AL263">
        <v>8.8099999999999998E-2</v>
      </c>
      <c r="AM263">
        <v>3.8100000000000002E-2</v>
      </c>
      <c r="AN263">
        <v>0.89</v>
      </c>
      <c r="AO263">
        <v>0.66</v>
      </c>
      <c r="AP263">
        <v>0.42970000000000003</v>
      </c>
      <c r="AQ263">
        <v>0.57030000000000003</v>
      </c>
      <c r="AR263">
        <v>8.9999999999999993E-3</v>
      </c>
      <c r="AS263">
        <v>0.5</v>
      </c>
      <c r="AT263">
        <v>1.82</v>
      </c>
      <c r="AU263">
        <v>6.3545217126973294E-2</v>
      </c>
      <c r="AV263">
        <v>0.7893</v>
      </c>
      <c r="AW263">
        <v>3</v>
      </c>
      <c r="AX263">
        <v>0.05</v>
      </c>
      <c r="AY263">
        <v>1</v>
      </c>
      <c r="AZ263">
        <v>1</v>
      </c>
      <c r="BA263" s="2">
        <f>modelo_tese_H__2[[#This Row],[Vw]]+modelo_tese_H__2[[#This Row],[Vr]]+modelo_tese_H__2[[#This Row],[K]]-modelo_tese_H__2[[#This Row],[E]]</f>
        <v>-1228429924.1367598</v>
      </c>
      <c r="BB263" s="2">
        <f>modelo_tese_H__2[[#This Row],[K]]-modelo_tese_H__2[[#This Row],[Coluna1]]</f>
        <v>2736518146.98279</v>
      </c>
      <c r="BC263">
        <f>modelo_tese_H__2[[#This Row],[Coluna2]]/modelo_tese_H__2[[#This Row],[Coluna1]]</f>
        <v>-2.2276550686485366</v>
      </c>
      <c r="BD263" s="8">
        <f>modelo_tese_H__2[[#This Row],[D]]-modelo_tese_H__2[[#This Row],[Dw]]-modelo_tese_H__2[[#This Row],[Dr]]</f>
        <v>1.7881393432617188E-6</v>
      </c>
    </row>
    <row r="264" spans="1:56" x14ac:dyDescent="0.25">
      <c r="A264">
        <v>263</v>
      </c>
      <c r="B264">
        <v>263</v>
      </c>
      <c r="C264">
        <v>374318183.32553899</v>
      </c>
      <c r="D264">
        <v>173082863.70514199</v>
      </c>
      <c r="E264">
        <v>154043748.69757599</v>
      </c>
      <c r="F264">
        <v>19433814.840059001</v>
      </c>
      <c r="G264">
        <v>542720045.498757</v>
      </c>
      <c r="H264">
        <v>122097899.60017601</v>
      </c>
      <c r="I264">
        <v>295575463.13781202</v>
      </c>
      <c r="J264">
        <v>218984349.29104099</v>
      </c>
      <c r="K264">
        <v>1375590291.12415</v>
      </c>
      <c r="L264">
        <v>-122492599.43267</v>
      </c>
      <c r="M264">
        <v>1594574640.41519</v>
      </c>
      <c r="N264">
        <v>-2327452497.8068099</v>
      </c>
      <c r="O264">
        <v>274101033.08017999</v>
      </c>
      <c r="P264">
        <v>180906681.832919</v>
      </c>
      <c r="Q264">
        <v>282034934.90265501</v>
      </c>
      <c r="R264">
        <v>141017467.451327</v>
      </c>
      <c r="S264">
        <v>141017467.451327</v>
      </c>
      <c r="T264">
        <v>133083565.62885299</v>
      </c>
      <c r="U264">
        <v>54340845.441125698</v>
      </c>
      <c r="V264">
        <v>1033379255.5027601</v>
      </c>
      <c r="W264">
        <v>179870973.25746301</v>
      </c>
      <c r="X264">
        <v>0.27404604055667497</v>
      </c>
      <c r="Y264">
        <v>1592127402.5361099</v>
      </c>
      <c r="Z264">
        <v>734397267.818735</v>
      </c>
      <c r="AA264">
        <v>0.79210397447502001</v>
      </c>
      <c r="AB264">
        <v>828619902.66265595</v>
      </c>
      <c r="AC264">
        <v>476482144.97073102</v>
      </c>
      <c r="AD264">
        <v>656353118.228194</v>
      </c>
      <c r="AE264">
        <v>-1294073242.30404</v>
      </c>
      <c r="AF264">
        <v>-68151753.991544098</v>
      </c>
      <c r="AG264">
        <v>5.5594999999999999E-2</v>
      </c>
      <c r="AH264">
        <v>-3922027138.2220001</v>
      </c>
      <c r="AI264">
        <v>1767776523.3215001</v>
      </c>
      <c r="AJ264">
        <v>0.06</v>
      </c>
      <c r="AK264">
        <v>0.05</v>
      </c>
      <c r="AL264">
        <v>8.8099999999999998E-2</v>
      </c>
      <c r="AM264">
        <v>3.8100000000000002E-2</v>
      </c>
      <c r="AN264">
        <v>0.89</v>
      </c>
      <c r="AO264">
        <v>0.66</v>
      </c>
      <c r="AP264">
        <v>0.42970000000000003</v>
      </c>
      <c r="AQ264">
        <v>0.57030000000000003</v>
      </c>
      <c r="AR264">
        <v>8.9999999999999993E-3</v>
      </c>
      <c r="AS264">
        <v>0.5</v>
      </c>
      <c r="AT264">
        <v>1.82</v>
      </c>
      <c r="AU264">
        <v>6.3545217126973294E-2</v>
      </c>
      <c r="AV264">
        <v>0.7893</v>
      </c>
      <c r="AW264">
        <v>3</v>
      </c>
      <c r="AX264">
        <v>0.05</v>
      </c>
      <c r="AY264">
        <v>1</v>
      </c>
      <c r="AZ264">
        <v>1</v>
      </c>
      <c r="BA264" s="2">
        <f>modelo_tese_H__2[[#This Row],[Vw]]+modelo_tese_H__2[[#This Row],[Vr]]+modelo_tese_H__2[[#This Row],[K]]-modelo_tese_H__2[[#This Row],[E]]</f>
        <v>-1296520480.1831255</v>
      </c>
      <c r="BB264" s="2">
        <f>modelo_tese_H__2[[#This Row],[K]]-modelo_tese_H__2[[#This Row],[Coluna1]]</f>
        <v>2888647882.7192354</v>
      </c>
      <c r="BC264">
        <f>modelo_tese_H__2[[#This Row],[Coluna2]]/modelo_tese_H__2[[#This Row],[Coluna1]]</f>
        <v>-2.228000195038363</v>
      </c>
      <c r="BD264" s="8">
        <f>modelo_tese_H__2[[#This Row],[D]]-modelo_tese_H__2[[#This Row],[Dw]]-modelo_tese_H__2[[#This Row],[Dr]]</f>
        <v>9.8943710327148438E-6</v>
      </c>
    </row>
    <row r="265" spans="1:56" x14ac:dyDescent="0.25">
      <c r="A265">
        <v>264</v>
      </c>
      <c r="B265">
        <v>264</v>
      </c>
      <c r="C265">
        <v>395163073.47196603</v>
      </c>
      <c r="D265">
        <v>182740556.28256899</v>
      </c>
      <c r="E265">
        <v>162639095.09148601</v>
      </c>
      <c r="F265">
        <v>20513934.918285299</v>
      </c>
      <c r="G265">
        <v>572917793.45719194</v>
      </c>
      <c r="H265">
        <v>128885932.328448</v>
      </c>
      <c r="I265">
        <v>312038962.33822</v>
      </c>
      <c r="J265">
        <v>231154980.50133801</v>
      </c>
      <c r="K265">
        <v>1452066233.36077</v>
      </c>
      <c r="L265">
        <v>-129298406.05565099</v>
      </c>
      <c r="M265">
        <v>1683221213.8620999</v>
      </c>
      <c r="N265">
        <v>-2456750903.8624601</v>
      </c>
      <c r="O265">
        <v>289352420.937976</v>
      </c>
      <c r="P265">
        <v>190972597.81906399</v>
      </c>
      <c r="Q265">
        <v>297740790.23479497</v>
      </c>
      <c r="R265">
        <v>148870395.11739799</v>
      </c>
      <c r="S265">
        <v>148870395.11739799</v>
      </c>
      <c r="T265">
        <v>140482025.82057801</v>
      </c>
      <c r="U265">
        <v>57357914.686831601</v>
      </c>
      <c r="V265">
        <v>1090737170.1896</v>
      </c>
      <c r="W265">
        <v>189892303.54947799</v>
      </c>
      <c r="X265">
        <v>0.27405288597126598</v>
      </c>
      <c r="Y265">
        <v>1680847624.59763</v>
      </c>
      <c r="Z265">
        <v>775419176.25081599</v>
      </c>
      <c r="AA265">
        <v>0.79207545196289697</v>
      </c>
      <c r="AB265">
        <v>874795276.11874402</v>
      </c>
      <c r="AC265">
        <v>503011560.15728402</v>
      </c>
      <c r="AD265">
        <v>692903863.706761</v>
      </c>
      <c r="AE265">
        <v>-1366013733.6728599</v>
      </c>
      <c r="AF265">
        <v>-71940491.368819505</v>
      </c>
      <c r="AG265">
        <v>5.5594999999999999E-2</v>
      </c>
      <c r="AH265">
        <v>-4139972117.7245598</v>
      </c>
      <c r="AI265">
        <v>1866156346.4404099</v>
      </c>
      <c r="AJ265">
        <v>0.06</v>
      </c>
      <c r="AK265">
        <v>0.05</v>
      </c>
      <c r="AL265">
        <v>8.8099999999999998E-2</v>
      </c>
      <c r="AM265">
        <v>3.8100000000000002E-2</v>
      </c>
      <c r="AN265">
        <v>0.89</v>
      </c>
      <c r="AO265">
        <v>0.66</v>
      </c>
      <c r="AP265">
        <v>0.42970000000000003</v>
      </c>
      <c r="AQ265">
        <v>0.57030000000000003</v>
      </c>
      <c r="AR265">
        <v>8.9999999999999993E-3</v>
      </c>
      <c r="AS265">
        <v>0.5</v>
      </c>
      <c r="AT265">
        <v>1.82</v>
      </c>
      <c r="AU265">
        <v>6.3545217126973294E-2</v>
      </c>
      <c r="AV265">
        <v>0.7893</v>
      </c>
      <c r="AW265">
        <v>3</v>
      </c>
      <c r="AX265">
        <v>0.05</v>
      </c>
      <c r="AY265">
        <v>1</v>
      </c>
      <c r="AZ265">
        <v>1</v>
      </c>
      <c r="BA265" s="2">
        <f>modelo_tese_H__2[[#This Row],[Vw]]+modelo_tese_H__2[[#This Row],[Vr]]+modelo_tese_H__2[[#This Row],[K]]-modelo_tese_H__2[[#This Row],[E]]</f>
        <v>-1368387322.937336</v>
      </c>
      <c r="BB265" s="2">
        <f>modelo_tese_H__2[[#This Row],[K]]-modelo_tese_H__2[[#This Row],[Coluna1]]</f>
        <v>3049234947.534966</v>
      </c>
      <c r="BC265">
        <f>modelo_tese_H__2[[#This Row],[Coluna2]]/modelo_tese_H__2[[#This Row],[Coluna1]]</f>
        <v>-2.2283420026060874</v>
      </c>
      <c r="BD265" s="8">
        <f>modelo_tese_H__2[[#This Row],[D]]-modelo_tese_H__2[[#This Row],[Dw]]-modelo_tese_H__2[[#This Row],[Dr]]</f>
        <v>0</v>
      </c>
    </row>
    <row r="266" spans="1:56" x14ac:dyDescent="0.25">
      <c r="A266">
        <v>265</v>
      </c>
      <c r="B266">
        <v>265</v>
      </c>
      <c r="C266">
        <v>417168397.78386402</v>
      </c>
      <c r="D266">
        <v>192936752.43110001</v>
      </c>
      <c r="E266">
        <v>171713709.663679</v>
      </c>
      <c r="F266">
        <v>21654090.6209873</v>
      </c>
      <c r="G266">
        <v>604795522.08342397</v>
      </c>
      <c r="H266">
        <v>136051345.73624799</v>
      </c>
      <c r="I266">
        <v>329419146.02091402</v>
      </c>
      <c r="J266">
        <v>244002066.365224</v>
      </c>
      <c r="K266">
        <v>1532793855.6059699</v>
      </c>
      <c r="L266">
        <v>-136482393.58981499</v>
      </c>
      <c r="M266">
        <v>1776795921.97119</v>
      </c>
      <c r="N266">
        <v>-2593233297.45227</v>
      </c>
      <c r="O266">
        <v>305452283.88051701</v>
      </c>
      <c r="P266">
        <v>201598507.361141</v>
      </c>
      <c r="Q266">
        <v>314320989.87853098</v>
      </c>
      <c r="R266">
        <v>157160494.939266</v>
      </c>
      <c r="S266">
        <v>157160494.939266</v>
      </c>
      <c r="T266">
        <v>148291788.94125101</v>
      </c>
      <c r="U266">
        <v>60542537.178301498</v>
      </c>
      <c r="V266">
        <v>1151279707.3678999</v>
      </c>
      <c r="W266">
        <v>200471734.28033999</v>
      </c>
      <c r="X266">
        <v>0.274059661919339</v>
      </c>
      <c r="Y266">
        <v>1774509531.6155601</v>
      </c>
      <c r="Z266">
        <v>818730415.59188998</v>
      </c>
      <c r="AA266">
        <v>0.79204721835761605</v>
      </c>
      <c r="AB266">
        <v>923542650.87781894</v>
      </c>
      <c r="AC266">
        <v>531017653.382056</v>
      </c>
      <c r="AD266">
        <v>731489387.66239595</v>
      </c>
      <c r="AE266">
        <v>-1441953590.0843799</v>
      </c>
      <c r="AF266">
        <v>-75939856.411513105</v>
      </c>
      <c r="AG266">
        <v>5.5594999999999999E-2</v>
      </c>
      <c r="AH266">
        <v>-4370029219.4234695</v>
      </c>
      <c r="AI266">
        <v>1970010122.95979</v>
      </c>
      <c r="AJ266">
        <v>0.06</v>
      </c>
      <c r="AK266">
        <v>0.05</v>
      </c>
      <c r="AL266">
        <v>8.8099999999999998E-2</v>
      </c>
      <c r="AM266">
        <v>3.8100000000000002E-2</v>
      </c>
      <c r="AN266">
        <v>0.89</v>
      </c>
      <c r="AO266">
        <v>0.66</v>
      </c>
      <c r="AP266">
        <v>0.42970000000000003</v>
      </c>
      <c r="AQ266">
        <v>0.57030000000000003</v>
      </c>
      <c r="AR266">
        <v>8.9999999999999993E-3</v>
      </c>
      <c r="AS266">
        <v>0.5</v>
      </c>
      <c r="AT266">
        <v>1.82</v>
      </c>
      <c r="AU266">
        <v>6.3545217126973294E-2</v>
      </c>
      <c r="AV266">
        <v>0.7893</v>
      </c>
      <c r="AW266">
        <v>3</v>
      </c>
      <c r="AX266">
        <v>0.05</v>
      </c>
      <c r="AY266">
        <v>1</v>
      </c>
      <c r="AZ266">
        <v>1</v>
      </c>
      <c r="BA266" s="2">
        <f>modelo_tese_H__2[[#This Row],[Vw]]+modelo_tese_H__2[[#This Row],[Vr]]+modelo_tese_H__2[[#This Row],[K]]-modelo_tese_H__2[[#This Row],[E]]</f>
        <v>-1444239980.4400091</v>
      </c>
      <c r="BB266" s="2">
        <f>modelo_tese_H__2[[#This Row],[K]]-modelo_tese_H__2[[#This Row],[Coluna1]]</f>
        <v>3218749512.0555692</v>
      </c>
      <c r="BC266">
        <f>modelo_tese_H__2[[#This Row],[Coluna2]]/modelo_tese_H__2[[#This Row],[Coluna1]]</f>
        <v>-2.2286805209996539</v>
      </c>
      <c r="BD266" s="8">
        <f>modelo_tese_H__2[[#This Row],[D]]-modelo_tese_H__2[[#This Row],[Dw]]-modelo_tese_H__2[[#This Row],[Dr]]</f>
        <v>-9.7751617431640625E-6</v>
      </c>
    </row>
    <row r="267" spans="1:56" x14ac:dyDescent="0.25">
      <c r="A267">
        <v>266</v>
      </c>
      <c r="B267">
        <v>266</v>
      </c>
      <c r="C267">
        <v>440398740.92188001</v>
      </c>
      <c r="D267">
        <v>203701461.555291</v>
      </c>
      <c r="E267">
        <v>181294300.78420901</v>
      </c>
      <c r="F267">
        <v>22857619.014224902</v>
      </c>
      <c r="G267">
        <v>638446681.06870794</v>
      </c>
      <c r="H267">
        <v>143615120.30245501</v>
      </c>
      <c r="I267">
        <v>347767040.10088903</v>
      </c>
      <c r="J267">
        <v>257563206.65093401</v>
      </c>
      <c r="K267">
        <v>1618009530.00984</v>
      </c>
      <c r="L267">
        <v>-144065578.545598</v>
      </c>
      <c r="M267">
        <v>1875572736.6607699</v>
      </c>
      <c r="N267">
        <v>-2737298875.99787</v>
      </c>
      <c r="O267">
        <v>322447818.721569</v>
      </c>
      <c r="P267">
        <v>212815560.35623601</v>
      </c>
      <c r="Q267">
        <v>331824195.99181497</v>
      </c>
      <c r="R267">
        <v>165912097.99590701</v>
      </c>
      <c r="S267">
        <v>165912097.99590701</v>
      </c>
      <c r="T267">
        <v>156535720.72566199</v>
      </c>
      <c r="U267">
        <v>63904019.904670998</v>
      </c>
      <c r="V267">
        <v>1215183727.2725699</v>
      </c>
      <c r="W267">
        <v>211640336.45657</v>
      </c>
      <c r="X267">
        <v>0.27406636910116</v>
      </c>
      <c r="Y267">
        <v>1873388274.5917301</v>
      </c>
      <c r="Z267">
        <v>864458654.05255198</v>
      </c>
      <c r="AA267">
        <v>0.79201927075780398</v>
      </c>
      <c r="AB267">
        <v>975005237.15140498</v>
      </c>
      <c r="AC267">
        <v>560582600.45712495</v>
      </c>
      <c r="AD267">
        <v>772222936.91369498</v>
      </c>
      <c r="AE267">
        <v>-1522115148.7253001</v>
      </c>
      <c r="AF267">
        <v>-80161558.640927002</v>
      </c>
      <c r="AG267">
        <v>5.5594999999999999E-2</v>
      </c>
      <c r="AH267">
        <v>-4612871612.6586399</v>
      </c>
      <c r="AI267">
        <v>2079642381.32512</v>
      </c>
      <c r="AJ267">
        <v>0.06</v>
      </c>
      <c r="AK267">
        <v>0.05</v>
      </c>
      <c r="AL267">
        <v>8.8099999999999998E-2</v>
      </c>
      <c r="AM267">
        <v>3.8100000000000002E-2</v>
      </c>
      <c r="AN267">
        <v>0.89</v>
      </c>
      <c r="AO267">
        <v>0.66</v>
      </c>
      <c r="AP267">
        <v>0.42970000000000003</v>
      </c>
      <c r="AQ267">
        <v>0.57030000000000003</v>
      </c>
      <c r="AR267">
        <v>8.9999999999999993E-3</v>
      </c>
      <c r="AS267">
        <v>0.5</v>
      </c>
      <c r="AT267">
        <v>1.82</v>
      </c>
      <c r="AU267">
        <v>6.3545217126973294E-2</v>
      </c>
      <c r="AV267">
        <v>0.7893</v>
      </c>
      <c r="AW267">
        <v>3</v>
      </c>
      <c r="AX267">
        <v>0.05</v>
      </c>
      <c r="AY267">
        <v>1</v>
      </c>
      <c r="AZ267">
        <v>1</v>
      </c>
      <c r="BA267" s="2">
        <f>modelo_tese_H__2[[#This Row],[Vw]]+modelo_tese_H__2[[#This Row],[Vr]]+modelo_tese_H__2[[#This Row],[K]]-modelo_tese_H__2[[#This Row],[E]]</f>
        <v>-1524299610.7943418</v>
      </c>
      <c r="BB267" s="2">
        <f>modelo_tese_H__2[[#This Row],[K]]-modelo_tese_H__2[[#This Row],[Coluna1]]</f>
        <v>3397687885.3860722</v>
      </c>
      <c r="BC267">
        <f>modelo_tese_H__2[[#This Row],[Coluna2]]/modelo_tese_H__2[[#This Row],[Coluna1]]</f>
        <v>-2.2290157796573022</v>
      </c>
      <c r="BD267" s="8">
        <f>modelo_tese_H__2[[#This Row],[D]]-modelo_tese_H__2[[#This Row],[Dw]]-modelo_tese_H__2[[#This Row],[Dr]]</f>
        <v>0</v>
      </c>
    </row>
    <row r="268" spans="1:56" x14ac:dyDescent="0.25">
      <c r="A268">
        <v>267</v>
      </c>
      <c r="B268">
        <v>267</v>
      </c>
      <c r="C268">
        <v>464922281.29266399</v>
      </c>
      <c r="D268">
        <v>215066364.63821501</v>
      </c>
      <c r="E268">
        <v>191409064.52801099</v>
      </c>
      <c r="F268">
        <v>24128042.660615399</v>
      </c>
      <c r="G268">
        <v>673969917.74031997</v>
      </c>
      <c r="H268">
        <v>151599402.91567001</v>
      </c>
      <c r="I268">
        <v>367136510.10429698</v>
      </c>
      <c r="J268">
        <v>271878091.13814902</v>
      </c>
      <c r="K268">
        <v>1707962769.83213</v>
      </c>
      <c r="L268">
        <v>-152070145.46608201</v>
      </c>
      <c r="M268">
        <v>1979840860.9702799</v>
      </c>
      <c r="N268">
        <v>-2889369021.4639502</v>
      </c>
      <c r="O268">
        <v>340388847.34359598</v>
      </c>
      <c r="P268">
        <v>224656639.246773</v>
      </c>
      <c r="Q268">
        <v>350301778.48756403</v>
      </c>
      <c r="R268">
        <v>175150889.24378201</v>
      </c>
      <c r="S268">
        <v>175150889.24378201</v>
      </c>
      <c r="T268">
        <v>165237958.099814</v>
      </c>
      <c r="U268">
        <v>67452186.911446095</v>
      </c>
      <c r="V268">
        <v>1282635914.18401</v>
      </c>
      <c r="W268">
        <v>223430910.42915899</v>
      </c>
      <c r="X268">
        <v>0.274073008210029</v>
      </c>
      <c r="Y268">
        <v>1977774320.34883</v>
      </c>
      <c r="Z268">
        <v>912738675.23792899</v>
      </c>
      <c r="AA268">
        <v>0.791991606290672</v>
      </c>
      <c r="AB268">
        <v>1029334216.80864</v>
      </c>
      <c r="AC268">
        <v>591793149.35107005</v>
      </c>
      <c r="AD268">
        <v>815224059.78022897</v>
      </c>
      <c r="AE268">
        <v>-1606733107.2799399</v>
      </c>
      <c r="AF268">
        <v>-84617958.554635704</v>
      </c>
      <c r="AG268">
        <v>5.5594999999999999E-2</v>
      </c>
      <c r="AH268">
        <v>-4869209882.4342299</v>
      </c>
      <c r="AI268">
        <v>2195374589.4219398</v>
      </c>
      <c r="AJ268">
        <v>0.06</v>
      </c>
      <c r="AK268">
        <v>0.05</v>
      </c>
      <c r="AL268">
        <v>8.8099999999999998E-2</v>
      </c>
      <c r="AM268">
        <v>3.8100000000000002E-2</v>
      </c>
      <c r="AN268">
        <v>0.89</v>
      </c>
      <c r="AO268">
        <v>0.66</v>
      </c>
      <c r="AP268">
        <v>0.42970000000000003</v>
      </c>
      <c r="AQ268">
        <v>0.57030000000000003</v>
      </c>
      <c r="AR268">
        <v>8.9999999999999993E-3</v>
      </c>
      <c r="AS268">
        <v>0.5</v>
      </c>
      <c r="AT268">
        <v>1.82</v>
      </c>
      <c r="AU268">
        <v>6.3545217126973294E-2</v>
      </c>
      <c r="AV268">
        <v>0.7893</v>
      </c>
      <c r="AW268">
        <v>3</v>
      </c>
      <c r="AX268">
        <v>0.05</v>
      </c>
      <c r="AY268">
        <v>1</v>
      </c>
      <c r="AZ268">
        <v>1</v>
      </c>
      <c r="BA268" s="2">
        <f>modelo_tese_H__2[[#This Row],[Vw]]+modelo_tese_H__2[[#This Row],[Vr]]+modelo_tese_H__2[[#This Row],[K]]-modelo_tese_H__2[[#This Row],[E]]</f>
        <v>-1608799647.9013891</v>
      </c>
      <c r="BB268" s="2">
        <f>modelo_tese_H__2[[#This Row],[K]]-modelo_tese_H__2[[#This Row],[Coluna1]]</f>
        <v>3586573968.2502193</v>
      </c>
      <c r="BC268">
        <f>modelo_tese_H__2[[#This Row],[Coluna2]]/modelo_tese_H__2[[#This Row],[Coluna1]]</f>
        <v>-2.229347807807363</v>
      </c>
      <c r="BD268" s="8">
        <f>modelo_tese_H__2[[#This Row],[D]]-modelo_tese_H__2[[#This Row],[Dw]]-modelo_tese_H__2[[#This Row],[Dr]]</f>
        <v>0</v>
      </c>
    </row>
    <row r="269" spans="1:56" x14ac:dyDescent="0.25">
      <c r="A269">
        <v>268</v>
      </c>
      <c r="B269">
        <v>268</v>
      </c>
      <c r="C269">
        <v>490810990.985232</v>
      </c>
      <c r="D269">
        <v>227064907.31689301</v>
      </c>
      <c r="E269">
        <v>202087767.51203501</v>
      </c>
      <c r="F269">
        <v>25469079.930772498</v>
      </c>
      <c r="G269">
        <v>711469366.12748504</v>
      </c>
      <c r="H269">
        <v>160027571.72076699</v>
      </c>
      <c r="I269">
        <v>387584419.16357398</v>
      </c>
      <c r="J269">
        <v>286988615.79655802</v>
      </c>
      <c r="K269">
        <v>1802916960.02229</v>
      </c>
      <c r="L269">
        <v>-160519511.846681</v>
      </c>
      <c r="M269">
        <v>2089905575.81885</v>
      </c>
      <c r="N269">
        <v>-3049888533.3106399</v>
      </c>
      <c r="O269">
        <v>359327962.69064897</v>
      </c>
      <c r="P269">
        <v>237156455.375828</v>
      </c>
      <c r="Q269">
        <v>369807965.67833501</v>
      </c>
      <c r="R269">
        <v>184903982.839167</v>
      </c>
      <c r="S269">
        <v>184903982.839167</v>
      </c>
      <c r="T269">
        <v>174423979.851482</v>
      </c>
      <c r="U269">
        <v>71197408.029823795</v>
      </c>
      <c r="V269">
        <v>1353833322.21384</v>
      </c>
      <c r="W269">
        <v>235878082.12416399</v>
      </c>
      <c r="X269">
        <v>0.274079579932347</v>
      </c>
      <c r="Y269">
        <v>2087974303.8582799</v>
      </c>
      <c r="Z269">
        <v>963712774.52292597</v>
      </c>
      <c r="AA269">
        <v>0.79196422211176598</v>
      </c>
      <c r="AB269">
        <v>1086689187.0048499</v>
      </c>
      <c r="AC269">
        <v>624740874.53940201</v>
      </c>
      <c r="AD269">
        <v>860618956.66356599</v>
      </c>
      <c r="AE269">
        <v>-1696055211.0968001</v>
      </c>
      <c r="AF269">
        <v>-89322103.816857293</v>
      </c>
      <c r="AG269">
        <v>5.5594999999999999E-2</v>
      </c>
      <c r="AH269">
        <v>-5139794109.1294899</v>
      </c>
      <c r="AI269">
        <v>2317546096.7367601</v>
      </c>
      <c r="AJ269">
        <v>0.06</v>
      </c>
      <c r="AK269">
        <v>0.05</v>
      </c>
      <c r="AL269">
        <v>8.8099999999999998E-2</v>
      </c>
      <c r="AM269">
        <v>3.8100000000000002E-2</v>
      </c>
      <c r="AN269">
        <v>0.89</v>
      </c>
      <c r="AO269">
        <v>0.66</v>
      </c>
      <c r="AP269">
        <v>0.42970000000000003</v>
      </c>
      <c r="AQ269">
        <v>0.57030000000000003</v>
      </c>
      <c r="AR269">
        <v>8.9999999999999993E-3</v>
      </c>
      <c r="AS269">
        <v>0.5</v>
      </c>
      <c r="AT269">
        <v>1.82</v>
      </c>
      <c r="AU269">
        <v>6.3545217126973294E-2</v>
      </c>
      <c r="AV269">
        <v>0.7893</v>
      </c>
      <c r="AW269">
        <v>3</v>
      </c>
      <c r="AX269">
        <v>0.05</v>
      </c>
      <c r="AY269">
        <v>1</v>
      </c>
      <c r="AZ269">
        <v>1</v>
      </c>
      <c r="BA269" s="2">
        <f>modelo_tese_H__2[[#This Row],[Vw]]+modelo_tese_H__2[[#This Row],[Vr]]+modelo_tese_H__2[[#This Row],[K]]-modelo_tese_H__2[[#This Row],[E]]</f>
        <v>-1697986483.0573759</v>
      </c>
      <c r="BB269" s="2">
        <f>modelo_tese_H__2[[#This Row],[K]]-modelo_tese_H__2[[#This Row],[Coluna1]]</f>
        <v>3785960786.9156561</v>
      </c>
      <c r="BC269">
        <f>modelo_tese_H__2[[#This Row],[Coluna2]]/modelo_tese_H__2[[#This Row],[Coluna1]]</f>
        <v>-2.2296766344680767</v>
      </c>
      <c r="BD269" s="8">
        <f>modelo_tese_H__2[[#This Row],[D]]-modelo_tese_H__2[[#This Row],[Dw]]-modelo_tese_H__2[[#This Row],[Dr]]</f>
        <v>0</v>
      </c>
    </row>
    <row r="270" spans="1:56" x14ac:dyDescent="0.25">
      <c r="A270">
        <v>269</v>
      </c>
      <c r="B270">
        <v>269</v>
      </c>
      <c r="C270">
        <v>518140846.82913601</v>
      </c>
      <c r="D270">
        <v>239732398.138693</v>
      </c>
      <c r="E270">
        <v>213361834.343436</v>
      </c>
      <c r="F270">
        <v>26884655.887955099</v>
      </c>
      <c r="G270">
        <v>751054952.10253894</v>
      </c>
      <c r="H270">
        <v>168924304.57058299</v>
      </c>
      <c r="I270">
        <v>409170794.801974</v>
      </c>
      <c r="J270">
        <v>302939005.42266399</v>
      </c>
      <c r="K270">
        <v>1903150128.4160299</v>
      </c>
      <c r="L270">
        <v>-169438396.66328201</v>
      </c>
      <c r="M270">
        <v>2206089133.8386898</v>
      </c>
      <c r="N270">
        <v>-3219326929.9739199</v>
      </c>
      <c r="O270">
        <v>379320682.88006997</v>
      </c>
      <c r="P270">
        <v>250351650.70084599</v>
      </c>
      <c r="Q270">
        <v>390400003.30085802</v>
      </c>
      <c r="R270">
        <v>195200001.65042901</v>
      </c>
      <c r="S270">
        <v>195200001.65042901</v>
      </c>
      <c r="T270">
        <v>184120681.22964099</v>
      </c>
      <c r="U270">
        <v>75150629.202479705</v>
      </c>
      <c r="V270">
        <v>1428983951.4163201</v>
      </c>
      <c r="W270">
        <v>249018404.62717301</v>
      </c>
      <c r="X270">
        <v>0.27408608494768799</v>
      </c>
      <c r="Y270">
        <v>2204311927.99124</v>
      </c>
      <c r="Z270">
        <v>1017531177.49967</v>
      </c>
      <c r="AA270">
        <v>0.79193711540466505</v>
      </c>
      <c r="AB270">
        <v>1147238628.4935601</v>
      </c>
      <c r="AC270">
        <v>659522445.50282001</v>
      </c>
      <c r="AD270">
        <v>908540850.12999403</v>
      </c>
      <c r="AE270">
        <v>-1790342978.5576</v>
      </c>
      <c r="AF270">
        <v>-94287767.460802004</v>
      </c>
      <c r="AG270">
        <v>5.5594999999999999E-2</v>
      </c>
      <c r="AH270">
        <v>-5425416063.8126097</v>
      </c>
      <c r="AI270">
        <v>2446515128.9159899</v>
      </c>
      <c r="AJ270">
        <v>0.06</v>
      </c>
      <c r="AK270">
        <v>0.05</v>
      </c>
      <c r="AL270">
        <v>8.8099999999999998E-2</v>
      </c>
      <c r="AM270">
        <v>3.8100000000000002E-2</v>
      </c>
      <c r="AN270">
        <v>0.89</v>
      </c>
      <c r="AO270">
        <v>0.66</v>
      </c>
      <c r="AP270">
        <v>0.42970000000000003</v>
      </c>
      <c r="AQ270">
        <v>0.57030000000000003</v>
      </c>
      <c r="AR270">
        <v>8.9999999999999993E-3</v>
      </c>
      <c r="AS270">
        <v>0.5</v>
      </c>
      <c r="AT270">
        <v>1.82</v>
      </c>
      <c r="AU270">
        <v>6.3545217126973294E-2</v>
      </c>
      <c r="AV270">
        <v>0.7893</v>
      </c>
      <c r="AW270">
        <v>3</v>
      </c>
      <c r="AX270">
        <v>0.05</v>
      </c>
      <c r="AY270">
        <v>1</v>
      </c>
      <c r="AZ270">
        <v>1</v>
      </c>
      <c r="BA270" s="2">
        <f>modelo_tese_H__2[[#This Row],[Vw]]+modelo_tese_H__2[[#This Row],[Vr]]+modelo_tese_H__2[[#This Row],[K]]-modelo_tese_H__2[[#This Row],[E]]</f>
        <v>-1792120184.4050498</v>
      </c>
      <c r="BB270" s="2">
        <f>modelo_tese_H__2[[#This Row],[K]]-modelo_tese_H__2[[#This Row],[Coluna1]]</f>
        <v>3996432112.3962898</v>
      </c>
      <c r="BC270">
        <f>modelo_tese_H__2[[#This Row],[Coluna2]]/modelo_tese_H__2[[#This Row],[Coluna1]]</f>
        <v>-2.2300022884475408</v>
      </c>
      <c r="BD270" s="8">
        <f>modelo_tese_H__2[[#This Row],[D]]-modelo_tese_H__2[[#This Row],[Dw]]-modelo_tese_H__2[[#This Row],[Dr]]</f>
        <v>0</v>
      </c>
    </row>
    <row r="271" spans="1:56" x14ac:dyDescent="0.25">
      <c r="A271">
        <v>270</v>
      </c>
      <c r="B271">
        <v>270</v>
      </c>
      <c r="C271">
        <v>546992053.19312596</v>
      </c>
      <c r="D271">
        <v>253106112.287094</v>
      </c>
      <c r="E271">
        <v>225264439.935514</v>
      </c>
      <c r="F271">
        <v>28378913.777789399</v>
      </c>
      <c r="G271">
        <v>792842715.49130201</v>
      </c>
      <c r="H271">
        <v>178315651.28318399</v>
      </c>
      <c r="I271">
        <v>431959004.99648798</v>
      </c>
      <c r="J271">
        <v>319775943.09385002</v>
      </c>
      <c r="K271">
        <v>2008955759.80656</v>
      </c>
      <c r="L271">
        <v>-178852892.70939299</v>
      </c>
      <c r="M271">
        <v>2328731702.9004102</v>
      </c>
      <c r="N271">
        <v>-3398179822.68331</v>
      </c>
      <c r="O271">
        <v>400425613.88449597</v>
      </c>
      <c r="P271">
        <v>264280905.16376701</v>
      </c>
      <c r="Q271">
        <v>412138322.38661498</v>
      </c>
      <c r="R271">
        <v>206069161.19330701</v>
      </c>
      <c r="S271">
        <v>206069161.19330701</v>
      </c>
      <c r="T271">
        <v>194356452.69118899</v>
      </c>
      <c r="U271">
        <v>79323404.494550303</v>
      </c>
      <c r="V271">
        <v>1508307355.9108701</v>
      </c>
      <c r="W271">
        <v>262890465.41948599</v>
      </c>
      <c r="X271">
        <v>0.27409252392886002</v>
      </c>
      <c r="Y271">
        <v>2327128913.3309398</v>
      </c>
      <c r="Z271">
        <v>1074352481.7258501</v>
      </c>
      <c r="AA271">
        <v>0.79191028338075897</v>
      </c>
      <c r="AB271">
        <v>1211160399.9951899</v>
      </c>
      <c r="AC271">
        <v>696239910.16025496</v>
      </c>
      <c r="AD271">
        <v>959130375.579741</v>
      </c>
      <c r="AE271">
        <v>-1889872466.77244</v>
      </c>
      <c r="AF271">
        <v>-99529488.214843199</v>
      </c>
      <c r="AG271">
        <v>5.5594999999999999E-2</v>
      </c>
      <c r="AH271">
        <v>-5726911525.5837202</v>
      </c>
      <c r="AI271">
        <v>2582659837.6367202</v>
      </c>
      <c r="AJ271">
        <v>0.06</v>
      </c>
      <c r="AK271">
        <v>0.05</v>
      </c>
      <c r="AL271">
        <v>8.8099999999999998E-2</v>
      </c>
      <c r="AM271">
        <v>3.8100000000000002E-2</v>
      </c>
      <c r="AN271">
        <v>0.89</v>
      </c>
      <c r="AO271">
        <v>0.66</v>
      </c>
      <c r="AP271">
        <v>0.42970000000000003</v>
      </c>
      <c r="AQ271">
        <v>0.57030000000000003</v>
      </c>
      <c r="AR271">
        <v>8.9999999999999993E-3</v>
      </c>
      <c r="AS271">
        <v>0.5</v>
      </c>
      <c r="AT271">
        <v>1.82</v>
      </c>
      <c r="AU271">
        <v>6.3545217126973294E-2</v>
      </c>
      <c r="AV271">
        <v>0.7893</v>
      </c>
      <c r="AW271">
        <v>3</v>
      </c>
      <c r="AX271">
        <v>0.05</v>
      </c>
      <c r="AY271">
        <v>1</v>
      </c>
      <c r="AZ271">
        <v>1</v>
      </c>
      <c r="BA271" s="2">
        <f>modelo_tese_H__2[[#This Row],[Vw]]+modelo_tese_H__2[[#This Row],[Vr]]+modelo_tese_H__2[[#This Row],[K]]-modelo_tese_H__2[[#This Row],[E]]</f>
        <v>-1891475256.3419104</v>
      </c>
      <c r="BB271" s="2">
        <f>modelo_tese_H__2[[#This Row],[K]]-modelo_tese_H__2[[#This Row],[Coluna1]]</f>
        <v>4218604169.6728501</v>
      </c>
      <c r="BC271">
        <f>modelo_tese_H__2[[#This Row],[Coluna2]]/modelo_tese_H__2[[#This Row],[Coluna1]]</f>
        <v>-2.2303247983436898</v>
      </c>
      <c r="BD271" s="8">
        <f>modelo_tese_H__2[[#This Row],[D]]-modelo_tese_H__2[[#This Row],[Dw]]-modelo_tese_H__2[[#This Row],[Dr]]</f>
        <v>0</v>
      </c>
    </row>
    <row r="272" spans="1:56" x14ac:dyDescent="0.25">
      <c r="A272">
        <v>271</v>
      </c>
      <c r="B272">
        <v>271</v>
      </c>
      <c r="C272">
        <v>577449277.17722499</v>
      </c>
      <c r="D272">
        <v>267225401.081103</v>
      </c>
      <c r="E272">
        <v>237830606.96218199</v>
      </c>
      <c r="F272">
        <v>29956227.156701501</v>
      </c>
      <c r="G272">
        <v>836955150.09621096</v>
      </c>
      <c r="H272">
        <v>188229109.916273</v>
      </c>
      <c r="I272">
        <v>456015944.03515601</v>
      </c>
      <c r="J272">
        <v>337548706.81867599</v>
      </c>
      <c r="K272">
        <v>2120643655.2742</v>
      </c>
      <c r="L272">
        <v>-188790542.95405301</v>
      </c>
      <c r="M272">
        <v>2458192362.0928798</v>
      </c>
      <c r="N272">
        <v>-3586970365.6373601</v>
      </c>
      <c r="O272">
        <v>422704621.26071298</v>
      </c>
      <c r="P272">
        <v>278985050.03206998</v>
      </c>
      <c r="Q272">
        <v>435086716.47037202</v>
      </c>
      <c r="R272">
        <v>217543358.23518601</v>
      </c>
      <c r="S272">
        <v>217543358.23518601</v>
      </c>
      <c r="T272">
        <v>205161263.02552599</v>
      </c>
      <c r="U272">
        <v>83727929.883457899</v>
      </c>
      <c r="V272">
        <v>1592035285.7943299</v>
      </c>
      <c r="W272">
        <v>277534999.58037001</v>
      </c>
      <c r="X272">
        <v>0.27409889754197198</v>
      </c>
      <c r="Y272">
        <v>2456786000.8312402</v>
      </c>
      <c r="Z272">
        <v>1134344123.0710299</v>
      </c>
      <c r="AA272">
        <v>0.79188372327895995</v>
      </c>
      <c r="AB272">
        <v>1278642260.07195</v>
      </c>
      <c r="AC272">
        <v>735000994.06722605</v>
      </c>
      <c r="AD272">
        <v>1012535993.6476001</v>
      </c>
      <c r="AE272">
        <v>-1994935079.84304</v>
      </c>
      <c r="AF272">
        <v>-105062613.070595</v>
      </c>
      <c r="AG272">
        <v>5.5594999999999999E-2</v>
      </c>
      <c r="AH272">
        <v>-6045162727.7302399</v>
      </c>
      <c r="AI272">
        <v>2726379408.8653598</v>
      </c>
      <c r="AJ272">
        <v>0.06</v>
      </c>
      <c r="AK272">
        <v>0.05</v>
      </c>
      <c r="AL272">
        <v>8.8099999999999998E-2</v>
      </c>
      <c r="AM272">
        <v>3.8100000000000002E-2</v>
      </c>
      <c r="AN272">
        <v>0.89</v>
      </c>
      <c r="AO272">
        <v>0.66</v>
      </c>
      <c r="AP272">
        <v>0.42970000000000003</v>
      </c>
      <c r="AQ272">
        <v>0.57030000000000003</v>
      </c>
      <c r="AR272">
        <v>8.9999999999999993E-3</v>
      </c>
      <c r="AS272">
        <v>0.5</v>
      </c>
      <c r="AT272">
        <v>1.82</v>
      </c>
      <c r="AU272">
        <v>6.3545217126973294E-2</v>
      </c>
      <c r="AV272">
        <v>0.7893</v>
      </c>
      <c r="AW272">
        <v>3</v>
      </c>
      <c r="AX272">
        <v>0.05</v>
      </c>
      <c r="AY272">
        <v>1</v>
      </c>
      <c r="AZ272">
        <v>1</v>
      </c>
      <c r="BA272" s="2">
        <f>modelo_tese_H__2[[#This Row],[Vw]]+modelo_tese_H__2[[#This Row],[Vr]]+modelo_tese_H__2[[#This Row],[K]]-modelo_tese_H__2[[#This Row],[E]]</f>
        <v>-1996341441.1046698</v>
      </c>
      <c r="BB272" s="2">
        <f>modelo_tese_H__2[[#This Row],[K]]-modelo_tese_H__2[[#This Row],[Coluna1]]</f>
        <v>4453127441.9359102</v>
      </c>
      <c r="BC272">
        <f>modelo_tese_H__2[[#This Row],[Coluna2]]/modelo_tese_H__2[[#This Row],[Coluna1]]</f>
        <v>-2.23064419254443</v>
      </c>
      <c r="BD272" s="8">
        <f>modelo_tese_H__2[[#This Row],[D]]-modelo_tese_H__2[[#This Row],[Dw]]-modelo_tese_H__2[[#This Row],[Dr]]</f>
        <v>-9.7751617431640625E-6</v>
      </c>
    </row>
    <row r="273" spans="1:56" x14ac:dyDescent="0.25">
      <c r="A273">
        <v>272</v>
      </c>
      <c r="B273">
        <v>272</v>
      </c>
      <c r="C273">
        <v>609601896.88759995</v>
      </c>
      <c r="D273">
        <v>282131807.56968898</v>
      </c>
      <c r="E273">
        <v>251097308.737023</v>
      </c>
      <c r="F273">
        <v>31621212.694566101</v>
      </c>
      <c r="G273">
        <v>883521562.62834501</v>
      </c>
      <c r="H273">
        <v>198693707.28206801</v>
      </c>
      <c r="I273">
        <v>481412228.71365798</v>
      </c>
      <c r="J273">
        <v>356309313.78345001</v>
      </c>
      <c r="K273">
        <v>2238540839.2903299</v>
      </c>
      <c r="L273">
        <v>-199280421.14396799</v>
      </c>
      <c r="M273">
        <v>2594850153.0737801</v>
      </c>
      <c r="N273">
        <v>-3786250786.7813301</v>
      </c>
      <c r="O273">
        <v>446223011.42845702</v>
      </c>
      <c r="P273">
        <v>294507187.54278201</v>
      </c>
      <c r="Q273">
        <v>459312528.65614903</v>
      </c>
      <c r="R273">
        <v>229656264.32807401</v>
      </c>
      <c r="S273">
        <v>229656264.32807401</v>
      </c>
      <c r="T273">
        <v>216566747.10038301</v>
      </c>
      <c r="U273">
        <v>88377078.926440507</v>
      </c>
      <c r="V273">
        <v>1680412364.7207699</v>
      </c>
      <c r="W273">
        <v>292995009.28730899</v>
      </c>
      <c r="X273">
        <v>0.27410520644649899</v>
      </c>
      <c r="Y273">
        <v>2593664010.26122</v>
      </c>
      <c r="Z273">
        <v>1197682868.0302701</v>
      </c>
      <c r="AA273">
        <v>0.79185743236545603</v>
      </c>
      <c r="AB273">
        <v>1349882418.03914</v>
      </c>
      <c r="AC273">
        <v>775919416.25643897</v>
      </c>
      <c r="AD273">
        <v>1068914425.54375</v>
      </c>
      <c r="AE273">
        <v>-2105838422.06057</v>
      </c>
      <c r="AF273">
        <v>-110903342.217528</v>
      </c>
      <c r="AG273">
        <v>5.5594999999999999E-2</v>
      </c>
      <c r="AH273">
        <v>-6381100939.8551102</v>
      </c>
      <c r="AI273">
        <v>2878095232.75103</v>
      </c>
      <c r="AJ273">
        <v>0.06</v>
      </c>
      <c r="AK273">
        <v>0.05</v>
      </c>
      <c r="AL273">
        <v>8.8099999999999998E-2</v>
      </c>
      <c r="AM273">
        <v>3.8100000000000002E-2</v>
      </c>
      <c r="AN273">
        <v>0.89</v>
      </c>
      <c r="AO273">
        <v>0.66</v>
      </c>
      <c r="AP273">
        <v>0.42970000000000003</v>
      </c>
      <c r="AQ273">
        <v>0.57030000000000003</v>
      </c>
      <c r="AR273">
        <v>8.9999999999999993E-3</v>
      </c>
      <c r="AS273">
        <v>0.5</v>
      </c>
      <c r="AT273">
        <v>1.82</v>
      </c>
      <c r="AU273">
        <v>6.3545217126973294E-2</v>
      </c>
      <c r="AV273">
        <v>0.7893</v>
      </c>
      <c r="AW273">
        <v>3</v>
      </c>
      <c r="AX273">
        <v>0.05</v>
      </c>
      <c r="AY273">
        <v>1</v>
      </c>
      <c r="AZ273">
        <v>1</v>
      </c>
      <c r="BA273" s="2">
        <f>modelo_tese_H__2[[#This Row],[Vw]]+modelo_tese_H__2[[#This Row],[Vr]]+modelo_tese_H__2[[#This Row],[K]]-modelo_tese_H__2[[#This Row],[E]]</f>
        <v>-2107024564.8731303</v>
      </c>
      <c r="BB273" s="2">
        <f>modelo_tese_H__2[[#This Row],[K]]-modelo_tese_H__2[[#This Row],[Coluna1]]</f>
        <v>4700688575.1343498</v>
      </c>
      <c r="BC273">
        <f>modelo_tese_H__2[[#This Row],[Coluna2]]/modelo_tese_H__2[[#This Row],[Coluna1]]</f>
        <v>-2.2309604992276828</v>
      </c>
      <c r="BD273" s="8">
        <f>modelo_tese_H__2[[#This Row],[D]]-modelo_tese_H__2[[#This Row],[Dw]]-modelo_tese_H__2[[#This Row],[Dr]]</f>
        <v>-9.7751617431640625E-6</v>
      </c>
    </row>
    <row r="274" spans="1:56" x14ac:dyDescent="0.25">
      <c r="A274">
        <v>273</v>
      </c>
      <c r="B274">
        <v>273</v>
      </c>
      <c r="C274">
        <v>643544263.52188599</v>
      </c>
      <c r="D274">
        <v>297869188.56040102</v>
      </c>
      <c r="E274">
        <v>265103577.818757</v>
      </c>
      <c r="F274">
        <v>33378743.689052898</v>
      </c>
      <c r="G274">
        <v>932678451.59981501</v>
      </c>
      <c r="H274">
        <v>209740083.93841499</v>
      </c>
      <c r="I274">
        <v>508222405.44622397</v>
      </c>
      <c r="J274">
        <v>376112672.61735302</v>
      </c>
      <c r="K274">
        <v>2362992517.25178</v>
      </c>
      <c r="L274">
        <v>-210353216.88582301</v>
      </c>
      <c r="M274">
        <v>2739105189.8691301</v>
      </c>
      <c r="N274">
        <v>-3996604003.66716</v>
      </c>
      <c r="O274">
        <v>471049723.03021002</v>
      </c>
      <c r="P274">
        <v>310892817.199938</v>
      </c>
      <c r="Q274">
        <v>484886849.08881998</v>
      </c>
      <c r="R274">
        <v>242443424.54440999</v>
      </c>
      <c r="S274">
        <v>242443424.54440999</v>
      </c>
      <c r="T274">
        <v>228606298.4858</v>
      </c>
      <c r="U274">
        <v>93284440.410138696</v>
      </c>
      <c r="V274">
        <v>1773696805.1308999</v>
      </c>
      <c r="W274">
        <v>309315889.96454298</v>
      </c>
      <c r="X274">
        <v>0.27411145129534698</v>
      </c>
      <c r="Y274">
        <v>2738164957.5393</v>
      </c>
      <c r="Z274">
        <v>1264555333.4504001</v>
      </c>
      <c r="AA274">
        <v>0.79183140793345896</v>
      </c>
      <c r="AB274">
        <v>1425090115.5281401</v>
      </c>
      <c r="AC274">
        <v>819115222.64616299</v>
      </c>
      <c r="AD274">
        <v>1128431112.6107099</v>
      </c>
      <c r="AE274">
        <v>-2222907198.5362501</v>
      </c>
      <c r="AF274">
        <v>-117068776.475685</v>
      </c>
      <c r="AG274">
        <v>5.5594999999999999E-2</v>
      </c>
      <c r="AH274">
        <v>-6735709193.5362902</v>
      </c>
      <c r="AI274">
        <v>3038252138.5813098</v>
      </c>
      <c r="AJ274">
        <v>0.06</v>
      </c>
      <c r="AK274">
        <v>0.05</v>
      </c>
      <c r="AL274">
        <v>8.8099999999999998E-2</v>
      </c>
      <c r="AM274">
        <v>3.8100000000000002E-2</v>
      </c>
      <c r="AN274">
        <v>0.89</v>
      </c>
      <c r="AO274">
        <v>0.66</v>
      </c>
      <c r="AP274">
        <v>0.42970000000000003</v>
      </c>
      <c r="AQ274">
        <v>0.57030000000000003</v>
      </c>
      <c r="AR274">
        <v>8.9999999999999993E-3</v>
      </c>
      <c r="AS274">
        <v>0.5</v>
      </c>
      <c r="AT274">
        <v>1.82</v>
      </c>
      <c r="AU274">
        <v>6.3545217126973294E-2</v>
      </c>
      <c r="AV274">
        <v>0.7893</v>
      </c>
      <c r="AW274">
        <v>3</v>
      </c>
      <c r="AX274">
        <v>0.05</v>
      </c>
      <c r="AY274">
        <v>1</v>
      </c>
      <c r="AZ274">
        <v>1</v>
      </c>
      <c r="BA274" s="2">
        <f>modelo_tese_H__2[[#This Row],[Vw]]+modelo_tese_H__2[[#This Row],[Vr]]+modelo_tese_H__2[[#This Row],[K]]-modelo_tese_H__2[[#This Row],[E]]</f>
        <v>-2223847430.8660803</v>
      </c>
      <c r="BB274" s="2">
        <f>modelo_tese_H__2[[#This Row],[K]]-modelo_tese_H__2[[#This Row],[Coluna1]]</f>
        <v>4962012388.4053802</v>
      </c>
      <c r="BC274">
        <f>modelo_tese_H__2[[#This Row],[Coluna2]]/modelo_tese_H__2[[#This Row],[Coluna1]]</f>
        <v>-2.231273746361691</v>
      </c>
      <c r="BD274" s="8">
        <f>modelo_tese_H__2[[#This Row],[D]]-modelo_tese_H__2[[#This Row],[Dw]]-modelo_tese_H__2[[#This Row],[Dr]]</f>
        <v>1.0013580322265625E-5</v>
      </c>
    </row>
    <row r="275" spans="1:56" x14ac:dyDescent="0.25">
      <c r="A275">
        <v>274</v>
      </c>
      <c r="B275">
        <v>274</v>
      </c>
      <c r="C275">
        <v>679375978.03305101</v>
      </c>
      <c r="D275">
        <v>314483843.44019002</v>
      </c>
      <c r="E275">
        <v>279890620.66176897</v>
      </c>
      <c r="F275">
        <v>35233964.331233002</v>
      </c>
      <c r="G275">
        <v>984569907.28642905</v>
      </c>
      <c r="H275">
        <v>221400583.904971</v>
      </c>
      <c r="I275">
        <v>536525168.897973</v>
      </c>
      <c r="J275">
        <v>397016744.12186497</v>
      </c>
      <c r="K275">
        <v>2494363086.2494602</v>
      </c>
      <c r="L275">
        <v>-222041325.45778301</v>
      </c>
      <c r="M275">
        <v>2891379830.3713198</v>
      </c>
      <c r="N275">
        <v>-4218645329.1249399</v>
      </c>
      <c r="O275">
        <v>497257528.93254</v>
      </c>
      <c r="P275">
        <v>328189969.09547597</v>
      </c>
      <c r="Q275">
        <v>511884723.41013902</v>
      </c>
      <c r="R275">
        <v>255942361.70506901</v>
      </c>
      <c r="S275">
        <v>255942361.70506901</v>
      </c>
      <c r="T275">
        <v>241315167.22747099</v>
      </c>
      <c r="U275">
        <v>98464358.092392594</v>
      </c>
      <c r="V275">
        <v>1872161163.2233</v>
      </c>
      <c r="W275">
        <v>326545563.44973999</v>
      </c>
      <c r="X275">
        <v>0.27411763273491502</v>
      </c>
      <c r="Y275">
        <v>2890713234.2327299</v>
      </c>
      <c r="Z275">
        <v>1335158535.19507</v>
      </c>
      <c r="AA275">
        <v>0.79180564730293101</v>
      </c>
      <c r="AB275">
        <v>1504486240.4062099</v>
      </c>
      <c r="AC275">
        <v>864715137.99344897</v>
      </c>
      <c r="AD275">
        <v>1191260701.4431901</v>
      </c>
      <c r="AE275">
        <v>-2346484165.9016399</v>
      </c>
      <c r="AF275">
        <v>-123576967.36539</v>
      </c>
      <c r="AG275">
        <v>5.5594999999999999E-2</v>
      </c>
      <c r="AH275">
        <v>-7110025159.4962597</v>
      </c>
      <c r="AI275">
        <v>3207319698.4183698</v>
      </c>
      <c r="AJ275">
        <v>0.06</v>
      </c>
      <c r="AK275">
        <v>0.05</v>
      </c>
      <c r="AL275">
        <v>8.8099999999999998E-2</v>
      </c>
      <c r="AM275">
        <v>3.8100000000000002E-2</v>
      </c>
      <c r="AN275">
        <v>0.89</v>
      </c>
      <c r="AO275">
        <v>0.66</v>
      </c>
      <c r="AP275">
        <v>0.42970000000000003</v>
      </c>
      <c r="AQ275">
        <v>0.57030000000000003</v>
      </c>
      <c r="AR275">
        <v>8.9999999999999993E-3</v>
      </c>
      <c r="AS275">
        <v>0.5</v>
      </c>
      <c r="AT275">
        <v>1.82</v>
      </c>
      <c r="AU275">
        <v>6.3545217126973294E-2</v>
      </c>
      <c r="AV275">
        <v>0.7893</v>
      </c>
      <c r="AW275">
        <v>3</v>
      </c>
      <c r="AX275">
        <v>0.05</v>
      </c>
      <c r="AY275">
        <v>1</v>
      </c>
      <c r="AZ275">
        <v>1</v>
      </c>
      <c r="BA275" s="2">
        <f>modelo_tese_H__2[[#This Row],[Vw]]+modelo_tese_H__2[[#This Row],[Vr]]+modelo_tese_H__2[[#This Row],[K]]-modelo_tese_H__2[[#This Row],[E]]</f>
        <v>-2347150762.0402298</v>
      </c>
      <c r="BB275" s="2">
        <f>modelo_tese_H__2[[#This Row],[K]]-modelo_tese_H__2[[#This Row],[Coluna1]]</f>
        <v>5237863996.2729597</v>
      </c>
      <c r="BC275">
        <f>modelo_tese_H__2[[#This Row],[Coluna2]]/modelo_tese_H__2[[#This Row],[Coluna1]]</f>
        <v>-2.2315839617051338</v>
      </c>
      <c r="BD275" s="8">
        <f>modelo_tese_H__2[[#This Row],[D]]-modelo_tese_H__2[[#This Row],[Dw]]-modelo_tese_H__2[[#This Row],[Dr]]</f>
        <v>0</v>
      </c>
    </row>
    <row r="276" spans="1:56" x14ac:dyDescent="0.25">
      <c r="A276">
        <v>275</v>
      </c>
      <c r="B276">
        <v>275</v>
      </c>
      <c r="C276">
        <v>717202183.18273795</v>
      </c>
      <c r="D276">
        <v>332024650.16648501</v>
      </c>
      <c r="E276">
        <v>295501938.64817202</v>
      </c>
      <c r="F276">
        <v>37192304.764208898</v>
      </c>
      <c r="G276">
        <v>1039348033.93235</v>
      </c>
      <c r="H276">
        <v>233709349.36716801</v>
      </c>
      <c r="I276">
        <v>566403592.779549</v>
      </c>
      <c r="J276">
        <v>419082710.935031</v>
      </c>
      <c r="K276">
        <v>2633037202.03052</v>
      </c>
      <c r="L276">
        <v>-234378942.61306301</v>
      </c>
      <c r="M276">
        <v>3052119912.9655499</v>
      </c>
      <c r="N276">
        <v>-4453024271.7379999</v>
      </c>
      <c r="O276">
        <v>524923249.460783</v>
      </c>
      <c r="P276">
        <v>346449344.644117</v>
      </c>
      <c r="Q276">
        <v>540385372.81013894</v>
      </c>
      <c r="R276">
        <v>270192686.40507001</v>
      </c>
      <c r="S276">
        <v>270192686.40507001</v>
      </c>
      <c r="T276">
        <v>254730563.055713</v>
      </c>
      <c r="U276">
        <v>103931972.65252399</v>
      </c>
      <c r="V276">
        <v>1976093135.8758199</v>
      </c>
      <c r="W276">
        <v>344734618.56921202</v>
      </c>
      <c r="X276">
        <v>0.27412375140515899</v>
      </c>
      <c r="Y276">
        <v>3051756852.68081</v>
      </c>
      <c r="Z276">
        <v>1409700467.35921</v>
      </c>
      <c r="AA276">
        <v>0.79178014782035</v>
      </c>
      <c r="AB276">
        <v>1588303974.8531499</v>
      </c>
      <c r="AC276">
        <v>912852937.423666</v>
      </c>
      <c r="AD276">
        <v>1257587555.9928801</v>
      </c>
      <c r="AE276">
        <v>-2476931135.8621802</v>
      </c>
      <c r="AF276">
        <v>-130446969.960539</v>
      </c>
      <c r="AG276">
        <v>5.5594999999999999E-2</v>
      </c>
      <c r="AH276">
        <v>-7505144184.7035503</v>
      </c>
      <c r="AI276">
        <v>3385793603.2350302</v>
      </c>
      <c r="AJ276">
        <v>0.06</v>
      </c>
      <c r="AK276">
        <v>0.05</v>
      </c>
      <c r="AL276">
        <v>8.8099999999999998E-2</v>
      </c>
      <c r="AM276">
        <v>3.8100000000000002E-2</v>
      </c>
      <c r="AN276">
        <v>0.89</v>
      </c>
      <c r="AO276">
        <v>0.66</v>
      </c>
      <c r="AP276">
        <v>0.42970000000000003</v>
      </c>
      <c r="AQ276">
        <v>0.57030000000000003</v>
      </c>
      <c r="AR276">
        <v>8.9999999999999993E-3</v>
      </c>
      <c r="AS276">
        <v>0.5</v>
      </c>
      <c r="AT276">
        <v>1.82</v>
      </c>
      <c r="AU276">
        <v>6.3545217126973294E-2</v>
      </c>
      <c r="AV276">
        <v>0.7893</v>
      </c>
      <c r="AW276">
        <v>3</v>
      </c>
      <c r="AX276">
        <v>0.05</v>
      </c>
      <c r="AY276">
        <v>1</v>
      </c>
      <c r="AZ276">
        <v>1</v>
      </c>
      <c r="BA276" s="2">
        <f>modelo_tese_H__2[[#This Row],[Vw]]+modelo_tese_H__2[[#This Row],[Vr]]+modelo_tese_H__2[[#This Row],[K]]-modelo_tese_H__2[[#This Row],[E]]</f>
        <v>-2477294196.1469202</v>
      </c>
      <c r="BB276" s="2">
        <f>modelo_tese_H__2[[#This Row],[K]]-modelo_tese_H__2[[#This Row],[Coluna1]]</f>
        <v>5529051048.8277302</v>
      </c>
      <c r="BC276">
        <f>modelo_tese_H__2[[#This Row],[Coluna2]]/modelo_tese_H__2[[#This Row],[Coluna1]]</f>
        <v>-2.2318911728075674</v>
      </c>
      <c r="BD276" s="8">
        <f>modelo_tese_H__2[[#This Row],[D]]-modelo_tese_H__2[[#This Row],[Dw]]-modelo_tese_H__2[[#This Row],[Dr]]</f>
        <v>0</v>
      </c>
    </row>
    <row r="277" spans="1:56" x14ac:dyDescent="0.25">
      <c r="A277">
        <v>276</v>
      </c>
      <c r="B277">
        <v>276</v>
      </c>
      <c r="C277">
        <v>757133871.839939</v>
      </c>
      <c r="D277">
        <v>350543208.82744598</v>
      </c>
      <c r="E277">
        <v>311983455.85642701</v>
      </c>
      <c r="F277">
        <v>39259496.978854403</v>
      </c>
      <c r="G277">
        <v>1097173395.4335101</v>
      </c>
      <c r="H277">
        <v>246702420.645235</v>
      </c>
      <c r="I277">
        <v>597945373.48051703</v>
      </c>
      <c r="J277">
        <v>442375156.62726098</v>
      </c>
      <c r="K277">
        <v>2779420905.2783899</v>
      </c>
      <c r="L277">
        <v>-247402164.65307099</v>
      </c>
      <c r="M277">
        <v>3221796061.9056501</v>
      </c>
      <c r="N277">
        <v>-4700426436.3910704</v>
      </c>
      <c r="O277">
        <v>554127977.49167395</v>
      </c>
      <c r="P277">
        <v>365724465.14450502</v>
      </c>
      <c r="Q277">
        <v>570472426.31881797</v>
      </c>
      <c r="R277">
        <v>285236213.15940899</v>
      </c>
      <c r="S277">
        <v>285236213.15940899</v>
      </c>
      <c r="T277">
        <v>268891764.33226502</v>
      </c>
      <c r="U277">
        <v>109703265.97284301</v>
      </c>
      <c r="V277">
        <v>2085796401.84866</v>
      </c>
      <c r="W277">
        <v>363936459.53373599</v>
      </c>
      <c r="X277">
        <v>0.27412980793965502</v>
      </c>
      <c r="Y277">
        <v>3221768760.39222</v>
      </c>
      <c r="Z277">
        <v>1488400713.7335401</v>
      </c>
      <c r="AA277">
        <v>0.79175490685845196</v>
      </c>
      <c r="AB277">
        <v>1676789479.4949501</v>
      </c>
      <c r="AC277">
        <v>963669838.62502205</v>
      </c>
      <c r="AD277">
        <v>1327606298.1587601</v>
      </c>
      <c r="AE277">
        <v>-2614630034.5424099</v>
      </c>
      <c r="AF277">
        <v>-137698898.68022799</v>
      </c>
      <c r="AG277">
        <v>5.5594999999999999E-2</v>
      </c>
      <c r="AH277">
        <v>-7922222498.29673</v>
      </c>
      <c r="AI277">
        <v>3574197115.5822001</v>
      </c>
      <c r="AJ277">
        <v>0.06</v>
      </c>
      <c r="AK277">
        <v>0.05</v>
      </c>
      <c r="AL277">
        <v>8.8099999999999998E-2</v>
      </c>
      <c r="AM277">
        <v>3.8100000000000002E-2</v>
      </c>
      <c r="AN277">
        <v>0.89</v>
      </c>
      <c r="AO277">
        <v>0.66</v>
      </c>
      <c r="AP277">
        <v>0.42970000000000003</v>
      </c>
      <c r="AQ277">
        <v>0.57030000000000003</v>
      </c>
      <c r="AR277">
        <v>8.9999999999999993E-3</v>
      </c>
      <c r="AS277">
        <v>0.5</v>
      </c>
      <c r="AT277">
        <v>1.82</v>
      </c>
      <c r="AU277">
        <v>6.3545217126973294E-2</v>
      </c>
      <c r="AV277">
        <v>0.7893</v>
      </c>
      <c r="AW277">
        <v>3</v>
      </c>
      <c r="AX277">
        <v>0.05</v>
      </c>
      <c r="AY277">
        <v>1</v>
      </c>
      <c r="AZ277">
        <v>1</v>
      </c>
      <c r="BA277" s="2">
        <f>modelo_tese_H__2[[#This Row],[Vw]]+modelo_tese_H__2[[#This Row],[Vr]]+modelo_tese_H__2[[#This Row],[K]]-modelo_tese_H__2[[#This Row],[E]]</f>
        <v>-2614657336.05585</v>
      </c>
      <c r="BB277" s="2">
        <f>modelo_tese_H__2[[#This Row],[K]]-modelo_tese_H__2[[#This Row],[Coluna1]]</f>
        <v>5836426096.4480705</v>
      </c>
      <c r="BC277">
        <f>modelo_tese_H__2[[#This Row],[Coluna2]]/modelo_tese_H__2[[#This Row],[Coluna1]]</f>
        <v>-2.2321954070096939</v>
      </c>
      <c r="BD277" s="8">
        <f>modelo_tese_H__2[[#This Row],[D]]-modelo_tese_H__2[[#This Row],[Dw]]-modelo_tese_H__2[[#This Row],[Dr]]</f>
        <v>0</v>
      </c>
    </row>
    <row r="278" spans="1:56" x14ac:dyDescent="0.25">
      <c r="A278">
        <v>277</v>
      </c>
      <c r="B278">
        <v>277</v>
      </c>
      <c r="C278">
        <v>799288212.42862403</v>
      </c>
      <c r="D278">
        <v>370093993.19265401</v>
      </c>
      <c r="E278">
        <v>329383653.94146198</v>
      </c>
      <c r="F278">
        <v>41441591.593197502</v>
      </c>
      <c r="G278">
        <v>1158215485.8054099</v>
      </c>
      <c r="H278">
        <v>260417841.72100699</v>
      </c>
      <c r="I278">
        <v>631243087.25566602</v>
      </c>
      <c r="J278">
        <v>466962254.75296003</v>
      </c>
      <c r="K278">
        <v>2933942810.5082898</v>
      </c>
      <c r="L278">
        <v>-261149094.06301299</v>
      </c>
      <c r="M278">
        <v>3400905065.26125</v>
      </c>
      <c r="N278">
        <v>-4961575530.4540796</v>
      </c>
      <c r="O278">
        <v>584957316.06333899</v>
      </c>
      <c r="P278">
        <v>386071828.60180402</v>
      </c>
      <c r="Q278">
        <v>602234166.01890194</v>
      </c>
      <c r="R278">
        <v>301117083.00945097</v>
      </c>
      <c r="S278">
        <v>301117083.00945097</v>
      </c>
      <c r="T278">
        <v>283840233.05388802</v>
      </c>
      <c r="U278">
        <v>115795107.880931</v>
      </c>
      <c r="V278">
        <v>2201591509.7295899</v>
      </c>
      <c r="W278">
        <v>384207462.59005499</v>
      </c>
      <c r="X278">
        <v>0.27413580296566198</v>
      </c>
      <c r="Y278">
        <v>3401248227.57025</v>
      </c>
      <c r="Z278">
        <v>1571491093.3141401</v>
      </c>
      <c r="AA278">
        <v>0.79172992181598001</v>
      </c>
      <c r="AB278">
        <v>1770202615.6001201</v>
      </c>
      <c r="AC278">
        <v>1017314915.85747</v>
      </c>
      <c r="AD278">
        <v>1401522378.44753</v>
      </c>
      <c r="AE278">
        <v>-2759984020.7244902</v>
      </c>
      <c r="AF278">
        <v>-145353986.182082</v>
      </c>
      <c r="AG278">
        <v>5.5594999999999999E-2</v>
      </c>
      <c r="AH278">
        <v>-8362480595.7153397</v>
      </c>
      <c r="AI278">
        <v>3773082603.0437398</v>
      </c>
      <c r="AJ278">
        <v>0.06</v>
      </c>
      <c r="AK278">
        <v>0.05</v>
      </c>
      <c r="AL278">
        <v>8.8099999999999998E-2</v>
      </c>
      <c r="AM278">
        <v>3.8100000000000002E-2</v>
      </c>
      <c r="AN278">
        <v>0.89</v>
      </c>
      <c r="AO278">
        <v>0.66</v>
      </c>
      <c r="AP278">
        <v>0.42970000000000003</v>
      </c>
      <c r="AQ278">
        <v>0.57030000000000003</v>
      </c>
      <c r="AR278">
        <v>8.9999999999999993E-3</v>
      </c>
      <c r="AS278">
        <v>0.5</v>
      </c>
      <c r="AT278">
        <v>1.82</v>
      </c>
      <c r="AU278">
        <v>6.3545217126973294E-2</v>
      </c>
      <c r="AV278">
        <v>0.7893</v>
      </c>
      <c r="AW278">
        <v>3</v>
      </c>
      <c r="AX278">
        <v>0.05</v>
      </c>
      <c r="AY278">
        <v>1</v>
      </c>
      <c r="AZ278">
        <v>1</v>
      </c>
      <c r="BA278" s="2">
        <f>modelo_tese_H__2[[#This Row],[Vw]]+modelo_tese_H__2[[#This Row],[Vr]]+modelo_tese_H__2[[#This Row],[K]]-modelo_tese_H__2[[#This Row],[E]]</f>
        <v>-2759640858.4154902</v>
      </c>
      <c r="BB278" s="2">
        <f>modelo_tese_H__2[[#This Row],[K]]-modelo_tese_H__2[[#This Row],[Coluna1]]</f>
        <v>6160889085.9857407</v>
      </c>
      <c r="BC278">
        <f>modelo_tese_H__2[[#This Row],[Coluna2]]/modelo_tese_H__2[[#This Row],[Coluna1]]</f>
        <v>-2.2324966914438114</v>
      </c>
      <c r="BD278" s="8">
        <f>modelo_tese_H__2[[#This Row],[D]]-modelo_tese_H__2[[#This Row],[Dw]]-modelo_tese_H__2[[#This Row],[Dr]]</f>
        <v>0</v>
      </c>
    </row>
    <row r="279" spans="1:56" x14ac:dyDescent="0.25">
      <c r="A279">
        <v>278</v>
      </c>
      <c r="B279">
        <v>278</v>
      </c>
      <c r="C279">
        <v>843788892.47808397</v>
      </c>
      <c r="D279">
        <v>390734510.69886202</v>
      </c>
      <c r="E279">
        <v>347753714.52198702</v>
      </c>
      <c r="F279">
        <v>43744975.564571403</v>
      </c>
      <c r="G279">
        <v>1222653225.8134201</v>
      </c>
      <c r="H279">
        <v>274895771.63148701</v>
      </c>
      <c r="I279">
        <v>666394461.718045</v>
      </c>
      <c r="J279">
        <v>492915968.411443</v>
      </c>
      <c r="K279">
        <v>3097055361.0594101</v>
      </c>
      <c r="L279">
        <v>-275659951.01918298</v>
      </c>
      <c r="M279">
        <v>3589971329.47086</v>
      </c>
      <c r="N279">
        <v>-5237235481.4732704</v>
      </c>
      <c r="O279">
        <v>617501629.19869494</v>
      </c>
      <c r="P279">
        <v>407551075.27113903</v>
      </c>
      <c r="Q279">
        <v>635763785.89835703</v>
      </c>
      <c r="R279">
        <v>317881892.94917798</v>
      </c>
      <c r="S279">
        <v>317881892.94917798</v>
      </c>
      <c r="T279">
        <v>299619736.24951601</v>
      </c>
      <c r="U279">
        <v>122225305.48947801</v>
      </c>
      <c r="V279">
        <v>2323816815.21907</v>
      </c>
      <c r="W279">
        <v>405607141.38725698</v>
      </c>
      <c r="X279">
        <v>0.274141737104179</v>
      </c>
      <c r="Y279">
        <v>3590722311.8338199</v>
      </c>
      <c r="Z279">
        <v>1659216341.7522199</v>
      </c>
      <c r="AA279">
        <v>0.791705190117444</v>
      </c>
      <c r="AB279">
        <v>1868817707.4561801</v>
      </c>
      <c r="AC279">
        <v>1073945536.9891801</v>
      </c>
      <c r="AD279">
        <v>1479552678.37644</v>
      </c>
      <c r="AE279">
        <v>-2913418666.2542</v>
      </c>
      <c r="AF279">
        <v>-153434645.529706</v>
      </c>
      <c r="AG279">
        <v>5.5594999999999999E-2</v>
      </c>
      <c r="AH279">
        <v>-8827206810.9441299</v>
      </c>
      <c r="AI279">
        <v>3983033156.9713001</v>
      </c>
      <c r="AJ279">
        <v>0.06</v>
      </c>
      <c r="AK279">
        <v>0.05</v>
      </c>
      <c r="AL279">
        <v>8.8099999999999998E-2</v>
      </c>
      <c r="AM279">
        <v>3.8100000000000002E-2</v>
      </c>
      <c r="AN279">
        <v>0.89</v>
      </c>
      <c r="AO279">
        <v>0.66</v>
      </c>
      <c r="AP279">
        <v>0.42970000000000003</v>
      </c>
      <c r="AQ279">
        <v>0.57030000000000003</v>
      </c>
      <c r="AR279">
        <v>8.9999999999999993E-3</v>
      </c>
      <c r="AS279">
        <v>0.5</v>
      </c>
      <c r="AT279">
        <v>1.82</v>
      </c>
      <c r="AU279">
        <v>6.3545217126973294E-2</v>
      </c>
      <c r="AV279">
        <v>0.7893</v>
      </c>
      <c r="AW279">
        <v>3</v>
      </c>
      <c r="AX279">
        <v>0.05</v>
      </c>
      <c r="AY279">
        <v>1</v>
      </c>
      <c r="AZ279">
        <v>1</v>
      </c>
      <c r="BA279" s="2">
        <f>modelo_tese_H__2[[#This Row],[Vw]]+modelo_tese_H__2[[#This Row],[Vr]]+modelo_tese_H__2[[#This Row],[K]]-modelo_tese_H__2[[#This Row],[E]]</f>
        <v>-2912667683.8912296</v>
      </c>
      <c r="BB279" s="2">
        <f>modelo_tese_H__2[[#This Row],[K]]-modelo_tese_H__2[[#This Row],[Coluna1]]</f>
        <v>6503389995.72505</v>
      </c>
      <c r="BC279">
        <f>modelo_tese_H__2[[#This Row],[Coluna2]]/modelo_tese_H__2[[#This Row],[Coluna1]]</f>
        <v>-2.2327950530342453</v>
      </c>
      <c r="BD279" s="8">
        <f>modelo_tese_H__2[[#This Row],[D]]-modelo_tese_H__2[[#This Row],[Dw]]-modelo_tese_H__2[[#This Row],[Dr]]</f>
        <v>0</v>
      </c>
    </row>
    <row r="280" spans="1:56" x14ac:dyDescent="0.25">
      <c r="A280">
        <v>279</v>
      </c>
      <c r="B280">
        <v>279</v>
      </c>
      <c r="C280">
        <v>890766481.28284705</v>
      </c>
      <c r="D280">
        <v>412525471.34016699</v>
      </c>
      <c r="E280">
        <v>367147669.49274898</v>
      </c>
      <c r="F280">
        <v>46176390.886386</v>
      </c>
      <c r="G280">
        <v>1290675487.22047</v>
      </c>
      <c r="H280">
        <v>290178602.05533898</v>
      </c>
      <c r="I280">
        <v>703502662.43447399</v>
      </c>
      <c r="J280">
        <v>520312260.901353</v>
      </c>
      <c r="K280">
        <v>3269236153.8583899</v>
      </c>
      <c r="L280">
        <v>-290977191.09430701</v>
      </c>
      <c r="M280">
        <v>3789548414.7597399</v>
      </c>
      <c r="N280">
        <v>-5528212672.5675697</v>
      </c>
      <c r="O280">
        <v>651856306.67700398</v>
      </c>
      <c r="P280">
        <v>430225162.40682298</v>
      </c>
      <c r="Q280">
        <v>671159665.10124397</v>
      </c>
      <c r="R280">
        <v>335579832.55062199</v>
      </c>
      <c r="S280">
        <v>335579832.55062199</v>
      </c>
      <c r="T280">
        <v>316276474.12638301</v>
      </c>
      <c r="U280">
        <v>129012655.27801</v>
      </c>
      <c r="V280">
        <v>2452829470.4970798</v>
      </c>
      <c r="W280">
        <v>428198321.54279399</v>
      </c>
      <c r="X280">
        <v>0.274147610970011</v>
      </c>
      <c r="Y280">
        <v>3790747404.4284701</v>
      </c>
      <c r="Z280">
        <v>1751834830.74439</v>
      </c>
      <c r="AA280">
        <v>0.79168070921286204</v>
      </c>
      <c r="AB280">
        <v>1972924347.1614399</v>
      </c>
      <c r="AC280">
        <v>1133727824.8413</v>
      </c>
      <c r="AD280">
        <v>1561926146.3840899</v>
      </c>
      <c r="AE280">
        <v>-3075383202.0704899</v>
      </c>
      <c r="AF280">
        <v>-161964535.81629699</v>
      </c>
      <c r="AG280">
        <v>5.5594999999999999E-2</v>
      </c>
      <c r="AH280">
        <v>-9317761087.3273201</v>
      </c>
      <c r="AI280">
        <v>4204664301.2414799</v>
      </c>
      <c r="AJ280">
        <v>0.06</v>
      </c>
      <c r="AK280">
        <v>0.05</v>
      </c>
      <c r="AL280">
        <v>8.8099999999999998E-2</v>
      </c>
      <c r="AM280">
        <v>3.8100000000000002E-2</v>
      </c>
      <c r="AN280">
        <v>0.89</v>
      </c>
      <c r="AO280">
        <v>0.66</v>
      </c>
      <c r="AP280">
        <v>0.42970000000000003</v>
      </c>
      <c r="AQ280">
        <v>0.57030000000000003</v>
      </c>
      <c r="AR280">
        <v>8.9999999999999993E-3</v>
      </c>
      <c r="AS280">
        <v>0.5</v>
      </c>
      <c r="AT280">
        <v>1.82</v>
      </c>
      <c r="AU280">
        <v>6.3545217126973294E-2</v>
      </c>
      <c r="AV280">
        <v>0.7893</v>
      </c>
      <c r="AW280">
        <v>3</v>
      </c>
      <c r="AX280">
        <v>0.05</v>
      </c>
      <c r="AY280">
        <v>1</v>
      </c>
      <c r="AZ280">
        <v>1</v>
      </c>
      <c r="BA280" s="2">
        <f>modelo_tese_H__2[[#This Row],[Vw]]+modelo_tese_H__2[[#This Row],[Vr]]+modelo_tese_H__2[[#This Row],[K]]-modelo_tese_H__2[[#This Row],[E]]</f>
        <v>-3074184212.4017601</v>
      </c>
      <c r="BB280" s="2">
        <f>modelo_tese_H__2[[#This Row],[K]]-modelo_tese_H__2[[#This Row],[Coluna1]]</f>
        <v>6864931616.8302307</v>
      </c>
      <c r="BC280">
        <f>modelo_tese_H__2[[#This Row],[Coluna2]]/modelo_tese_H__2[[#This Row],[Coluna1]]</f>
        <v>-2.233090518497876</v>
      </c>
      <c r="BD280" s="8">
        <f>modelo_tese_H__2[[#This Row],[D]]-modelo_tese_H__2[[#This Row],[Dw]]-modelo_tese_H__2[[#This Row],[Dr]]</f>
        <v>0</v>
      </c>
    </row>
    <row r="281" spans="1:56" x14ac:dyDescent="0.25">
      <c r="A281">
        <v>280</v>
      </c>
      <c r="B281">
        <v>280</v>
      </c>
      <c r="C281">
        <v>940358812.73501801</v>
      </c>
      <c r="D281">
        <v>435530965.958134</v>
      </c>
      <c r="E281">
        <v>387622559.702739</v>
      </c>
      <c r="F281">
        <v>48742954.324255198</v>
      </c>
      <c r="G281">
        <v>1362481646.18784</v>
      </c>
      <c r="H281">
        <v>306311081.43660599</v>
      </c>
      <c r="I281">
        <v>742676595.46360004</v>
      </c>
      <c r="J281">
        <v>549231318.08526695</v>
      </c>
      <c r="K281">
        <v>3450989337.8329902</v>
      </c>
      <c r="L281">
        <v>-307145629.50546598</v>
      </c>
      <c r="M281">
        <v>4000220655.9182601</v>
      </c>
      <c r="N281">
        <v>-5835358302.07304</v>
      </c>
      <c r="O281">
        <v>688122043.52921402</v>
      </c>
      <c r="P281">
        <v>454160548.72928101</v>
      </c>
      <c r="Q281">
        <v>708525656.37776196</v>
      </c>
      <c r="R281">
        <v>354262828.18888098</v>
      </c>
      <c r="S281">
        <v>354262828.18888098</v>
      </c>
      <c r="T281">
        <v>333859215.34033298</v>
      </c>
      <c r="U281">
        <v>136176998.06891599</v>
      </c>
      <c r="V281">
        <v>2589006468.566</v>
      </c>
      <c r="W281">
        <v>452047324.91989797</v>
      </c>
      <c r="X281">
        <v>0.274153425171828</v>
      </c>
      <c r="Y281">
        <v>4001910862.4604502</v>
      </c>
      <c r="Z281">
        <v>1849619327.47541</v>
      </c>
      <c r="AA281">
        <v>0.79165647657753102</v>
      </c>
      <c r="AB281">
        <v>2082828244.1914599</v>
      </c>
      <c r="AC281">
        <v>1196837144.1928799</v>
      </c>
      <c r="AD281">
        <v>1648884469.1127801</v>
      </c>
      <c r="AE281">
        <v>-3246351833.50704</v>
      </c>
      <c r="AF281">
        <v>-170968631.436551</v>
      </c>
      <c r="AG281">
        <v>5.5594999999999999E-2</v>
      </c>
      <c r="AH281">
        <v>-9835578957.9913006</v>
      </c>
      <c r="AI281">
        <v>4438625796.0414104</v>
      </c>
      <c r="AJ281">
        <v>0.06</v>
      </c>
      <c r="AK281">
        <v>0.05</v>
      </c>
      <c r="AL281">
        <v>8.8099999999999998E-2</v>
      </c>
      <c r="AM281">
        <v>3.8100000000000002E-2</v>
      </c>
      <c r="AN281">
        <v>0.89</v>
      </c>
      <c r="AO281">
        <v>0.66</v>
      </c>
      <c r="AP281">
        <v>0.42970000000000003</v>
      </c>
      <c r="AQ281">
        <v>0.57030000000000003</v>
      </c>
      <c r="AR281">
        <v>8.9999999999999993E-3</v>
      </c>
      <c r="AS281">
        <v>0.5</v>
      </c>
      <c r="AT281">
        <v>1.82</v>
      </c>
      <c r="AU281">
        <v>6.3545217126973294E-2</v>
      </c>
      <c r="AV281">
        <v>0.7893</v>
      </c>
      <c r="AW281">
        <v>3</v>
      </c>
      <c r="AX281">
        <v>0.05</v>
      </c>
      <c r="AY281">
        <v>1</v>
      </c>
      <c r="AZ281">
        <v>1</v>
      </c>
      <c r="BA281" s="2">
        <f>modelo_tese_H__2[[#This Row],[Vw]]+modelo_tese_H__2[[#This Row],[Vr]]+modelo_tese_H__2[[#This Row],[K]]-modelo_tese_H__2[[#This Row],[E]]</f>
        <v>-3244661626.9648499</v>
      </c>
      <c r="BB281" s="2">
        <f>modelo_tese_H__2[[#This Row],[K]]-modelo_tese_H__2[[#This Row],[Coluna1]]</f>
        <v>7246572489.4253006</v>
      </c>
      <c r="BC281">
        <f>modelo_tese_H__2[[#This Row],[Coluna2]]/modelo_tese_H__2[[#This Row],[Coluna1]]</f>
        <v>-2.2333831143446394</v>
      </c>
      <c r="BD281" s="8">
        <f>modelo_tese_H__2[[#This Row],[D]]-modelo_tese_H__2[[#This Row],[Dw]]-modelo_tese_H__2[[#This Row],[Dr]]</f>
        <v>0</v>
      </c>
    </row>
    <row r="282" spans="1:56" x14ac:dyDescent="0.25">
      <c r="A282">
        <v>281</v>
      </c>
      <c r="B282">
        <v>281</v>
      </c>
      <c r="C282">
        <v>992711389.45098102</v>
      </c>
      <c r="D282">
        <v>459818654.45489502</v>
      </c>
      <c r="E282">
        <v>409238602.46485603</v>
      </c>
      <c r="F282">
        <v>51452178.249260999</v>
      </c>
      <c r="G282">
        <v>1438282167.4500799</v>
      </c>
      <c r="H282">
        <v>323340446.00907397</v>
      </c>
      <c r="I282">
        <v>784031226.72319102</v>
      </c>
      <c r="J282">
        <v>579757783.11547899</v>
      </c>
      <c r="K282">
        <v>3642847090.0706301</v>
      </c>
      <c r="L282">
        <v>-324212572.26829702</v>
      </c>
      <c r="M282">
        <v>4222604873.18611</v>
      </c>
      <c r="N282">
        <v>-6159570874.3413401</v>
      </c>
      <c r="O282">
        <v>726405135.07579601</v>
      </c>
      <c r="P282">
        <v>479427389.15002501</v>
      </c>
      <c r="Q282">
        <v>747971390.57879496</v>
      </c>
      <c r="R282">
        <v>373985695.289397</v>
      </c>
      <c r="S282">
        <v>373985695.289397</v>
      </c>
      <c r="T282">
        <v>352419439.78639901</v>
      </c>
      <c r="U282">
        <v>143739277.058608</v>
      </c>
      <c r="V282">
        <v>2732745745.6246099</v>
      </c>
      <c r="W282">
        <v>477224164.15656</v>
      </c>
      <c r="X282">
        <v>0.27415918031222097</v>
      </c>
      <c r="Y282">
        <v>4224832731.9391599</v>
      </c>
      <c r="Z282">
        <v>1952857796.3425701</v>
      </c>
      <c r="AA282">
        <v>0.79163248971178302</v>
      </c>
      <c r="AB282">
        <v>2198852122.23101</v>
      </c>
      <c r="AC282">
        <v>1263458615.87322</v>
      </c>
      <c r="AD282">
        <v>1740682780.0297799</v>
      </c>
      <c r="AE282">
        <v>-3426825128.7167301</v>
      </c>
      <c r="AF282">
        <v>-180473295.20968801</v>
      </c>
      <c r="AG282">
        <v>5.5594999999999999E-2</v>
      </c>
      <c r="AH282">
        <v>-10382175747.527399</v>
      </c>
      <c r="AI282">
        <v>4685603541.9671803</v>
      </c>
      <c r="AJ282">
        <v>0.06</v>
      </c>
      <c r="AK282">
        <v>0.05</v>
      </c>
      <c r="AL282">
        <v>8.8099999999999998E-2</v>
      </c>
      <c r="AM282">
        <v>3.8100000000000002E-2</v>
      </c>
      <c r="AN282">
        <v>0.89</v>
      </c>
      <c r="AO282">
        <v>0.66</v>
      </c>
      <c r="AP282">
        <v>0.42970000000000003</v>
      </c>
      <c r="AQ282">
        <v>0.57030000000000003</v>
      </c>
      <c r="AR282">
        <v>8.9999999999999993E-3</v>
      </c>
      <c r="AS282">
        <v>0.5</v>
      </c>
      <c r="AT282">
        <v>1.82</v>
      </c>
      <c r="AU282">
        <v>6.3545217126973294E-2</v>
      </c>
      <c r="AV282">
        <v>0.7893</v>
      </c>
      <c r="AW282">
        <v>3</v>
      </c>
      <c r="AX282">
        <v>0.05</v>
      </c>
      <c r="AY282">
        <v>1</v>
      </c>
      <c r="AZ282">
        <v>1</v>
      </c>
      <c r="BA282" s="2">
        <f>modelo_tese_H__2[[#This Row],[Vw]]+modelo_tese_H__2[[#This Row],[Vr]]+modelo_tese_H__2[[#This Row],[K]]-modelo_tese_H__2[[#This Row],[E]]</f>
        <v>-3424597269.9636288</v>
      </c>
      <c r="BB282" s="2">
        <f>modelo_tese_H__2[[#This Row],[K]]-modelo_tese_H__2[[#This Row],[Coluna1]]</f>
        <v>7649430001.9027882</v>
      </c>
      <c r="BC282">
        <f>modelo_tese_H__2[[#This Row],[Coluna2]]/modelo_tese_H__2[[#This Row],[Coluna1]]</f>
        <v>-2.2336728668781629</v>
      </c>
      <c r="BD282" s="8">
        <f>modelo_tese_H__2[[#This Row],[D]]-modelo_tese_H__2[[#This Row],[Dw]]-modelo_tese_H__2[[#This Row],[Dr]]</f>
        <v>0</v>
      </c>
    </row>
    <row r="283" spans="1:56" x14ac:dyDescent="0.25">
      <c r="A283">
        <v>282</v>
      </c>
      <c r="B283">
        <v>282</v>
      </c>
      <c r="C283">
        <v>1047977809.3767999</v>
      </c>
      <c r="D283">
        <v>485459964.48139203</v>
      </c>
      <c r="E283">
        <v>432059368.388439</v>
      </c>
      <c r="F283">
        <v>54311992.629343197</v>
      </c>
      <c r="G283">
        <v>1518299220.9753001</v>
      </c>
      <c r="H283">
        <v>341316558.10494798</v>
      </c>
      <c r="I283">
        <v>827687919.12273002</v>
      </c>
      <c r="J283">
        <v>611981004.20812297</v>
      </c>
      <c r="K283">
        <v>3845371174.04389</v>
      </c>
      <c r="L283">
        <v>-342227954.641339</v>
      </c>
      <c r="M283">
        <v>4457352178.2520103</v>
      </c>
      <c r="N283">
        <v>-6501798828.9826803</v>
      </c>
      <c r="O283">
        <v>766817788.37136495</v>
      </c>
      <c r="P283">
        <v>506099740.32510102</v>
      </c>
      <c r="Q283">
        <v>789612598.08733797</v>
      </c>
      <c r="R283">
        <v>394806299.04366899</v>
      </c>
      <c r="S283">
        <v>394806299.04366899</v>
      </c>
      <c r="T283">
        <v>372011489.32769603</v>
      </c>
      <c r="U283">
        <v>151721599.073632</v>
      </c>
      <c r="V283">
        <v>2884467344.6982398</v>
      </c>
      <c r="W283">
        <v>503802748.01630199</v>
      </c>
      <c r="X283">
        <v>0.27416487698776598</v>
      </c>
      <c r="Y283">
        <v>4460167566.6792498</v>
      </c>
      <c r="Z283">
        <v>2061854245.3152101</v>
      </c>
      <c r="AA283">
        <v>0.79160874614074095</v>
      </c>
      <c r="AB283">
        <v>2321336665.90064</v>
      </c>
      <c r="AC283">
        <v>1333787659.44783</v>
      </c>
      <c r="AD283">
        <v>1837590407.4641299</v>
      </c>
      <c r="AE283">
        <v>-3617331484.28444</v>
      </c>
      <c r="AF283">
        <v>-190506355.567707</v>
      </c>
      <c r="AG283">
        <v>5.5594999999999999E-2</v>
      </c>
      <c r="AH283">
        <v>-10959151007.234699</v>
      </c>
      <c r="AI283">
        <v>4946321590.0134401</v>
      </c>
      <c r="AJ283">
        <v>0.06</v>
      </c>
      <c r="AK283">
        <v>0.05</v>
      </c>
      <c r="AL283">
        <v>8.8099999999999998E-2</v>
      </c>
      <c r="AM283">
        <v>3.8100000000000002E-2</v>
      </c>
      <c r="AN283">
        <v>0.89</v>
      </c>
      <c r="AO283">
        <v>0.66</v>
      </c>
      <c r="AP283">
        <v>0.42970000000000003</v>
      </c>
      <c r="AQ283">
        <v>0.57030000000000003</v>
      </c>
      <c r="AR283">
        <v>8.9999999999999993E-3</v>
      </c>
      <c r="AS283">
        <v>0.5</v>
      </c>
      <c r="AT283">
        <v>1.82</v>
      </c>
      <c r="AU283">
        <v>6.3545217126973294E-2</v>
      </c>
      <c r="AV283">
        <v>0.7893</v>
      </c>
      <c r="AW283">
        <v>3</v>
      </c>
      <c r="AX283">
        <v>0.05</v>
      </c>
      <c r="AY283">
        <v>1</v>
      </c>
      <c r="AZ283">
        <v>1</v>
      </c>
      <c r="BA283" s="2">
        <f>modelo_tese_H__2[[#This Row],[Vw]]+modelo_tese_H__2[[#This Row],[Vr]]+modelo_tese_H__2[[#This Row],[K]]-modelo_tese_H__2[[#This Row],[E]]</f>
        <v>-3614516095.8572197</v>
      </c>
      <c r="BB283" s="2">
        <f>modelo_tese_H__2[[#This Row],[K]]-modelo_tese_H__2[[#This Row],[Coluna1]]</f>
        <v>8074683662.5364695</v>
      </c>
      <c r="BC283">
        <f>modelo_tese_H__2[[#This Row],[Coluna2]]/modelo_tese_H__2[[#This Row],[Coluna1]]</f>
        <v>-2.2339598021962814</v>
      </c>
      <c r="BD283" s="8">
        <f>modelo_tese_H__2[[#This Row],[D]]-modelo_tese_H__2[[#This Row],[Dw]]-modelo_tese_H__2[[#This Row],[Dr]]</f>
        <v>0</v>
      </c>
    </row>
    <row r="284" spans="1:56" x14ac:dyDescent="0.25">
      <c r="A284">
        <v>283</v>
      </c>
      <c r="B284">
        <v>283</v>
      </c>
      <c r="C284">
        <v>1106320216.12252</v>
      </c>
      <c r="D284">
        <v>512530301.18365902</v>
      </c>
      <c r="E284">
        <v>456151968.05345702</v>
      </c>
      <c r="F284">
        <v>57330768.243198402</v>
      </c>
      <c r="G284">
        <v>1602767332.9174199</v>
      </c>
      <c r="H284">
        <v>360292052.15279299</v>
      </c>
      <c r="I284">
        <v>873774788.44944799</v>
      </c>
      <c r="J284">
        <v>645995296.190992</v>
      </c>
      <c r="K284">
        <v>4059154584.46561</v>
      </c>
      <c r="L284">
        <v>-361244487.26578897</v>
      </c>
      <c r="M284">
        <v>4705149880.6566</v>
      </c>
      <c r="N284">
        <v>-6863043316.2484598</v>
      </c>
      <c r="O284">
        <v>809478450.96839595</v>
      </c>
      <c r="P284">
        <v>534255777.63914102</v>
      </c>
      <c r="Q284">
        <v>833571448.12878799</v>
      </c>
      <c r="R284">
        <v>416785724.064394</v>
      </c>
      <c r="S284">
        <v>416785724.064394</v>
      </c>
      <c r="T284">
        <v>392692726.90400201</v>
      </c>
      <c r="U284">
        <v>160147299.230928</v>
      </c>
      <c r="V284">
        <v>3044614643.9291701</v>
      </c>
      <c r="W284">
        <v>531861098.16272002</v>
      </c>
      <c r="X284">
        <v>0.27417051578908203</v>
      </c>
      <c r="Y284">
        <v>4708606348.3946505</v>
      </c>
      <c r="Z284">
        <v>2176929619.4135299</v>
      </c>
      <c r="AA284">
        <v>0.79158524341408099</v>
      </c>
      <c r="AB284">
        <v>2450641520.15343</v>
      </c>
      <c r="AC284">
        <v>1408030566.0885899</v>
      </c>
      <c r="AD284">
        <v>1939891664.2513101</v>
      </c>
      <c r="AE284">
        <v>-3818428672.3193002</v>
      </c>
      <c r="AF284">
        <v>-201097188.03485999</v>
      </c>
      <c r="AG284">
        <v>5.5594999999999999E-2</v>
      </c>
      <c r="AH284">
        <v>-11568193196.9051</v>
      </c>
      <c r="AI284">
        <v>5221544263.3427</v>
      </c>
      <c r="AJ284">
        <v>0.06</v>
      </c>
      <c r="AK284">
        <v>0.05</v>
      </c>
      <c r="AL284">
        <v>8.8099999999999998E-2</v>
      </c>
      <c r="AM284">
        <v>3.8100000000000002E-2</v>
      </c>
      <c r="AN284">
        <v>0.89</v>
      </c>
      <c r="AO284">
        <v>0.66</v>
      </c>
      <c r="AP284">
        <v>0.42970000000000003</v>
      </c>
      <c r="AQ284">
        <v>0.57030000000000003</v>
      </c>
      <c r="AR284">
        <v>8.9999999999999993E-3</v>
      </c>
      <c r="AS284">
        <v>0.5</v>
      </c>
      <c r="AT284">
        <v>1.82</v>
      </c>
      <c r="AU284">
        <v>6.3545217126973294E-2</v>
      </c>
      <c r="AV284">
        <v>0.7893</v>
      </c>
      <c r="AW284">
        <v>3</v>
      </c>
      <c r="AX284">
        <v>0.05</v>
      </c>
      <c r="AY284">
        <v>1</v>
      </c>
      <c r="AZ284">
        <v>1</v>
      </c>
      <c r="BA284" s="2">
        <f>modelo_tese_H__2[[#This Row],[Vw]]+modelo_tese_H__2[[#This Row],[Vr]]+modelo_tese_H__2[[#This Row],[K]]-modelo_tese_H__2[[#This Row],[E]]</f>
        <v>-3814972204.5812793</v>
      </c>
      <c r="BB284" s="2">
        <f>modelo_tese_H__2[[#This Row],[K]]-modelo_tese_H__2[[#This Row],[Coluna1]]</f>
        <v>8523578552.9759293</v>
      </c>
      <c r="BC284">
        <f>modelo_tese_H__2[[#This Row],[Coluna2]]/modelo_tese_H__2[[#This Row],[Coluna1]]</f>
        <v>-2.234243946191858</v>
      </c>
      <c r="BD284" s="8">
        <f>modelo_tese_H__2[[#This Row],[D]]-modelo_tese_H__2[[#This Row],[Dw]]-modelo_tese_H__2[[#This Row],[Dr]]</f>
        <v>-1.049041748046875E-5</v>
      </c>
    </row>
    <row r="285" spans="1:56" x14ac:dyDescent="0.25">
      <c r="A285">
        <v>284</v>
      </c>
      <c r="B285">
        <v>284</v>
      </c>
      <c r="C285">
        <v>1167909774.3452201</v>
      </c>
      <c r="D285">
        <v>541109268.62244296</v>
      </c>
      <c r="E285">
        <v>481587249.07397401</v>
      </c>
      <c r="F285">
        <v>60517341.1846468</v>
      </c>
      <c r="G285">
        <v>1691934072.7669101</v>
      </c>
      <c r="H285">
        <v>380322488.79222798</v>
      </c>
      <c r="I285">
        <v>922427079.05084896</v>
      </c>
      <c r="J285">
        <v>681900216.59076202</v>
      </c>
      <c r="K285">
        <v>4284823283.5896902</v>
      </c>
      <c r="L285">
        <v>-381317810.428406</v>
      </c>
      <c r="M285">
        <v>4966723500.18046</v>
      </c>
      <c r="N285">
        <v>-7244361126.6768703</v>
      </c>
      <c r="O285">
        <v>854512157.96308601</v>
      </c>
      <c r="P285">
        <v>563978024.25563705</v>
      </c>
      <c r="Q285">
        <v>879976906.95447898</v>
      </c>
      <c r="R285">
        <v>439988453.47724003</v>
      </c>
      <c r="S285">
        <v>439988453.47724003</v>
      </c>
      <c r="T285">
        <v>414523704.48584598</v>
      </c>
      <c r="U285">
        <v>169041009.19147801</v>
      </c>
      <c r="V285">
        <v>3213655653.1206398</v>
      </c>
      <c r="W285">
        <v>561481577.99320996</v>
      </c>
      <c r="X285">
        <v>0.27417609730088499</v>
      </c>
      <c r="Y285">
        <v>4970878513.6136799</v>
      </c>
      <c r="Z285">
        <v>2298422743.9295001</v>
      </c>
      <c r="AA285">
        <v>0.79156197910580905</v>
      </c>
      <c r="AB285">
        <v>2587146345.27179</v>
      </c>
      <c r="AC285">
        <v>1486405103.3064899</v>
      </c>
      <c r="AD285">
        <v>2047886681.2997</v>
      </c>
      <c r="AE285">
        <v>-4030705473.5562301</v>
      </c>
      <c r="AF285">
        <v>-212276801.236927</v>
      </c>
      <c r="AG285">
        <v>5.5594999999999999E-2</v>
      </c>
      <c r="AH285">
        <v>-12211084626.8573</v>
      </c>
      <c r="AI285">
        <v>5512078397.0501499</v>
      </c>
      <c r="AJ285">
        <v>0.06</v>
      </c>
      <c r="AK285">
        <v>0.05</v>
      </c>
      <c r="AL285">
        <v>8.8099999999999998E-2</v>
      </c>
      <c r="AM285">
        <v>3.8100000000000002E-2</v>
      </c>
      <c r="AN285">
        <v>0.89</v>
      </c>
      <c r="AO285">
        <v>0.66</v>
      </c>
      <c r="AP285">
        <v>0.42970000000000003</v>
      </c>
      <c r="AQ285">
        <v>0.57030000000000003</v>
      </c>
      <c r="AR285">
        <v>8.9999999999999993E-3</v>
      </c>
      <c r="AS285">
        <v>0.5</v>
      </c>
      <c r="AT285">
        <v>1.82</v>
      </c>
      <c r="AU285">
        <v>6.3545217126973294E-2</v>
      </c>
      <c r="AV285">
        <v>0.7893</v>
      </c>
      <c r="AW285">
        <v>3</v>
      </c>
      <c r="AX285">
        <v>0.05</v>
      </c>
      <c r="AY285">
        <v>1</v>
      </c>
      <c r="AZ285">
        <v>1</v>
      </c>
      <c r="BA285" s="2">
        <f>modelo_tese_H__2[[#This Row],[Vw]]+modelo_tese_H__2[[#This Row],[Vr]]+modelo_tese_H__2[[#This Row],[K]]-modelo_tese_H__2[[#This Row],[E]]</f>
        <v>-4026550460.1229701</v>
      </c>
      <c r="BB285" s="2">
        <f>modelo_tese_H__2[[#This Row],[K]]-modelo_tese_H__2[[#This Row],[Coluna1]]</f>
        <v>8997428973.7366505</v>
      </c>
      <c r="BC285">
        <f>modelo_tese_H__2[[#This Row],[Coluna2]]/modelo_tese_H__2[[#This Row],[Coluna1]]</f>
        <v>-2.2345253245533327</v>
      </c>
      <c r="BD285" s="8">
        <f>modelo_tese_H__2[[#This Row],[D]]-modelo_tese_H__2[[#This Row],[Dw]]-modelo_tese_H__2[[#This Row],[Dr]]</f>
        <v>0</v>
      </c>
    </row>
    <row r="286" spans="1:56" x14ac:dyDescent="0.25">
      <c r="A286">
        <v>285</v>
      </c>
      <c r="B286">
        <v>285</v>
      </c>
      <c r="C286">
        <v>1232927171.5736899</v>
      </c>
      <c r="D286">
        <v>571280903.51567602</v>
      </c>
      <c r="E286">
        <v>508440004.12895203</v>
      </c>
      <c r="F286">
        <v>63881038.729208298</v>
      </c>
      <c r="G286">
        <v>1786060778.71312</v>
      </c>
      <c r="H286">
        <v>401466517.55663103</v>
      </c>
      <c r="I286">
        <v>973787560.41479099</v>
      </c>
      <c r="J286">
        <v>719800857.06786203</v>
      </c>
      <c r="K286">
        <v>4523038034.0415602</v>
      </c>
      <c r="L286">
        <v>-402506656.89911503</v>
      </c>
      <c r="M286">
        <v>5242838891.1094198</v>
      </c>
      <c r="N286">
        <v>-7646867783.5759802</v>
      </c>
      <c r="O286">
        <v>902050898.33995795</v>
      </c>
      <c r="P286">
        <v>595353592.90437198</v>
      </c>
      <c r="Q286">
        <v>928965115.94811904</v>
      </c>
      <c r="R286">
        <v>464482557.97406</v>
      </c>
      <c r="S286">
        <v>464482557.97406</v>
      </c>
      <c r="T286">
        <v>437568340.36589801</v>
      </c>
      <c r="U286">
        <v>178428729.20700499</v>
      </c>
      <c r="V286">
        <v>3392084382.3276501</v>
      </c>
      <c r="W286">
        <v>592751134.20264101</v>
      </c>
      <c r="X286">
        <v>0.27418162210205099</v>
      </c>
      <c r="Y286">
        <v>5247754093.3569298</v>
      </c>
      <c r="Z286">
        <v>2426691320.1580801</v>
      </c>
      <c r="AA286">
        <v>0.79153895081401204</v>
      </c>
      <c r="AB286">
        <v>2731251930.5569701</v>
      </c>
      <c r="AC286">
        <v>1569141153.31916</v>
      </c>
      <c r="AD286">
        <v>2161892287.5218</v>
      </c>
      <c r="AE286">
        <v>-4254783401.2483401</v>
      </c>
      <c r="AF286">
        <v>-224077927.69211</v>
      </c>
      <c r="AG286">
        <v>5.5594999999999999E-2</v>
      </c>
      <c r="AH286">
        <v>-12889706674.6854</v>
      </c>
      <c r="AI286">
        <v>5818775702.4857302</v>
      </c>
      <c r="AJ286">
        <v>0.06</v>
      </c>
      <c r="AK286">
        <v>0.05</v>
      </c>
      <c r="AL286">
        <v>8.8099999999999998E-2</v>
      </c>
      <c r="AM286">
        <v>3.8100000000000002E-2</v>
      </c>
      <c r="AN286">
        <v>0.89</v>
      </c>
      <c r="AO286">
        <v>0.66</v>
      </c>
      <c r="AP286">
        <v>0.42970000000000003</v>
      </c>
      <c r="AQ286">
        <v>0.57030000000000003</v>
      </c>
      <c r="AR286">
        <v>8.9999999999999993E-3</v>
      </c>
      <c r="AS286">
        <v>0.5</v>
      </c>
      <c r="AT286">
        <v>1.82</v>
      </c>
      <c r="AU286">
        <v>6.3545217126973294E-2</v>
      </c>
      <c r="AV286">
        <v>0.7893</v>
      </c>
      <c r="AW286">
        <v>3</v>
      </c>
      <c r="AX286">
        <v>0.05</v>
      </c>
      <c r="AY286">
        <v>1</v>
      </c>
      <c r="AZ286">
        <v>1</v>
      </c>
      <c r="BA286" s="2">
        <f>modelo_tese_H__2[[#This Row],[Vw]]+modelo_tese_H__2[[#This Row],[Vr]]+modelo_tese_H__2[[#This Row],[K]]-modelo_tese_H__2[[#This Row],[E]]</f>
        <v>-4249868199.0008202</v>
      </c>
      <c r="BB286" s="2">
        <f>modelo_tese_H__2[[#This Row],[K]]-modelo_tese_H__2[[#This Row],[Coluna1]]</f>
        <v>9497622292.3577499</v>
      </c>
      <c r="BC286">
        <f>modelo_tese_H__2[[#This Row],[Coluna2]]/modelo_tese_H__2[[#This Row],[Coluna1]]</f>
        <v>-2.2348039627654148</v>
      </c>
      <c r="BD286" s="8">
        <f>modelo_tese_H__2[[#This Row],[D]]-modelo_tese_H__2[[#This Row],[Dw]]-modelo_tese_H__2[[#This Row],[Dr]]</f>
        <v>-1.0013580322265625E-5</v>
      </c>
    </row>
    <row r="287" spans="1:56" x14ac:dyDescent="0.25">
      <c r="A287">
        <v>286</v>
      </c>
      <c r="B287">
        <v>286</v>
      </c>
      <c r="C287">
        <v>1301563147.9456601</v>
      </c>
      <c r="D287">
        <v>603133921.98952699</v>
      </c>
      <c r="E287">
        <v>536789190.57067901</v>
      </c>
      <c r="F287">
        <v>67431706.638611495</v>
      </c>
      <c r="G287">
        <v>1885423323.3429101</v>
      </c>
      <c r="H287">
        <v>423786048.60019201</v>
      </c>
      <c r="I287">
        <v>1028006945.80948</v>
      </c>
      <c r="J287">
        <v>759808151.05218804</v>
      </c>
      <c r="K287">
        <v>4774496333.5447702</v>
      </c>
      <c r="L287">
        <v>-424873023.819956</v>
      </c>
      <c r="M287">
        <v>5534304484.5969496</v>
      </c>
      <c r="N287">
        <v>-8071740807.3959398</v>
      </c>
      <c r="O287">
        <v>952234001.68833804</v>
      </c>
      <c r="P287">
        <v>628474441.11430299</v>
      </c>
      <c r="Q287">
        <v>980679790.76319695</v>
      </c>
      <c r="R287">
        <v>490339895.38159901</v>
      </c>
      <c r="S287">
        <v>490339895.38159901</v>
      </c>
      <c r="T287">
        <v>461894106.30673999</v>
      </c>
      <c r="U287">
        <v>188337904.17056</v>
      </c>
      <c r="V287">
        <v>3580422286.49821</v>
      </c>
      <c r="W287">
        <v>625761551.78507304</v>
      </c>
      <c r="X287">
        <v>0.27418709076566999</v>
      </c>
      <c r="Y287">
        <v>5540045971.8506699</v>
      </c>
      <c r="Z287">
        <v>2562112976.5615602</v>
      </c>
      <c r="AA287">
        <v>0.79151615616063697</v>
      </c>
      <c r="AB287">
        <v>2883381369.9763398</v>
      </c>
      <c r="AC287">
        <v>1656481386.92379</v>
      </c>
      <c r="AD287">
        <v>2282242938.7088599</v>
      </c>
      <c r="AE287">
        <v>-4491318520.8977299</v>
      </c>
      <c r="AF287">
        <v>-236535119.649396</v>
      </c>
      <c r="AG287">
        <v>5.5594999999999999E-2</v>
      </c>
      <c r="AH287">
        <v>-13606045291.992901</v>
      </c>
      <c r="AI287">
        <v>6142535263.0597696</v>
      </c>
      <c r="AJ287">
        <v>0.06</v>
      </c>
      <c r="AK287">
        <v>0.05</v>
      </c>
      <c r="AL287">
        <v>8.8099999999999998E-2</v>
      </c>
      <c r="AM287">
        <v>3.8100000000000002E-2</v>
      </c>
      <c r="AN287">
        <v>0.89</v>
      </c>
      <c r="AO287">
        <v>0.66</v>
      </c>
      <c r="AP287">
        <v>0.42970000000000003</v>
      </c>
      <c r="AQ287">
        <v>0.57030000000000003</v>
      </c>
      <c r="AR287">
        <v>8.9999999999999993E-3</v>
      </c>
      <c r="AS287">
        <v>0.5</v>
      </c>
      <c r="AT287">
        <v>1.82</v>
      </c>
      <c r="AU287">
        <v>6.3545217126973294E-2</v>
      </c>
      <c r="AV287">
        <v>0.7893</v>
      </c>
      <c r="AW287">
        <v>3</v>
      </c>
      <c r="AX287">
        <v>0.05</v>
      </c>
      <c r="AY287">
        <v>1</v>
      </c>
      <c r="AZ287">
        <v>1</v>
      </c>
      <c r="BA287" s="2">
        <f>modelo_tese_H__2[[#This Row],[Vw]]+modelo_tese_H__2[[#This Row],[Vr]]+modelo_tese_H__2[[#This Row],[K]]-modelo_tese_H__2[[#This Row],[E]]</f>
        <v>-4485577033.644022</v>
      </c>
      <c r="BB287" s="2">
        <f>modelo_tese_H__2[[#This Row],[K]]-modelo_tese_H__2[[#This Row],[Coluna1]]</f>
        <v>10025623005.494692</v>
      </c>
      <c r="BC287">
        <f>modelo_tese_H__2[[#This Row],[Coluna2]]/modelo_tese_H__2[[#This Row],[Coluna1]]</f>
        <v>-2.2350798861099954</v>
      </c>
      <c r="BD287" s="8">
        <f>modelo_tese_H__2[[#This Row],[D]]-modelo_tese_H__2[[#This Row],[Dw]]-modelo_tese_H__2[[#This Row],[Dr]]</f>
        <v>0</v>
      </c>
    </row>
    <row r="288" spans="1:56" x14ac:dyDescent="0.25">
      <c r="A288">
        <v>287</v>
      </c>
      <c r="B288">
        <v>287</v>
      </c>
      <c r="C288">
        <v>1374019055.40977</v>
      </c>
      <c r="D288">
        <v>636761980.06180203</v>
      </c>
      <c r="E288">
        <v>566718162.25500405</v>
      </c>
      <c r="F288">
        <v>71179737.983176202</v>
      </c>
      <c r="G288">
        <v>1990312921.91853</v>
      </c>
      <c r="H288">
        <v>447346433.97211999</v>
      </c>
      <c r="I288">
        <v>1085244334.2103</v>
      </c>
      <c r="J288">
        <v>802039198.48027599</v>
      </c>
      <c r="K288">
        <v>5039934457.2088299</v>
      </c>
      <c r="L288">
        <v>-448482354.148498</v>
      </c>
      <c r="M288">
        <v>5841973655.6891098</v>
      </c>
      <c r="N288">
        <v>-8520223161.5444403</v>
      </c>
      <c r="O288">
        <v>1005208546.4234999</v>
      </c>
      <c r="P288">
        <v>663437640.63951004</v>
      </c>
      <c r="Q288">
        <v>1035272642.66102</v>
      </c>
      <c r="R288">
        <v>517636321.33050799</v>
      </c>
      <c r="S288">
        <v>517636321.33050799</v>
      </c>
      <c r="T288">
        <v>487572225.09299201</v>
      </c>
      <c r="U288">
        <v>198797503.89352399</v>
      </c>
      <c r="V288">
        <v>3779219790.3917298</v>
      </c>
      <c r="W288">
        <v>660609723.22097301</v>
      </c>
      <c r="X288">
        <v>0.27419250385910199</v>
      </c>
      <c r="Y288">
        <v>5848612270.8969803</v>
      </c>
      <c r="Z288">
        <v>2705086378.4520202</v>
      </c>
      <c r="AA288">
        <v>0.79149359279125797</v>
      </c>
      <c r="AB288">
        <v>3043981303.2146602</v>
      </c>
      <c r="AC288">
        <v>1748681974.8498099</v>
      </c>
      <c r="AD288">
        <v>2409291698.0707798</v>
      </c>
      <c r="AE288">
        <v>-4741003371.15271</v>
      </c>
      <c r="AF288">
        <v>-249684850.25497299</v>
      </c>
      <c r="AG288">
        <v>5.5594999999999999E-2</v>
      </c>
      <c r="AH288">
        <v>-14362196817.2335</v>
      </c>
      <c r="AI288">
        <v>6484306168.8437595</v>
      </c>
      <c r="AJ288">
        <v>0.06</v>
      </c>
      <c r="AK288">
        <v>0.05</v>
      </c>
      <c r="AL288">
        <v>8.8099999999999998E-2</v>
      </c>
      <c r="AM288">
        <v>3.8100000000000002E-2</v>
      </c>
      <c r="AN288">
        <v>0.89</v>
      </c>
      <c r="AO288">
        <v>0.66</v>
      </c>
      <c r="AP288">
        <v>0.42970000000000003</v>
      </c>
      <c r="AQ288">
        <v>0.57030000000000003</v>
      </c>
      <c r="AR288">
        <v>8.9999999999999993E-3</v>
      </c>
      <c r="AS288">
        <v>0.5</v>
      </c>
      <c r="AT288">
        <v>1.82</v>
      </c>
      <c r="AU288">
        <v>6.3545217126973294E-2</v>
      </c>
      <c r="AV288">
        <v>0.7893</v>
      </c>
      <c r="AW288">
        <v>3</v>
      </c>
      <c r="AX288">
        <v>0.05</v>
      </c>
      <c r="AY288">
        <v>1</v>
      </c>
      <c r="AZ288">
        <v>1</v>
      </c>
      <c r="BA288" s="2">
        <f>modelo_tese_H__2[[#This Row],[Vw]]+modelo_tese_H__2[[#This Row],[Vr]]+modelo_tese_H__2[[#This Row],[K]]-modelo_tese_H__2[[#This Row],[E]]</f>
        <v>-4734364755.9447803</v>
      </c>
      <c r="BB288" s="2">
        <f>modelo_tese_H__2[[#This Row],[K]]-modelo_tese_H__2[[#This Row],[Coluna1]]</f>
        <v>10582977026.841761</v>
      </c>
      <c r="BC288">
        <f>modelo_tese_H__2[[#This Row],[Coluna2]]/modelo_tese_H__2[[#This Row],[Coluna1]]</f>
        <v>-2.2353531196668102</v>
      </c>
      <c r="BD288" s="8">
        <f>modelo_tese_H__2[[#This Row],[D]]-modelo_tese_H__2[[#This Row],[Dw]]-modelo_tese_H__2[[#This Row],[Dr]]</f>
        <v>0</v>
      </c>
    </row>
    <row r="289" spans="1:56" x14ac:dyDescent="0.25">
      <c r="A289">
        <v>288</v>
      </c>
      <c r="B289">
        <v>288</v>
      </c>
      <c r="C289">
        <v>1450507448.0309801</v>
      </c>
      <c r="D289">
        <v>672263948.62182903</v>
      </c>
      <c r="E289">
        <v>598314914.27342796</v>
      </c>
      <c r="F289">
        <v>75136103.566445693</v>
      </c>
      <c r="G289">
        <v>2101036985.60234</v>
      </c>
      <c r="H289">
        <v>472216658.96880001</v>
      </c>
      <c r="I289">
        <v>1145667676.80867</v>
      </c>
      <c r="J289">
        <v>846617608.58462298</v>
      </c>
      <c r="K289">
        <v>5320129613.3579702</v>
      </c>
      <c r="L289">
        <v>-473403728.18684399</v>
      </c>
      <c r="M289">
        <v>6166747221.9426003</v>
      </c>
      <c r="N289">
        <v>-8993626889.7312794</v>
      </c>
      <c r="O289">
        <v>1061129790.70825</v>
      </c>
      <c r="P289">
        <v>700345661.86744702</v>
      </c>
      <c r="Q289">
        <v>1092903823.28409</v>
      </c>
      <c r="R289">
        <v>546451911.64204299</v>
      </c>
      <c r="S289">
        <v>546451911.64204299</v>
      </c>
      <c r="T289">
        <v>514677879.06620997</v>
      </c>
      <c r="U289">
        <v>209838107.8439</v>
      </c>
      <c r="V289">
        <v>3989057898.23563</v>
      </c>
      <c r="W289">
        <v>697397932.63894904</v>
      </c>
      <c r="X289">
        <v>0.274197861944035</v>
      </c>
      <c r="Y289">
        <v>6174358866.8902998</v>
      </c>
      <c r="Z289">
        <v>2856032399.4489298</v>
      </c>
      <c r="AA289">
        <v>0.79147125837485099</v>
      </c>
      <c r="AB289">
        <v>3213523225.76757</v>
      </c>
      <c r="AC289">
        <v>1846013338.67612</v>
      </c>
      <c r="AD289">
        <v>2543411271.3150702</v>
      </c>
      <c r="AE289">
        <v>-5004568991.4956503</v>
      </c>
      <c r="AF289">
        <v>-263565620.34294501</v>
      </c>
      <c r="AG289">
        <v>5.5594999999999999E-2</v>
      </c>
      <c r="AH289">
        <v>-15160374111.673901</v>
      </c>
      <c r="AI289">
        <v>6845090297.6845598</v>
      </c>
      <c r="AJ289">
        <v>0.06</v>
      </c>
      <c r="AK289">
        <v>0.05</v>
      </c>
      <c r="AL289">
        <v>8.8099999999999998E-2</v>
      </c>
      <c r="AM289">
        <v>3.8100000000000002E-2</v>
      </c>
      <c r="AN289">
        <v>0.89</v>
      </c>
      <c r="AO289">
        <v>0.66</v>
      </c>
      <c r="AP289">
        <v>0.42970000000000003</v>
      </c>
      <c r="AQ289">
        <v>0.57030000000000003</v>
      </c>
      <c r="AR289">
        <v>8.9999999999999993E-3</v>
      </c>
      <c r="AS289">
        <v>0.5</v>
      </c>
      <c r="AT289">
        <v>1.82</v>
      </c>
      <c r="AU289">
        <v>6.3545217126973294E-2</v>
      </c>
      <c r="AV289">
        <v>0.7893</v>
      </c>
      <c r="AW289">
        <v>3</v>
      </c>
      <c r="AX289">
        <v>0.05</v>
      </c>
      <c r="AY289">
        <v>1</v>
      </c>
      <c r="AZ289">
        <v>1</v>
      </c>
      <c r="BA289" s="2">
        <f>modelo_tese_H__2[[#This Row],[Vw]]+modelo_tese_H__2[[#This Row],[Vr]]+modelo_tese_H__2[[#This Row],[K]]-modelo_tese_H__2[[#This Row],[E]]</f>
        <v>-4996957346.5479708</v>
      </c>
      <c r="BB289" s="2">
        <f>modelo_tese_H__2[[#This Row],[K]]-modelo_tese_H__2[[#This Row],[Coluna1]]</f>
        <v>11171316213.438271</v>
      </c>
      <c r="BC289">
        <f>modelo_tese_H__2[[#This Row],[Coluna2]]/modelo_tese_H__2[[#This Row],[Coluna1]]</f>
        <v>-2.2356236883141918</v>
      </c>
      <c r="BD289" s="8">
        <f>modelo_tese_H__2[[#This Row],[D]]-modelo_tese_H__2[[#This Row],[Dw]]-modelo_tese_H__2[[#This Row],[Dr]]</f>
        <v>0</v>
      </c>
    </row>
    <row r="290" spans="1:56" x14ac:dyDescent="0.25">
      <c r="A290">
        <v>289</v>
      </c>
      <c r="B290">
        <v>289</v>
      </c>
      <c r="C290">
        <v>1531252705.1295099</v>
      </c>
      <c r="D290">
        <v>709744203.713377</v>
      </c>
      <c r="E290">
        <v>631672341.30490506</v>
      </c>
      <c r="F290">
        <v>79312384.041143894</v>
      </c>
      <c r="G290">
        <v>2217920022.12778</v>
      </c>
      <c r="H290">
        <v>498469544.12417001</v>
      </c>
      <c r="I290">
        <v>1209454269.4702201</v>
      </c>
      <c r="J290">
        <v>893673861.738693</v>
      </c>
      <c r="K290">
        <v>5615902219.2132101</v>
      </c>
      <c r="L290">
        <v>-499710065.75684297</v>
      </c>
      <c r="M290">
        <v>6509576080.9518995</v>
      </c>
      <c r="N290">
        <v>-9493336955.4881306</v>
      </c>
      <c r="O290">
        <v>1120161627.33726</v>
      </c>
      <c r="P290">
        <v>739306674.04259396</v>
      </c>
      <c r="Q290">
        <v>1153742394.1682401</v>
      </c>
      <c r="R290">
        <v>576871197.08412099</v>
      </c>
      <c r="S290">
        <v>576871197.08412099</v>
      </c>
      <c r="T290">
        <v>543290430.25314295</v>
      </c>
      <c r="U290">
        <v>221491994.59385699</v>
      </c>
      <c r="V290">
        <v>4210549892.8294902</v>
      </c>
      <c r="W290">
        <v>736234155.784935</v>
      </c>
      <c r="X290">
        <v>0.27420316557653901</v>
      </c>
      <c r="Y290">
        <v>6518242047.85884</v>
      </c>
      <c r="Z290">
        <v>3015395358.1497402</v>
      </c>
      <c r="AA290">
        <v>0.79144915060356202</v>
      </c>
      <c r="AB290">
        <v>3392504871.9177499</v>
      </c>
      <c r="AC290">
        <v>1948760943.51281</v>
      </c>
      <c r="AD290">
        <v>2684995099.29775</v>
      </c>
      <c r="AE290">
        <v>-5282787062.6586399</v>
      </c>
      <c r="AF290">
        <v>-278218071.16298598</v>
      </c>
      <c r="AG290">
        <v>5.5594999999999999E-2</v>
      </c>
      <c r="AH290">
        <v>-16002913036.440001</v>
      </c>
      <c r="AI290">
        <v>7225945250.9792299</v>
      </c>
      <c r="AJ290">
        <v>0.06</v>
      </c>
      <c r="AK290">
        <v>0.05</v>
      </c>
      <c r="AL290">
        <v>8.8099999999999998E-2</v>
      </c>
      <c r="AM290">
        <v>3.8100000000000002E-2</v>
      </c>
      <c r="AN290">
        <v>0.89</v>
      </c>
      <c r="AO290">
        <v>0.66</v>
      </c>
      <c r="AP290">
        <v>0.42970000000000003</v>
      </c>
      <c r="AQ290">
        <v>0.57030000000000003</v>
      </c>
      <c r="AR290">
        <v>8.9999999999999993E-3</v>
      </c>
      <c r="AS290">
        <v>0.5</v>
      </c>
      <c r="AT290">
        <v>1.82</v>
      </c>
      <c r="AU290">
        <v>6.3545217126973294E-2</v>
      </c>
      <c r="AV290">
        <v>0.7893</v>
      </c>
      <c r="AW290">
        <v>3</v>
      </c>
      <c r="AX290">
        <v>0.05</v>
      </c>
      <c r="AY290">
        <v>1</v>
      </c>
      <c r="AZ290">
        <v>1</v>
      </c>
      <c r="BA290" s="2">
        <f>modelo_tese_H__2[[#This Row],[Vw]]+modelo_tese_H__2[[#This Row],[Vr]]+modelo_tese_H__2[[#This Row],[K]]-modelo_tese_H__2[[#This Row],[E]]</f>
        <v>-5274121095.7516699</v>
      </c>
      <c r="BB290" s="2">
        <f>modelo_tese_H__2[[#This Row],[K]]-modelo_tese_H__2[[#This Row],[Coluna1]]</f>
        <v>11792363143.61051</v>
      </c>
      <c r="BC290">
        <f>modelo_tese_H__2[[#This Row],[Coluna2]]/modelo_tese_H__2[[#This Row],[Coluna1]]</f>
        <v>-2.2358916167300964</v>
      </c>
      <c r="BD290" s="8">
        <f>modelo_tese_H__2[[#This Row],[D]]-modelo_tese_H__2[[#This Row],[Dw]]-modelo_tese_H__2[[#This Row],[Dr]]</f>
        <v>0</v>
      </c>
    </row>
    <row r="291" spans="1:56" x14ac:dyDescent="0.25">
      <c r="A291">
        <v>290</v>
      </c>
      <c r="B291">
        <v>290</v>
      </c>
      <c r="C291">
        <v>1616491689.0790401</v>
      </c>
      <c r="D291">
        <v>749312932.97214901</v>
      </c>
      <c r="E291">
        <v>666888510.34521198</v>
      </c>
      <c r="F291">
        <v>83720803.810478702</v>
      </c>
      <c r="G291">
        <v>2341304586.55479</v>
      </c>
      <c r="H291">
        <v>526181958.42975402</v>
      </c>
      <c r="I291">
        <v>1276791272.5854399</v>
      </c>
      <c r="J291">
        <v>943345691.41692698</v>
      </c>
      <c r="K291">
        <v>5928118303.0909405</v>
      </c>
      <c r="L291">
        <v>-527478339.61329597</v>
      </c>
      <c r="M291">
        <v>6871463994.5078602</v>
      </c>
      <c r="N291">
        <v>-10020815295.1014</v>
      </c>
      <c r="O291">
        <v>1182477063.9165599</v>
      </c>
      <c r="P291">
        <v>780434862.18492794</v>
      </c>
      <c r="Q291">
        <v>1217966822.36939</v>
      </c>
      <c r="R291">
        <v>608983411.18469596</v>
      </c>
      <c r="S291">
        <v>608983411.18469596</v>
      </c>
      <c r="T291">
        <v>573493652.73186195</v>
      </c>
      <c r="U291">
        <v>233793236.23826599</v>
      </c>
      <c r="V291">
        <v>4444343129.0677605</v>
      </c>
      <c r="W291">
        <v>777232376.67805898</v>
      </c>
      <c r="X291">
        <v>0.27420841530712298</v>
      </c>
      <c r="Y291">
        <v>6881271318.31954</v>
      </c>
      <c r="Z291">
        <v>3183644323.6431098</v>
      </c>
      <c r="AA291">
        <v>0.79142726719249701</v>
      </c>
      <c r="AB291">
        <v>3581451674.6477199</v>
      </c>
      <c r="AC291">
        <v>2057226134.77037</v>
      </c>
      <c r="AD291">
        <v>2834458511.4484301</v>
      </c>
      <c r="AE291">
        <v>-5576472166.0336704</v>
      </c>
      <c r="AF291">
        <v>-293685103.37502998</v>
      </c>
      <c r="AG291">
        <v>5.5594999999999999E-2</v>
      </c>
      <c r="AH291">
        <v>-16892279289.609301</v>
      </c>
      <c r="AI291">
        <v>7627987452.7108603</v>
      </c>
      <c r="AJ291">
        <v>0.06</v>
      </c>
      <c r="AK291">
        <v>0.05</v>
      </c>
      <c r="AL291">
        <v>8.8099999999999998E-2</v>
      </c>
      <c r="AM291">
        <v>3.8100000000000002E-2</v>
      </c>
      <c r="AN291">
        <v>0.89</v>
      </c>
      <c r="AO291">
        <v>0.66</v>
      </c>
      <c r="AP291">
        <v>0.42970000000000003</v>
      </c>
      <c r="AQ291">
        <v>0.57030000000000003</v>
      </c>
      <c r="AR291">
        <v>8.9999999999999993E-3</v>
      </c>
      <c r="AS291">
        <v>0.5</v>
      </c>
      <c r="AT291">
        <v>1.82</v>
      </c>
      <c r="AU291">
        <v>6.3545217126973294E-2</v>
      </c>
      <c r="AV291">
        <v>0.7893</v>
      </c>
      <c r="AW291">
        <v>3</v>
      </c>
      <c r="AX291">
        <v>0.05</v>
      </c>
      <c r="AY291">
        <v>1</v>
      </c>
      <c r="AZ291">
        <v>1</v>
      </c>
      <c r="BA291" s="2">
        <f>modelo_tese_H__2[[#This Row],[Vw]]+modelo_tese_H__2[[#This Row],[Vr]]+modelo_tese_H__2[[#This Row],[K]]-modelo_tese_H__2[[#This Row],[E]]</f>
        <v>-5566664842.2220116</v>
      </c>
      <c r="BB291" s="2">
        <f>modelo_tese_H__2[[#This Row],[K]]-modelo_tese_H__2[[#This Row],[Coluna1]]</f>
        <v>12447936160.541552</v>
      </c>
      <c r="BC291">
        <f>modelo_tese_H__2[[#This Row],[Coluna2]]/modelo_tese_H__2[[#This Row],[Coluna1]]</f>
        <v>-2.2361569293927142</v>
      </c>
      <c r="BD291" s="8">
        <f>modelo_tese_H__2[[#This Row],[D]]-modelo_tese_H__2[[#This Row],[Dw]]-modelo_tese_H__2[[#This Row],[Dr]]</f>
        <v>-3.0517578125E-5</v>
      </c>
    </row>
    <row r="292" spans="1:56" x14ac:dyDescent="0.25">
      <c r="A292">
        <v>291</v>
      </c>
      <c r="B292">
        <v>291</v>
      </c>
      <c r="C292">
        <v>1706474439.6812799</v>
      </c>
      <c r="D292">
        <v>791086459.10574496</v>
      </c>
      <c r="E292">
        <v>704066948.60411298</v>
      </c>
      <c r="F292">
        <v>88374266.814119801</v>
      </c>
      <c r="G292">
        <v>2471552284.8865099</v>
      </c>
      <c r="H292">
        <v>555435044.408656</v>
      </c>
      <c r="I292">
        <v>1347876259.82689</v>
      </c>
      <c r="J292">
        <v>995778487.388062</v>
      </c>
      <c r="K292">
        <v>6257692040.1518297</v>
      </c>
      <c r="L292">
        <v>-556789800.72114396</v>
      </c>
      <c r="M292">
        <v>7253470527.5398903</v>
      </c>
      <c r="N292">
        <v>-10577605095.822599</v>
      </c>
      <c r="O292">
        <v>1248258729.74066</v>
      </c>
      <c r="P292">
        <v>823850761.62883604</v>
      </c>
      <c r="Q292">
        <v>1285765503.64904</v>
      </c>
      <c r="R292">
        <v>642882751.82451797</v>
      </c>
      <c r="S292">
        <v>642882751.82451797</v>
      </c>
      <c r="T292">
        <v>605375977.91614294</v>
      </c>
      <c r="U292">
        <v>246777798.061753</v>
      </c>
      <c r="V292">
        <v>4691120927.1295099</v>
      </c>
      <c r="W292">
        <v>820512921.87459004</v>
      </c>
      <c r="X292">
        <v>0.27421361168077402</v>
      </c>
      <c r="Y292">
        <v>7264512360.1618996</v>
      </c>
      <c r="Z292">
        <v>3361274493.6931801</v>
      </c>
      <c r="AA292">
        <v>0.79140560587445297</v>
      </c>
      <c r="AB292">
        <v>3780918306.76898</v>
      </c>
      <c r="AC292">
        <v>2171727021.45573</v>
      </c>
      <c r="AD292">
        <v>2992239943.3303199</v>
      </c>
      <c r="AE292">
        <v>-5886484168.6930599</v>
      </c>
      <c r="AF292">
        <v>-310012002.65939099</v>
      </c>
      <c r="AG292">
        <v>5.5594999999999999E-2</v>
      </c>
      <c r="AH292">
        <v>-17831075623.362499</v>
      </c>
      <c r="AI292">
        <v>8052395420.82269</v>
      </c>
      <c r="AJ292">
        <v>0.06</v>
      </c>
      <c r="AK292">
        <v>0.05</v>
      </c>
      <c r="AL292">
        <v>8.8099999999999998E-2</v>
      </c>
      <c r="AM292">
        <v>3.8100000000000002E-2</v>
      </c>
      <c r="AN292">
        <v>0.89</v>
      </c>
      <c r="AO292">
        <v>0.66</v>
      </c>
      <c r="AP292">
        <v>0.42970000000000003</v>
      </c>
      <c r="AQ292">
        <v>0.57030000000000003</v>
      </c>
      <c r="AR292">
        <v>8.9999999999999993E-3</v>
      </c>
      <c r="AS292">
        <v>0.5</v>
      </c>
      <c r="AT292">
        <v>1.82</v>
      </c>
      <c r="AU292">
        <v>6.3545217126973294E-2</v>
      </c>
      <c r="AV292">
        <v>0.7893</v>
      </c>
      <c r="AW292">
        <v>3</v>
      </c>
      <c r="AX292">
        <v>0.05</v>
      </c>
      <c r="AY292">
        <v>1</v>
      </c>
      <c r="AZ292">
        <v>1</v>
      </c>
      <c r="BA292" s="2">
        <f>modelo_tese_H__2[[#This Row],[Vw]]+modelo_tese_H__2[[#This Row],[Vr]]+modelo_tese_H__2[[#This Row],[K]]-modelo_tese_H__2[[#This Row],[E]]</f>
        <v>-5875442336.0710907</v>
      </c>
      <c r="BB292" s="2">
        <f>modelo_tese_H__2[[#This Row],[K]]-modelo_tese_H__2[[#This Row],[Coluna1]]</f>
        <v>13139954696.23299</v>
      </c>
      <c r="BC292">
        <f>modelo_tese_H__2[[#This Row],[Coluna2]]/modelo_tese_H__2[[#This Row],[Coluna1]]</f>
        <v>-2.2364196505789691</v>
      </c>
      <c r="BD292" s="8">
        <f>modelo_tese_H__2[[#This Row],[D]]-modelo_tese_H__2[[#This Row],[Dw]]-modelo_tese_H__2[[#This Row],[Dr]]</f>
        <v>2.956390380859375E-5</v>
      </c>
    </row>
    <row r="293" spans="1:56" x14ac:dyDescent="0.25">
      <c r="A293">
        <v>292</v>
      </c>
      <c r="B293">
        <v>292</v>
      </c>
      <c r="C293">
        <v>1801464907.21562</v>
      </c>
      <c r="D293">
        <v>835187581.42929399</v>
      </c>
      <c r="E293">
        <v>743316947.47207201</v>
      </c>
      <c r="F293">
        <v>93286394.303156406</v>
      </c>
      <c r="G293">
        <v>2609044833.5352001</v>
      </c>
      <c r="H293">
        <v>586314455.70255494</v>
      </c>
      <c r="I293">
        <v>1422917797.4777801</v>
      </c>
      <c r="J293">
        <v>1051125721.32173</v>
      </c>
      <c r="K293">
        <v>6605588429.1246004</v>
      </c>
      <c r="L293">
        <v>-587730216.04848897</v>
      </c>
      <c r="M293">
        <v>7656714150.4463301</v>
      </c>
      <c r="N293">
        <v>-11165335311.871099</v>
      </c>
      <c r="O293">
        <v>1317699410.8763599</v>
      </c>
      <c r="P293">
        <v>869681611.17840004</v>
      </c>
      <c r="Q293">
        <v>1357337314.8002</v>
      </c>
      <c r="R293">
        <v>678668657.40009904</v>
      </c>
      <c r="S293">
        <v>678668657.40009904</v>
      </c>
      <c r="T293">
        <v>639030753.476264</v>
      </c>
      <c r="U293">
        <v>260483643.73842701</v>
      </c>
      <c r="V293">
        <v>4951604570.8679399</v>
      </c>
      <c r="W293">
        <v>866202813.359635</v>
      </c>
      <c r="X293">
        <v>0.27421875523705103</v>
      </c>
      <c r="Y293">
        <v>7669090158.2734699</v>
      </c>
      <c r="Z293">
        <v>3548808649.65272</v>
      </c>
      <c r="AA293">
        <v>0.79138416442045401</v>
      </c>
      <c r="AB293">
        <v>3991490307.78127</v>
      </c>
      <c r="AC293">
        <v>2292599408.6561799</v>
      </c>
      <c r="AD293">
        <v>3158802222.01582</v>
      </c>
      <c r="AE293">
        <v>-6213730741.0031204</v>
      </c>
      <c r="AF293">
        <v>-327246572.31006199</v>
      </c>
      <c r="AG293">
        <v>5.5594999999999999E-2</v>
      </c>
      <c r="AH293">
        <v>-18822049462.317402</v>
      </c>
      <c r="AI293">
        <v>8500413220.5206499</v>
      </c>
      <c r="AJ293">
        <v>0.06</v>
      </c>
      <c r="AK293">
        <v>0.05</v>
      </c>
      <c r="AL293">
        <v>8.8099999999999998E-2</v>
      </c>
      <c r="AM293">
        <v>3.8100000000000002E-2</v>
      </c>
      <c r="AN293">
        <v>0.89</v>
      </c>
      <c r="AO293">
        <v>0.66</v>
      </c>
      <c r="AP293">
        <v>0.42970000000000003</v>
      </c>
      <c r="AQ293">
        <v>0.57030000000000003</v>
      </c>
      <c r="AR293">
        <v>8.9999999999999993E-3</v>
      </c>
      <c r="AS293">
        <v>0.5</v>
      </c>
      <c r="AT293">
        <v>1.82</v>
      </c>
      <c r="AU293">
        <v>6.3545217126973294E-2</v>
      </c>
      <c r="AV293">
        <v>0.7893</v>
      </c>
      <c r="AW293">
        <v>3</v>
      </c>
      <c r="AX293">
        <v>0.05</v>
      </c>
      <c r="AY293">
        <v>1</v>
      </c>
      <c r="AZ293">
        <v>1</v>
      </c>
      <c r="BA293" s="2">
        <f>modelo_tese_H__2[[#This Row],[Vw]]+modelo_tese_H__2[[#This Row],[Vr]]+modelo_tese_H__2[[#This Row],[K]]-modelo_tese_H__2[[#This Row],[E]]</f>
        <v>-6201354733.1760025</v>
      </c>
      <c r="BB293" s="2">
        <f>modelo_tese_H__2[[#This Row],[K]]-modelo_tese_H__2[[#This Row],[Coluna1]]</f>
        <v>13870444891.449472</v>
      </c>
      <c r="BC293">
        <f>modelo_tese_H__2[[#This Row],[Coluna2]]/modelo_tese_H__2[[#This Row],[Coluna1]]</f>
        <v>-2.2366798043732894</v>
      </c>
      <c r="BD293" s="8">
        <f>modelo_tese_H__2[[#This Row],[D]]-modelo_tese_H__2[[#This Row],[Dw]]-modelo_tese_H__2[[#This Row],[Dr]]</f>
        <v>3.910064697265625E-5</v>
      </c>
    </row>
    <row r="294" spans="1:56" x14ac:dyDescent="0.25">
      <c r="A294">
        <v>293</v>
      </c>
      <c r="B294">
        <v>293</v>
      </c>
      <c r="C294">
        <v>1901741726.15396</v>
      </c>
      <c r="D294">
        <v>881745936.300107</v>
      </c>
      <c r="E294">
        <v>784753883.30709505</v>
      </c>
      <c r="F294">
        <v>98471564.715763405</v>
      </c>
      <c r="G294">
        <v>2754185177.6223602</v>
      </c>
      <c r="H294">
        <v>618910607.86733902</v>
      </c>
      <c r="I294">
        <v>1502136055.8901999</v>
      </c>
      <c r="J294">
        <v>1109549396.05514</v>
      </c>
      <c r="K294">
        <v>6972826117.8422899</v>
      </c>
      <c r="L294">
        <v>-620390119.59009099</v>
      </c>
      <c r="M294">
        <v>8082375513.8974304</v>
      </c>
      <c r="N294">
        <v>-11785725431.4611</v>
      </c>
      <c r="O294">
        <v>1391002614.9607899</v>
      </c>
      <c r="P294">
        <v>918061725.87412095</v>
      </c>
      <c r="Q294">
        <v>1432892196.6129401</v>
      </c>
      <c r="R294">
        <v>716446098.30646801</v>
      </c>
      <c r="S294">
        <v>716446098.30646801</v>
      </c>
      <c r="T294">
        <v>674556516.65432203</v>
      </c>
      <c r="U294">
        <v>274950846.39055699</v>
      </c>
      <c r="V294">
        <v>5226555417.2584896</v>
      </c>
      <c r="W294">
        <v>914436141.00258005</v>
      </c>
      <c r="X294">
        <v>0.27422384651010101</v>
      </c>
      <c r="Y294">
        <v>8096192300.0022297</v>
      </c>
      <c r="Z294">
        <v>3746798692.3488302</v>
      </c>
      <c r="AA294">
        <v>0.79136294060755497</v>
      </c>
      <c r="AB294">
        <v>4213785801.2491598</v>
      </c>
      <c r="AC294">
        <v>2420197781.7643199</v>
      </c>
      <c r="AD294">
        <v>3334633922.7669001</v>
      </c>
      <c r="AE294">
        <v>-6559170014.2026501</v>
      </c>
      <c r="AF294">
        <v>-345439273.199534</v>
      </c>
      <c r="AG294">
        <v>5.5594999999999999E-2</v>
      </c>
      <c r="AH294">
        <v>-19868100945.358601</v>
      </c>
      <c r="AI294">
        <v>8973354109.6073208</v>
      </c>
      <c r="AJ294">
        <v>0.06</v>
      </c>
      <c r="AK294">
        <v>0.05</v>
      </c>
      <c r="AL294">
        <v>8.8099999999999998E-2</v>
      </c>
      <c r="AM294">
        <v>3.8100000000000002E-2</v>
      </c>
      <c r="AN294">
        <v>0.89</v>
      </c>
      <c r="AO294">
        <v>0.66</v>
      </c>
      <c r="AP294">
        <v>0.42970000000000003</v>
      </c>
      <c r="AQ294">
        <v>0.57030000000000003</v>
      </c>
      <c r="AR294">
        <v>8.9999999999999993E-3</v>
      </c>
      <c r="AS294">
        <v>0.5</v>
      </c>
      <c r="AT294">
        <v>1.82</v>
      </c>
      <c r="AU294">
        <v>6.3545217126973294E-2</v>
      </c>
      <c r="AV294">
        <v>0.7893</v>
      </c>
      <c r="AW294">
        <v>3</v>
      </c>
      <c r="AX294">
        <v>0.05</v>
      </c>
      <c r="AY294">
        <v>1</v>
      </c>
      <c r="AZ294">
        <v>1</v>
      </c>
      <c r="BA294" s="2">
        <f>modelo_tese_H__2[[#This Row],[Vw]]+modelo_tese_H__2[[#This Row],[Vr]]+modelo_tese_H__2[[#This Row],[K]]-modelo_tese_H__2[[#This Row],[E]]</f>
        <v>-6545353228.0978804</v>
      </c>
      <c r="BB294" s="2">
        <f>modelo_tese_H__2[[#This Row],[K]]-modelo_tese_H__2[[#This Row],[Coluna1]]</f>
        <v>14641545528.100109</v>
      </c>
      <c r="BC294">
        <f>modelo_tese_H__2[[#This Row],[Coluna2]]/modelo_tese_H__2[[#This Row],[Coluna1]]</f>
        <v>-2.2369374146603591</v>
      </c>
      <c r="BD294" s="8">
        <f>modelo_tese_H__2[[#This Row],[D]]-modelo_tese_H__2[[#This Row],[Dw]]-modelo_tese_H__2[[#This Row],[Dr]]</f>
        <v>-4.00543212890625E-5</v>
      </c>
    </row>
    <row r="295" spans="1:56" x14ac:dyDescent="0.25">
      <c r="A295">
        <v>294</v>
      </c>
      <c r="B295">
        <v>294</v>
      </c>
      <c r="C295">
        <v>2007599032.0146999</v>
      </c>
      <c r="D295">
        <v>930898377.71554601</v>
      </c>
      <c r="E295">
        <v>828499556.16683602</v>
      </c>
      <c r="F295">
        <v>103944955.76883399</v>
      </c>
      <c r="G295">
        <v>2907398671.54351</v>
      </c>
      <c r="H295">
        <v>653318943.11172295</v>
      </c>
      <c r="I295">
        <v>1585763455.04739</v>
      </c>
      <c r="J295">
        <v>1171220519.83427</v>
      </c>
      <c r="K295">
        <v>7360480385.8642197</v>
      </c>
      <c r="L295">
        <v>-654865077.33184695</v>
      </c>
      <c r="M295">
        <v>8531700905.6984901</v>
      </c>
      <c r="N295">
        <v>-12440590508.792999</v>
      </c>
      <c r="O295">
        <v>1468383167.4462199</v>
      </c>
      <c r="P295">
        <v>969132890.51450205</v>
      </c>
      <c r="Q295">
        <v>1512651769.3436999</v>
      </c>
      <c r="R295">
        <v>756325884.67185199</v>
      </c>
      <c r="S295">
        <v>756325884.67185199</v>
      </c>
      <c r="T295">
        <v>712057282.77436304</v>
      </c>
      <c r="U295">
        <v>290221705.80706</v>
      </c>
      <c r="V295">
        <v>5516777123.0655499</v>
      </c>
      <c r="W295">
        <v>965354455.79650497</v>
      </c>
      <c r="X295">
        <v>0.27422888602871998</v>
      </c>
      <c r="Y295">
        <v>8547072458.1933603</v>
      </c>
      <c r="Z295">
        <v>3955827263.4734802</v>
      </c>
      <c r="AA295">
        <v>0.79134193224023697</v>
      </c>
      <c r="AB295">
        <v>4448457307.6935301</v>
      </c>
      <c r="AC295">
        <v>2554896345.5618901</v>
      </c>
      <c r="AD295">
        <v>3520250801.3583999</v>
      </c>
      <c r="AE295">
        <v>-6923813385.7274399</v>
      </c>
      <c r="AF295">
        <v>-364643371.524786</v>
      </c>
      <c r="AG295">
        <v>5.5594999999999999E-2</v>
      </c>
      <c r="AH295">
        <v>-20972291414.491501</v>
      </c>
      <c r="AI295">
        <v>9472604386.5390301</v>
      </c>
      <c r="AJ295">
        <v>0.06</v>
      </c>
      <c r="AK295">
        <v>0.05</v>
      </c>
      <c r="AL295">
        <v>8.8099999999999998E-2</v>
      </c>
      <c r="AM295">
        <v>3.8100000000000002E-2</v>
      </c>
      <c r="AN295">
        <v>0.89</v>
      </c>
      <c r="AO295">
        <v>0.66</v>
      </c>
      <c r="AP295">
        <v>0.42970000000000003</v>
      </c>
      <c r="AQ295">
        <v>0.57030000000000003</v>
      </c>
      <c r="AR295">
        <v>8.9999999999999993E-3</v>
      </c>
      <c r="AS295">
        <v>0.5</v>
      </c>
      <c r="AT295">
        <v>1.82</v>
      </c>
      <c r="AU295">
        <v>6.3545217126973294E-2</v>
      </c>
      <c r="AV295">
        <v>0.7893</v>
      </c>
      <c r="AW295">
        <v>3</v>
      </c>
      <c r="AX295">
        <v>0.05</v>
      </c>
      <c r="AY295">
        <v>1</v>
      </c>
      <c r="AZ295">
        <v>1</v>
      </c>
      <c r="BA295" s="2">
        <f>modelo_tese_H__2[[#This Row],[Vw]]+modelo_tese_H__2[[#This Row],[Vr]]+modelo_tese_H__2[[#This Row],[K]]-modelo_tese_H__2[[#This Row],[E]]</f>
        <v>-6908441833.2325907</v>
      </c>
      <c r="BB295" s="2">
        <f>modelo_tese_H__2[[#This Row],[K]]-modelo_tese_H__2[[#This Row],[Coluna1]]</f>
        <v>15455514291.425951</v>
      </c>
      <c r="BC295">
        <f>modelo_tese_H__2[[#This Row],[Coluna2]]/modelo_tese_H__2[[#This Row],[Coluna1]]</f>
        <v>-2.2371925051287613</v>
      </c>
      <c r="BD295" s="8">
        <f>modelo_tese_H__2[[#This Row],[D]]-modelo_tese_H__2[[#This Row],[Dw]]-modelo_tese_H__2[[#This Row],[Dr]]</f>
        <v>9.5367431640625E-6</v>
      </c>
    </row>
    <row r="296" spans="1:56" x14ac:dyDescent="0.25">
      <c r="A296">
        <v>295</v>
      </c>
      <c r="B296">
        <v>295</v>
      </c>
      <c r="C296">
        <v>2119347323.59954</v>
      </c>
      <c r="D296">
        <v>982789379.040326</v>
      </c>
      <c r="E296">
        <v>874682547.34589005</v>
      </c>
      <c r="F296">
        <v>109722588.88987599</v>
      </c>
      <c r="G296">
        <v>3069134325.1434002</v>
      </c>
      <c r="H296">
        <v>689640209.75401902</v>
      </c>
      <c r="I296">
        <v>1674045345.9897799</v>
      </c>
      <c r="J296">
        <v>1236319606.9184599</v>
      </c>
      <c r="K296">
        <v>7769686292.91681</v>
      </c>
      <c r="L296">
        <v>-691255966.94945896</v>
      </c>
      <c r="M296">
        <v>9006005899.8352699</v>
      </c>
      <c r="N296">
        <v>-13131846475.7425</v>
      </c>
      <c r="O296">
        <v>1550067840.9815199</v>
      </c>
      <c r="P296">
        <v>1023044775.0477999</v>
      </c>
      <c r="Q296">
        <v>1596849982.3789599</v>
      </c>
      <c r="R296">
        <v>798424991.18947995</v>
      </c>
      <c r="S296">
        <v>798424991.18947995</v>
      </c>
      <c r="T296">
        <v>751642849.79203701</v>
      </c>
      <c r="U296">
        <v>306340872.18228501</v>
      </c>
      <c r="V296">
        <v>5823117995.2478399</v>
      </c>
      <c r="W296">
        <v>1019107184.94091</v>
      </c>
      <c r="X296">
        <v>0.274233874316411</v>
      </c>
      <c r="Y296">
        <v>9023054067.9783993</v>
      </c>
      <c r="Z296">
        <v>4176509457.2249098</v>
      </c>
      <c r="AA296">
        <v>0.79132113714530194</v>
      </c>
      <c r="AB296">
        <v>4696193658.3479996</v>
      </c>
      <c r="AC296">
        <v>2697090121.03759</v>
      </c>
      <c r="AD296">
        <v>3716197305.9784999</v>
      </c>
      <c r="AE296">
        <v>-7308728480.4946098</v>
      </c>
      <c r="AF296">
        <v>-384915094.76717401</v>
      </c>
      <c r="AG296">
        <v>5.5594999999999999E-2</v>
      </c>
      <c r="AH296">
        <v>-22137852375.577702</v>
      </c>
      <c r="AI296">
        <v>9999627452.4727497</v>
      </c>
      <c r="AJ296">
        <v>0.06</v>
      </c>
      <c r="AK296">
        <v>0.05</v>
      </c>
      <c r="AL296">
        <v>8.8099999999999998E-2</v>
      </c>
      <c r="AM296">
        <v>3.8100000000000002E-2</v>
      </c>
      <c r="AN296">
        <v>0.89</v>
      </c>
      <c r="AO296">
        <v>0.66</v>
      </c>
      <c r="AP296">
        <v>0.42970000000000003</v>
      </c>
      <c r="AQ296">
        <v>0.57030000000000003</v>
      </c>
      <c r="AR296">
        <v>8.9999999999999993E-3</v>
      </c>
      <c r="AS296">
        <v>0.5</v>
      </c>
      <c r="AT296">
        <v>1.82</v>
      </c>
      <c r="AU296">
        <v>6.3545217126973294E-2</v>
      </c>
      <c r="AV296">
        <v>0.7893</v>
      </c>
      <c r="AW296">
        <v>3</v>
      </c>
      <c r="AX296">
        <v>0.05</v>
      </c>
      <c r="AY296">
        <v>1</v>
      </c>
      <c r="AZ296">
        <v>1</v>
      </c>
      <c r="BA296" s="2">
        <f>modelo_tese_H__2[[#This Row],[Vw]]+modelo_tese_H__2[[#This Row],[Vr]]+modelo_tese_H__2[[#This Row],[K]]-modelo_tese_H__2[[#This Row],[E]]</f>
        <v>-7291680312.3514624</v>
      </c>
      <c r="BB296" s="2">
        <f>modelo_tese_H__2[[#This Row],[K]]-modelo_tese_H__2[[#This Row],[Coluna1]]</f>
        <v>16314734380.329861</v>
      </c>
      <c r="BC296">
        <f>modelo_tese_H__2[[#This Row],[Coluna2]]/modelo_tese_H__2[[#This Row],[Coluna1]]</f>
        <v>-2.2374450992721311</v>
      </c>
      <c r="BD296" s="8">
        <f>modelo_tese_H__2[[#This Row],[D]]-modelo_tese_H__2[[#This Row],[Dw]]-modelo_tese_H__2[[#This Row],[Dr]]</f>
        <v>5.054473876953125E-5</v>
      </c>
    </row>
    <row r="297" spans="1:56" x14ac:dyDescent="0.25">
      <c r="A297">
        <v>296</v>
      </c>
      <c r="B297">
        <v>296</v>
      </c>
      <c r="C297">
        <v>2237314373.1939702</v>
      </c>
      <c r="D297">
        <v>1037571457.0957</v>
      </c>
      <c r="E297">
        <v>923438596.81516898</v>
      </c>
      <c r="F297">
        <v>115821376.11887699</v>
      </c>
      <c r="G297">
        <v>3239866119.1926999</v>
      </c>
      <c r="H297">
        <v>727980757.215294</v>
      </c>
      <c r="I297">
        <v>1767240730.1493399</v>
      </c>
      <c r="J297">
        <v>1305037206.0137401</v>
      </c>
      <c r="K297">
        <v>8201642002.3719797</v>
      </c>
      <c r="L297">
        <v>-729669273.05364394</v>
      </c>
      <c r="M297">
        <v>9506679208.3857193</v>
      </c>
      <c r="N297">
        <v>-13861515748.796101</v>
      </c>
      <c r="O297">
        <v>1636296019.7942901</v>
      </c>
      <c r="P297">
        <v>1079955373.06423</v>
      </c>
      <c r="Q297">
        <v>1685733800.0376101</v>
      </c>
      <c r="R297">
        <v>842866900.01880598</v>
      </c>
      <c r="S297">
        <v>842866900.01880598</v>
      </c>
      <c r="T297">
        <v>793429119.77548802</v>
      </c>
      <c r="U297">
        <v>323355476.73085397</v>
      </c>
      <c r="V297">
        <v>6146473471.9786901</v>
      </c>
      <c r="W297">
        <v>1075852070.0180099</v>
      </c>
      <c r="X297">
        <v>0.27423881189143201</v>
      </c>
      <c r="Y297">
        <v>9525534208.0983105</v>
      </c>
      <c r="Z297">
        <v>4409494627.2241201</v>
      </c>
      <c r="AA297">
        <v>0.79130055317081505</v>
      </c>
      <c r="AB297">
        <v>4957722015.3727503</v>
      </c>
      <c r="AC297">
        <v>2847196103.2135701</v>
      </c>
      <c r="AD297">
        <v>3923048173.2315898</v>
      </c>
      <c r="AE297">
        <v>-7715042276.8174</v>
      </c>
      <c r="AF297">
        <v>-406313796.32279003</v>
      </c>
      <c r="AG297">
        <v>5.5594999999999999E-2</v>
      </c>
      <c r="AH297">
        <v>-23368194957.181801</v>
      </c>
      <c r="AI297">
        <v>10555968099.202801</v>
      </c>
      <c r="AJ297">
        <v>0.06</v>
      </c>
      <c r="AK297">
        <v>0.05</v>
      </c>
      <c r="AL297">
        <v>8.8099999999999998E-2</v>
      </c>
      <c r="AM297">
        <v>3.8100000000000002E-2</v>
      </c>
      <c r="AN297">
        <v>0.89</v>
      </c>
      <c r="AO297">
        <v>0.66</v>
      </c>
      <c r="AP297">
        <v>0.42970000000000003</v>
      </c>
      <c r="AQ297">
        <v>0.57030000000000003</v>
      </c>
      <c r="AR297">
        <v>8.9999999999999993E-3</v>
      </c>
      <c r="AS297">
        <v>0.5</v>
      </c>
      <c r="AT297">
        <v>1.82</v>
      </c>
      <c r="AU297">
        <v>6.3545217126973294E-2</v>
      </c>
      <c r="AV297">
        <v>0.7893</v>
      </c>
      <c r="AW297">
        <v>3</v>
      </c>
      <c r="AX297">
        <v>0.05</v>
      </c>
      <c r="AY297">
        <v>1</v>
      </c>
      <c r="AZ297">
        <v>1</v>
      </c>
      <c r="BA297" s="2">
        <f>modelo_tese_H__2[[#This Row],[Vw]]+modelo_tese_H__2[[#This Row],[Vr]]+modelo_tese_H__2[[#This Row],[K]]-modelo_tese_H__2[[#This Row],[E]]</f>
        <v>-7696187277.1048098</v>
      </c>
      <c r="BB297" s="2">
        <f>modelo_tese_H__2[[#This Row],[K]]-modelo_tese_H__2[[#This Row],[Coluna1]]</f>
        <v>17221721485.203121</v>
      </c>
      <c r="BC297">
        <f>modelo_tese_H__2[[#This Row],[Coluna2]]/modelo_tese_H__2[[#This Row],[Coluna1]]</f>
        <v>-2.237695220389917</v>
      </c>
      <c r="BD297" s="8">
        <f>modelo_tese_H__2[[#This Row],[D]]-modelo_tese_H__2[[#This Row],[Dw]]-modelo_tese_H__2[[#This Row],[Dr]]</f>
        <v>1.049041748046875E-5</v>
      </c>
    </row>
    <row r="298" spans="1:56" x14ac:dyDescent="0.25">
      <c r="A298">
        <v>297</v>
      </c>
      <c r="B298">
        <v>297</v>
      </c>
      <c r="C298">
        <v>2361846187.3958101</v>
      </c>
      <c r="D298">
        <v>1095405619.85167</v>
      </c>
      <c r="E298">
        <v>974911001.66798604</v>
      </c>
      <c r="F298">
        <v>122259169.61745299</v>
      </c>
      <c r="G298">
        <v>3420094394.0170498</v>
      </c>
      <c r="H298">
        <v>768452847.412678</v>
      </c>
      <c r="I298">
        <v>1865623018.6981201</v>
      </c>
      <c r="J298">
        <v>1377574458.0820701</v>
      </c>
      <c r="K298">
        <v>8657612289.4942799</v>
      </c>
      <c r="L298">
        <v>-770217398.84644794</v>
      </c>
      <c r="M298">
        <v>10035186747.576401</v>
      </c>
      <c r="N298">
        <v>-14631733147.6425</v>
      </c>
      <c r="O298">
        <v>1727320401.0187099</v>
      </c>
      <c r="P298">
        <v>1140031464.6723499</v>
      </c>
      <c r="Q298">
        <v>1779563925.51986</v>
      </c>
      <c r="R298">
        <v>889781962.75993097</v>
      </c>
      <c r="S298">
        <v>889781962.75993097</v>
      </c>
      <c r="T298">
        <v>837538438.25878203</v>
      </c>
      <c r="U298">
        <v>341315269.561095</v>
      </c>
      <c r="V298">
        <v>6487788741.5397902</v>
      </c>
      <c r="W298">
        <v>1135755629.5452001</v>
      </c>
      <c r="X298">
        <v>0.27424369926685099</v>
      </c>
      <c r="Y298">
        <v>10055987698.1395</v>
      </c>
      <c r="Z298">
        <v>4655468294.0093803</v>
      </c>
      <c r="AA298">
        <v>0.79128017818659302</v>
      </c>
      <c r="AB298">
        <v>5233810004.4496202</v>
      </c>
      <c r="AC298">
        <v>3005654483.37047</v>
      </c>
      <c r="AD298">
        <v>4141410112.9156699</v>
      </c>
      <c r="AE298">
        <v>-8143944406.1027603</v>
      </c>
      <c r="AF298">
        <v>-428902129.285353</v>
      </c>
      <c r="AG298">
        <v>5.5594999999999999E-2</v>
      </c>
      <c r="AH298">
        <v>-24666919895.218899</v>
      </c>
      <c r="AI298">
        <v>11143257035.5492</v>
      </c>
      <c r="AJ298">
        <v>0.06</v>
      </c>
      <c r="AK298">
        <v>0.05</v>
      </c>
      <c r="AL298">
        <v>8.8099999999999998E-2</v>
      </c>
      <c r="AM298">
        <v>3.8100000000000002E-2</v>
      </c>
      <c r="AN298">
        <v>0.89</v>
      </c>
      <c r="AO298">
        <v>0.66</v>
      </c>
      <c r="AP298">
        <v>0.42970000000000003</v>
      </c>
      <c r="AQ298">
        <v>0.57030000000000003</v>
      </c>
      <c r="AR298">
        <v>8.9999999999999993E-3</v>
      </c>
      <c r="AS298">
        <v>0.5</v>
      </c>
      <c r="AT298">
        <v>1.82</v>
      </c>
      <c r="AU298">
        <v>6.3545217126973294E-2</v>
      </c>
      <c r="AV298">
        <v>0.7893</v>
      </c>
      <c r="AW298">
        <v>3</v>
      </c>
      <c r="AX298">
        <v>0.05</v>
      </c>
      <c r="AY298">
        <v>1</v>
      </c>
      <c r="AZ298">
        <v>1</v>
      </c>
      <c r="BA298" s="2">
        <f>modelo_tese_H__2[[#This Row],[Vw]]+modelo_tese_H__2[[#This Row],[Vr]]+modelo_tese_H__2[[#This Row],[K]]-modelo_tese_H__2[[#This Row],[E]]</f>
        <v>-8123143455.5395794</v>
      </c>
      <c r="BB298" s="2">
        <f>modelo_tese_H__2[[#This Row],[K]]-modelo_tese_H__2[[#This Row],[Coluna1]]</f>
        <v>18179131153.679077</v>
      </c>
      <c r="BC298">
        <f>modelo_tese_H__2[[#This Row],[Coluna2]]/modelo_tese_H__2[[#This Row],[Coluna1]]</f>
        <v>-2.2379428915885775</v>
      </c>
      <c r="BD298" s="8">
        <f>modelo_tese_H__2[[#This Row],[D]]-modelo_tese_H__2[[#This Row],[Dw]]-modelo_tese_H__2[[#This Row],[Dr]]</f>
        <v>-5.054473876953125E-5</v>
      </c>
    </row>
    <row r="299" spans="1:56" x14ac:dyDescent="0.25">
      <c r="A299">
        <v>298</v>
      </c>
      <c r="B299">
        <v>298</v>
      </c>
      <c r="C299">
        <v>2493308021.38063</v>
      </c>
      <c r="D299">
        <v>1156461839.0286901</v>
      </c>
      <c r="E299">
        <v>1029251036.73554</v>
      </c>
      <c r="F299">
        <v>129054813.93029</v>
      </c>
      <c r="G299">
        <v>3610347315.3413501</v>
      </c>
      <c r="H299">
        <v>811174983.46458602</v>
      </c>
      <c r="I299">
        <v>1969480834.13041</v>
      </c>
      <c r="J299">
        <v>1454143685.15944</v>
      </c>
      <c r="K299">
        <v>9138932244.7291393</v>
      </c>
      <c r="L299">
        <v>-813018995.10172105</v>
      </c>
      <c r="M299">
        <v>10593075929.888599</v>
      </c>
      <c r="N299">
        <v>-15444752142.744301</v>
      </c>
      <c r="O299">
        <v>1823407735.02088</v>
      </c>
      <c r="P299">
        <v>1203449105.11378</v>
      </c>
      <c r="Q299">
        <v>1878615565.1188099</v>
      </c>
      <c r="R299">
        <v>939307782.55940497</v>
      </c>
      <c r="S299">
        <v>939307782.55940497</v>
      </c>
      <c r="T299">
        <v>884099952.46147704</v>
      </c>
      <c r="U299">
        <v>360272765.21126097</v>
      </c>
      <c r="V299">
        <v>6848061506.75105</v>
      </c>
      <c r="W299">
        <v>1198993647.25524</v>
      </c>
      <c r="X299">
        <v>0.27424853695059398</v>
      </c>
      <c r="Y299">
        <v>10615971423.6903</v>
      </c>
      <c r="Z299">
        <v>4915154158.7052202</v>
      </c>
      <c r="AA299">
        <v>0.79126001008345803</v>
      </c>
      <c r="AB299">
        <v>5525267966.0107098</v>
      </c>
      <c r="AC299">
        <v>3172929939.2442002</v>
      </c>
      <c r="AD299">
        <v>4371923586.4994402</v>
      </c>
      <c r="AE299">
        <v>-8596690635.9932194</v>
      </c>
      <c r="AF299">
        <v>-452746229.89046001</v>
      </c>
      <c r="AG299">
        <v>5.5594999999999999E-2</v>
      </c>
      <c r="AH299">
        <v>-26037828072.632801</v>
      </c>
      <c r="AI299">
        <v>11763215665.456301</v>
      </c>
      <c r="AJ299">
        <v>0.06</v>
      </c>
      <c r="AK299">
        <v>0.05</v>
      </c>
      <c r="AL299">
        <v>8.8099999999999998E-2</v>
      </c>
      <c r="AM299">
        <v>3.8100000000000002E-2</v>
      </c>
      <c r="AN299">
        <v>0.89</v>
      </c>
      <c r="AO299">
        <v>0.66</v>
      </c>
      <c r="AP299">
        <v>0.42970000000000003</v>
      </c>
      <c r="AQ299">
        <v>0.57030000000000003</v>
      </c>
      <c r="AR299">
        <v>8.9999999999999993E-3</v>
      </c>
      <c r="AS299">
        <v>0.5</v>
      </c>
      <c r="AT299">
        <v>1.82</v>
      </c>
      <c r="AU299">
        <v>6.3545217126973294E-2</v>
      </c>
      <c r="AV299">
        <v>0.7893</v>
      </c>
      <c r="AW299">
        <v>3</v>
      </c>
      <c r="AX299">
        <v>0.05</v>
      </c>
      <c r="AY299">
        <v>1</v>
      </c>
      <c r="AZ299">
        <v>1</v>
      </c>
      <c r="BA299" s="2">
        <f>modelo_tese_H__2[[#This Row],[Vw]]+modelo_tese_H__2[[#This Row],[Vr]]+modelo_tese_H__2[[#This Row],[K]]-modelo_tese_H__2[[#This Row],[E]]</f>
        <v>-8573795142.1914206</v>
      </c>
      <c r="BB299" s="2">
        <f>modelo_tese_H__2[[#This Row],[K]]-modelo_tese_H__2[[#This Row],[Coluna1]]</f>
        <v>19189766565.881721</v>
      </c>
      <c r="BC299">
        <f>modelo_tese_H__2[[#This Row],[Coluna2]]/modelo_tese_H__2[[#This Row],[Coluna1]]</f>
        <v>-2.2381881357824125</v>
      </c>
      <c r="BD299" s="8">
        <f>modelo_tese_H__2[[#This Row],[D]]-modelo_tese_H__2[[#This Row],[Dw]]-modelo_tese_H__2[[#This Row],[Dr]]</f>
        <v>3.147125244140625E-5</v>
      </c>
    </row>
    <row r="300" spans="1:56" x14ac:dyDescent="0.25">
      <c r="A300">
        <v>299</v>
      </c>
      <c r="B300">
        <v>299</v>
      </c>
      <c r="C300">
        <v>2632085449.5813098</v>
      </c>
      <c r="D300">
        <v>1220919548.99982</v>
      </c>
      <c r="E300">
        <v>1086618398.6098399</v>
      </c>
      <c r="F300">
        <v>136228201.151829</v>
      </c>
      <c r="G300">
        <v>3811182421.64643</v>
      </c>
      <c r="H300">
        <v>856272256.67030001</v>
      </c>
      <c r="I300">
        <v>2079118856.4319699</v>
      </c>
      <c r="J300">
        <v>1534969011.9066899</v>
      </c>
      <c r="K300">
        <v>9647011182.8752594</v>
      </c>
      <c r="L300">
        <v>-858199307.43214905</v>
      </c>
      <c r="M300">
        <v>11181980194.7819</v>
      </c>
      <c r="N300">
        <v>-16302951450.176399</v>
      </c>
      <c r="O300">
        <v>1924839606.8921399</v>
      </c>
      <c r="P300">
        <v>1270394140.54881</v>
      </c>
      <c r="Q300">
        <v>1983179234.9379001</v>
      </c>
      <c r="R300">
        <v>991589617.46895194</v>
      </c>
      <c r="S300">
        <v>991589617.46895194</v>
      </c>
      <c r="T300">
        <v>933249989.42318296</v>
      </c>
      <c r="U300">
        <v>380283396.27385002</v>
      </c>
      <c r="V300">
        <v>7228344903.0249004</v>
      </c>
      <c r="W300">
        <v>1265751687.53843</v>
      </c>
      <c r="X300">
        <v>0.27425332544549702</v>
      </c>
      <c r="Y300">
        <v>11207128902.0966</v>
      </c>
      <c r="Z300">
        <v>5189316228.7747002</v>
      </c>
      <c r="AA300">
        <v>0.79124004677332305</v>
      </c>
      <c r="AB300">
        <v>5832951331.6979599</v>
      </c>
      <c r="AC300">
        <v>3349512996.9807801</v>
      </c>
      <c r="AD300">
        <v>4615264684.5192099</v>
      </c>
      <c r="AE300">
        <v>-9074606547.1515198</v>
      </c>
      <c r="AF300">
        <v>-477915911.15829903</v>
      </c>
      <c r="AG300">
        <v>5.5594999999999999E-2</v>
      </c>
      <c r="AH300">
        <v>-27484931644.958401</v>
      </c>
      <c r="AI300">
        <v>12417661131.799601</v>
      </c>
      <c r="AJ300">
        <v>0.06</v>
      </c>
      <c r="AK300">
        <v>0.05</v>
      </c>
      <c r="AL300">
        <v>8.8099999999999998E-2</v>
      </c>
      <c r="AM300">
        <v>3.8100000000000002E-2</v>
      </c>
      <c r="AN300">
        <v>0.89</v>
      </c>
      <c r="AO300">
        <v>0.66</v>
      </c>
      <c r="AP300">
        <v>0.42970000000000003</v>
      </c>
      <c r="AQ300">
        <v>0.57030000000000003</v>
      </c>
      <c r="AR300">
        <v>8.9999999999999993E-3</v>
      </c>
      <c r="AS300">
        <v>0.5</v>
      </c>
      <c r="AT300">
        <v>1.82</v>
      </c>
      <c r="AU300">
        <v>6.3545217126973294E-2</v>
      </c>
      <c r="AV300">
        <v>0.7893</v>
      </c>
      <c r="AW300">
        <v>3</v>
      </c>
      <c r="AX300">
        <v>0.05</v>
      </c>
      <c r="AY300">
        <v>1</v>
      </c>
      <c r="AZ300">
        <v>1</v>
      </c>
      <c r="BA300" s="2">
        <f>modelo_tese_H__2[[#This Row],[Vw]]+modelo_tese_H__2[[#This Row],[Vr]]+modelo_tese_H__2[[#This Row],[K]]-modelo_tese_H__2[[#This Row],[E]]</f>
        <v>-9049457839.8369007</v>
      </c>
      <c r="BB300" s="2">
        <f>modelo_tese_H__2[[#This Row],[K]]-modelo_tese_H__2[[#This Row],[Coluna1]]</f>
        <v>20256586741.933502</v>
      </c>
      <c r="BC300">
        <f>modelo_tese_H__2[[#This Row],[Coluna2]]/modelo_tese_H__2[[#This Row],[Coluna1]]</f>
        <v>-2.2384309756946266</v>
      </c>
      <c r="BD300" s="8">
        <f>modelo_tese_H__2[[#This Row],[D]]-modelo_tese_H__2[[#This Row],[Dw]]-modelo_tese_H__2[[#This Row],[Dr]]</f>
        <v>-2.09808349609375E-5</v>
      </c>
    </row>
    <row r="301" spans="1:56" x14ac:dyDescent="0.25">
      <c r="A301">
        <v>300</v>
      </c>
      <c r="B301">
        <v>300</v>
      </c>
      <c r="C301">
        <v>2778585495.9163799</v>
      </c>
      <c r="D301">
        <v>1288968173.4542699</v>
      </c>
      <c r="E301">
        <v>1147181674.3743</v>
      </c>
      <c r="F301">
        <v>143800329.159733</v>
      </c>
      <c r="G301">
        <v>4023188257.5689702</v>
      </c>
      <c r="H301">
        <v>903876712.77988505</v>
      </c>
      <c r="I301">
        <v>2194858716.31392</v>
      </c>
      <c r="J301">
        <v>1620287021.71278</v>
      </c>
      <c r="K301">
        <v>10183336769.587601</v>
      </c>
      <c r="L301">
        <v>-905890542.85964799</v>
      </c>
      <c r="M301">
        <v>11803623791.3004</v>
      </c>
      <c r="N301">
        <v>-17208841993.036098</v>
      </c>
      <c r="O301">
        <v>2031913261.3984699</v>
      </c>
      <c r="P301">
        <v>1341062752.52299</v>
      </c>
      <c r="Q301">
        <v>2093561612.4763601</v>
      </c>
      <c r="R301">
        <v>1046780806.23818</v>
      </c>
      <c r="S301">
        <v>1046780806.23818</v>
      </c>
      <c r="T301">
        <v>985132455.16029</v>
      </c>
      <c r="U301">
        <v>401405675.557832</v>
      </c>
      <c r="V301">
        <v>7629750578.5827303</v>
      </c>
      <c r="W301">
        <v>1336225639.55583</v>
      </c>
      <c r="X301">
        <v>0.27425806524935598</v>
      </c>
      <c r="Y301">
        <v>11831195102.1987</v>
      </c>
      <c r="Z301">
        <v>5478761062.09235</v>
      </c>
      <c r="AA301">
        <v>0.79122028618908202</v>
      </c>
      <c r="AB301">
        <v>6157763133.0200901</v>
      </c>
      <c r="AC301">
        <v>3535921468.8369098</v>
      </c>
      <c r="AD301">
        <v>4872147108.3927402</v>
      </c>
      <c r="AE301">
        <v>-9579091414.4533291</v>
      </c>
      <c r="AF301">
        <v>-504484867.30181599</v>
      </c>
      <c r="AG301">
        <v>5.5594999999999999E-2</v>
      </c>
      <c r="AH301">
        <v>-29012465784.336399</v>
      </c>
      <c r="AI301">
        <v>13108511640.6751</v>
      </c>
      <c r="AJ301">
        <v>0.06</v>
      </c>
      <c r="AK301">
        <v>0.05</v>
      </c>
      <c r="AL301">
        <v>8.8099999999999998E-2</v>
      </c>
      <c r="AM301">
        <v>3.8100000000000002E-2</v>
      </c>
      <c r="AN301">
        <v>0.89</v>
      </c>
      <c r="AO301">
        <v>0.66</v>
      </c>
      <c r="AP301">
        <v>0.42970000000000003</v>
      </c>
      <c r="AQ301">
        <v>0.57030000000000003</v>
      </c>
      <c r="AR301">
        <v>8.9999999999999993E-3</v>
      </c>
      <c r="AS301">
        <v>0.5</v>
      </c>
      <c r="AT301">
        <v>1.82</v>
      </c>
      <c r="AU301">
        <v>6.3545217126973294E-2</v>
      </c>
      <c r="AV301">
        <v>0.7893</v>
      </c>
      <c r="AW301">
        <v>3</v>
      </c>
      <c r="AX301">
        <v>0.05</v>
      </c>
      <c r="AY301">
        <v>1</v>
      </c>
      <c r="AZ301">
        <v>1</v>
      </c>
      <c r="BA301" s="2">
        <f>modelo_tese_H__2[[#This Row],[Vw]]+modelo_tese_H__2[[#This Row],[Vr]]+modelo_tese_H__2[[#This Row],[K]]-modelo_tese_H__2[[#This Row],[E]]</f>
        <v>-9551520103.5549488</v>
      </c>
      <c r="BB301" s="2">
        <f>modelo_tese_H__2[[#This Row],[K]]-modelo_tese_H__2[[#This Row],[Coluna1]]</f>
        <v>21382715205.753647</v>
      </c>
      <c r="BC301">
        <f>modelo_tese_H__2[[#This Row],[Coluna2]]/modelo_tese_H__2[[#This Row],[Coluna1]]</f>
        <v>-2.2386714338585003</v>
      </c>
      <c r="BD301" s="8">
        <f>modelo_tese_H__2[[#This Row],[D]]-modelo_tese_H__2[[#This Row],[Dw]]-modelo_tese_H__2[[#This Row],[Dr]]</f>
        <v>3.910064697265625E-5</v>
      </c>
    </row>
    <row r="302" spans="1:56" x14ac:dyDescent="0.25">
      <c r="A302">
        <v>301</v>
      </c>
      <c r="B302">
        <v>301</v>
      </c>
      <c r="C302">
        <v>2933237826.87779</v>
      </c>
      <c r="D302">
        <v>1360807681.36537</v>
      </c>
      <c r="E302">
        <v>1211118836.41518</v>
      </c>
      <c r="F302">
        <v>151793363.08563</v>
      </c>
      <c r="G302">
        <v>4246986098.12778</v>
      </c>
      <c r="H302">
        <v>954127738.62688303</v>
      </c>
      <c r="I302">
        <v>2317039938.1276898</v>
      </c>
      <c r="J302">
        <v>1710347449.2711501</v>
      </c>
      <c r="K302">
        <v>10749479377.2932</v>
      </c>
      <c r="L302">
        <v>-956232256.76232195</v>
      </c>
      <c r="M302">
        <v>12459826826.564301</v>
      </c>
      <c r="N302">
        <v>-18165074249.798401</v>
      </c>
      <c r="O302">
        <v>2144942473.8019099</v>
      </c>
      <c r="P302">
        <v>1415662032.70926</v>
      </c>
      <c r="Q302">
        <v>2210086435.5766902</v>
      </c>
      <c r="R302">
        <v>1105043217.7883501</v>
      </c>
      <c r="S302">
        <v>1105043217.7883501</v>
      </c>
      <c r="T302">
        <v>1039899256.0135601</v>
      </c>
      <c r="U302">
        <v>423701367.26346499</v>
      </c>
      <c r="V302">
        <v>8053451945.8462</v>
      </c>
      <c r="W302">
        <v>1410622291.6175301</v>
      </c>
      <c r="X302">
        <v>0.27426275685497398</v>
      </c>
      <c r="Y302">
        <v>12490001532.1754</v>
      </c>
      <c r="Z302">
        <v>5784340135.9215298</v>
      </c>
      <c r="AA302">
        <v>0.79120072628398697</v>
      </c>
      <c r="AB302">
        <v>6500656649.55972</v>
      </c>
      <c r="AC302">
        <v>3732701970.8369498</v>
      </c>
      <c r="AD302">
        <v>5143324262.4544802</v>
      </c>
      <c r="AE302">
        <v>-10111622303.9522</v>
      </c>
      <c r="AF302">
        <v>-532530889.49885702</v>
      </c>
      <c r="AG302">
        <v>5.5594999999999999E-2</v>
      </c>
      <c r="AH302">
        <v>-30624901076.362701</v>
      </c>
      <c r="AI302">
        <v>13837792081.7677</v>
      </c>
      <c r="AJ302">
        <v>0.06</v>
      </c>
      <c r="AK302">
        <v>0.05</v>
      </c>
      <c r="AL302">
        <v>8.8099999999999998E-2</v>
      </c>
      <c r="AM302">
        <v>3.8100000000000002E-2</v>
      </c>
      <c r="AN302">
        <v>0.89</v>
      </c>
      <c r="AO302">
        <v>0.66</v>
      </c>
      <c r="AP302">
        <v>0.42970000000000003</v>
      </c>
      <c r="AQ302">
        <v>0.57030000000000003</v>
      </c>
      <c r="AR302">
        <v>8.9999999999999993E-3</v>
      </c>
      <c r="AS302">
        <v>0.5</v>
      </c>
      <c r="AT302">
        <v>1.82</v>
      </c>
      <c r="AU302">
        <v>6.3545217126973294E-2</v>
      </c>
      <c r="AV302">
        <v>0.7893</v>
      </c>
      <c r="AW302">
        <v>3</v>
      </c>
      <c r="AX302">
        <v>0.05</v>
      </c>
      <c r="AY302">
        <v>1</v>
      </c>
      <c r="AZ302">
        <v>1</v>
      </c>
      <c r="BA302" s="2">
        <f>modelo_tese_H__2[[#This Row],[Vw]]+modelo_tese_H__2[[#This Row],[Vr]]+modelo_tese_H__2[[#This Row],[K]]-modelo_tese_H__2[[#This Row],[E]]</f>
        <v>-10081447598.341131</v>
      </c>
      <c r="BB302" s="2">
        <f>modelo_tese_H__2[[#This Row],[K]]-modelo_tese_H__2[[#This Row],[Coluna1]]</f>
        <v>22571449130.516533</v>
      </c>
      <c r="BC302">
        <f>modelo_tese_H__2[[#This Row],[Coluna2]]/modelo_tese_H__2[[#This Row],[Coluna1]]</f>
        <v>-2.2389095326181718</v>
      </c>
      <c r="BD302" s="8">
        <f>modelo_tese_H__2[[#This Row],[D]]-modelo_tese_H__2[[#This Row],[Dw]]-modelo_tese_H__2[[#This Row],[Dr]]</f>
        <v>0</v>
      </c>
    </row>
    <row r="303" spans="1:56" x14ac:dyDescent="0.25">
      <c r="A303">
        <v>302</v>
      </c>
      <c r="B303">
        <v>302</v>
      </c>
      <c r="C303">
        <v>3096496010.9783702</v>
      </c>
      <c r="D303">
        <v>1436649173.8980601</v>
      </c>
      <c r="E303">
        <v>1278617764.7692699</v>
      </c>
      <c r="F303">
        <v>160230700.203058</v>
      </c>
      <c r="G303">
        <v>4483231768.83043</v>
      </c>
      <c r="H303">
        <v>1007172470.2558399</v>
      </c>
      <c r="I303">
        <v>2446020935.2281799</v>
      </c>
      <c r="J303">
        <v>1805413911.65698</v>
      </c>
      <c r="K303">
        <v>11347096683.2742</v>
      </c>
      <c r="L303">
        <v>-1009371761.33012</v>
      </c>
      <c r="M303">
        <v>13152510594.931101</v>
      </c>
      <c r="N303">
        <v>-19174446011.128502</v>
      </c>
      <c r="O303">
        <v>2264258469.1062799</v>
      </c>
      <c r="P303">
        <v>1494410589.6101401</v>
      </c>
      <c r="Q303">
        <v>2333095451.3719201</v>
      </c>
      <c r="R303">
        <v>1166547725.6859601</v>
      </c>
      <c r="S303">
        <v>1166547725.6859601</v>
      </c>
      <c r="T303">
        <v>1097710743.42032</v>
      </c>
      <c r="U303">
        <v>447235667.67012501</v>
      </c>
      <c r="V303">
        <v>8500687613.5163202</v>
      </c>
      <c r="W303">
        <v>1489159937.51197</v>
      </c>
      <c r="X303">
        <v>0.27426740075021699</v>
      </c>
      <c r="Y303">
        <v>13185481610.4091</v>
      </c>
      <c r="Z303">
        <v>6106952347.7475405</v>
      </c>
      <c r="AA303">
        <v>0.79118136503193603</v>
      </c>
      <c r="AB303">
        <v>6862638204.4919901</v>
      </c>
      <c r="AC303">
        <v>3940431524.8383198</v>
      </c>
      <c r="AD303">
        <v>5429591462.3502903</v>
      </c>
      <c r="AE303">
        <v>-10673758397.6122</v>
      </c>
      <c r="AF303">
        <v>-562136093.65999103</v>
      </c>
      <c r="AG303">
        <v>5.5594999999999999E-2</v>
      </c>
      <c r="AH303">
        <v>-32326956606.059601</v>
      </c>
      <c r="AI303">
        <v>14607639961.263901</v>
      </c>
      <c r="AJ303">
        <v>0.06</v>
      </c>
      <c r="AK303">
        <v>0.05</v>
      </c>
      <c r="AL303">
        <v>8.8099999999999998E-2</v>
      </c>
      <c r="AM303">
        <v>3.8100000000000002E-2</v>
      </c>
      <c r="AN303">
        <v>0.89</v>
      </c>
      <c r="AO303">
        <v>0.66</v>
      </c>
      <c r="AP303">
        <v>0.42970000000000003</v>
      </c>
      <c r="AQ303">
        <v>0.57030000000000003</v>
      </c>
      <c r="AR303">
        <v>8.9999999999999993E-3</v>
      </c>
      <c r="AS303">
        <v>0.5</v>
      </c>
      <c r="AT303">
        <v>1.82</v>
      </c>
      <c r="AU303">
        <v>6.3545217126973294E-2</v>
      </c>
      <c r="AV303">
        <v>0.7893</v>
      </c>
      <c r="AW303">
        <v>3</v>
      </c>
      <c r="AX303">
        <v>0.05</v>
      </c>
      <c r="AY303">
        <v>1</v>
      </c>
      <c r="AZ303">
        <v>1</v>
      </c>
      <c r="BA303" s="2">
        <f>modelo_tese_H__2[[#This Row],[Vw]]+modelo_tese_H__2[[#This Row],[Vr]]+modelo_tese_H__2[[#This Row],[K]]-modelo_tese_H__2[[#This Row],[E]]</f>
        <v>-10640787382.13414</v>
      </c>
      <c r="BB303" s="2">
        <f>modelo_tese_H__2[[#This Row],[K]]-modelo_tese_H__2[[#This Row],[Coluna1]]</f>
        <v>23826268992.54324</v>
      </c>
      <c r="BC303">
        <f>modelo_tese_H__2[[#This Row],[Coluna2]]/modelo_tese_H__2[[#This Row],[Coluna1]]</f>
        <v>-2.2391452941299717</v>
      </c>
      <c r="BD303" s="8">
        <f>modelo_tese_H__2[[#This Row],[D]]-modelo_tese_H__2[[#This Row],[Dw]]-modelo_tese_H__2[[#This Row],[Dr]]</f>
        <v>-1.811981201171875E-5</v>
      </c>
    </row>
    <row r="304" spans="1:56" x14ac:dyDescent="0.25">
      <c r="A304">
        <v>303</v>
      </c>
      <c r="B304">
        <v>303</v>
      </c>
      <c r="C304">
        <v>3268838848.2439399</v>
      </c>
      <c r="D304">
        <v>1516715503.9714999</v>
      </c>
      <c r="E304">
        <v>1349876798.5346401</v>
      </c>
      <c r="F304">
        <v>169137038.42263401</v>
      </c>
      <c r="G304">
        <v>4732617566.9873199</v>
      </c>
      <c r="H304">
        <v>1063166223.73972</v>
      </c>
      <c r="I304">
        <v>2582180060.69699</v>
      </c>
      <c r="J304">
        <v>1905764680.04548</v>
      </c>
      <c r="K304">
        <v>11977938523.3811</v>
      </c>
      <c r="L304">
        <v>-1065464556.72549</v>
      </c>
      <c r="M304">
        <v>13883703203.4266</v>
      </c>
      <c r="N304">
        <v>-20239910567.854</v>
      </c>
      <c r="O304">
        <v>2390210892.41784</v>
      </c>
      <c r="P304">
        <v>1577539188.99577</v>
      </c>
      <c r="Q304">
        <v>2462949418.0088</v>
      </c>
      <c r="R304">
        <v>1231474709.0044</v>
      </c>
      <c r="S304">
        <v>1231474709.0044</v>
      </c>
      <c r="T304">
        <v>1158736183.41343</v>
      </c>
      <c r="U304">
        <v>472077395.86648202</v>
      </c>
      <c r="V304">
        <v>8972765009.3827991</v>
      </c>
      <c r="W304">
        <v>1572069016.5599799</v>
      </c>
      <c r="X304">
        <v>0.27427199741805403</v>
      </c>
      <c r="Y304">
        <v>13919676335.1119</v>
      </c>
      <c r="Z304">
        <v>6447546655.3031197</v>
      </c>
      <c r="AA304">
        <v>0.79116220042692498</v>
      </c>
      <c r="AB304">
        <v>7244770115.6093798</v>
      </c>
      <c r="AC304">
        <v>4159719249.69276</v>
      </c>
      <c r="AD304">
        <v>5731788266.2527399</v>
      </c>
      <c r="AE304">
        <v>-11267145558.471201</v>
      </c>
      <c r="AF304">
        <v>-593387160.85900497</v>
      </c>
      <c r="AG304">
        <v>5.5594999999999999E-2</v>
      </c>
      <c r="AH304">
        <v>-34123613771.280602</v>
      </c>
      <c r="AI304">
        <v>15420311664.6859</v>
      </c>
      <c r="AJ304">
        <v>0.06</v>
      </c>
      <c r="AK304">
        <v>0.05</v>
      </c>
      <c r="AL304">
        <v>8.8099999999999998E-2</v>
      </c>
      <c r="AM304">
        <v>3.8100000000000002E-2</v>
      </c>
      <c r="AN304">
        <v>0.89</v>
      </c>
      <c r="AO304">
        <v>0.66</v>
      </c>
      <c r="AP304">
        <v>0.42970000000000003</v>
      </c>
      <c r="AQ304">
        <v>0.57030000000000003</v>
      </c>
      <c r="AR304">
        <v>8.9999999999999993E-3</v>
      </c>
      <c r="AS304">
        <v>0.5</v>
      </c>
      <c r="AT304">
        <v>1.82</v>
      </c>
      <c r="AU304">
        <v>6.3545217126973294E-2</v>
      </c>
      <c r="AV304">
        <v>0.7893</v>
      </c>
      <c r="AW304">
        <v>3</v>
      </c>
      <c r="AX304">
        <v>0.05</v>
      </c>
      <c r="AY304">
        <v>1</v>
      </c>
      <c r="AZ304">
        <v>1</v>
      </c>
      <c r="BA304" s="2">
        <f>modelo_tese_H__2[[#This Row],[Vw]]+modelo_tese_H__2[[#This Row],[Vr]]+modelo_tese_H__2[[#This Row],[K]]-modelo_tese_H__2[[#This Row],[E]]</f>
        <v>-11231172426.785923</v>
      </c>
      <c r="BB304" s="2">
        <f>modelo_tese_H__2[[#This Row],[K]]-modelo_tese_H__2[[#This Row],[Coluna1]]</f>
        <v>25150848761.897823</v>
      </c>
      <c r="BC304">
        <f>modelo_tese_H__2[[#This Row],[Coluna2]]/modelo_tese_H__2[[#This Row],[Coluna1]]</f>
        <v>-2.2393787403632053</v>
      </c>
      <c r="BD304" s="8">
        <f>modelo_tese_H__2[[#This Row],[D]]-modelo_tese_H__2[[#This Row],[Dw]]-modelo_tese_H__2[[#This Row],[Dr]]</f>
        <v>0</v>
      </c>
    </row>
    <row r="305" spans="1:56" x14ac:dyDescent="0.25">
      <c r="A305">
        <v>304</v>
      </c>
      <c r="B305">
        <v>304</v>
      </c>
      <c r="C305">
        <v>3450771773.6498399</v>
      </c>
      <c r="D305">
        <v>1601241930.2980001</v>
      </c>
      <c r="E305">
        <v>1425105317.96522</v>
      </c>
      <c r="F305">
        <v>178538448.59493601</v>
      </c>
      <c r="G305">
        <v>4995874289.8639402</v>
      </c>
      <c r="H305">
        <v>1122272949.94853</v>
      </c>
      <c r="I305">
        <v>2725916716.5086799</v>
      </c>
      <c r="J305">
        <v>2011693494.3306899</v>
      </c>
      <c r="K305">
        <v>12643852015.5888</v>
      </c>
      <c r="L305">
        <v>-1124674786.21068</v>
      </c>
      <c r="M305">
        <v>14655545509.9195</v>
      </c>
      <c r="N305">
        <v>-21364585354.064701</v>
      </c>
      <c r="O305">
        <v>2523168833.2646098</v>
      </c>
      <c r="P305">
        <v>1665291429.9546499</v>
      </c>
      <c r="Q305">
        <v>2600029162.0854602</v>
      </c>
      <c r="R305">
        <v>1300014581.0427301</v>
      </c>
      <c r="S305">
        <v>1300014581.0427301</v>
      </c>
      <c r="T305">
        <v>1223154252.22188</v>
      </c>
      <c r="U305">
        <v>498299195.08072501</v>
      </c>
      <c r="V305">
        <v>9471064204.4635296</v>
      </c>
      <c r="W305">
        <v>1659592789.27197</v>
      </c>
      <c r="X305">
        <v>0.274276547336611</v>
      </c>
      <c r="Y305">
        <v>14694740269.332001</v>
      </c>
      <c r="Z305">
        <v>6807124863.5323696</v>
      </c>
      <c r="AA305">
        <v>0.79114323048300395</v>
      </c>
      <c r="AB305">
        <v>7648173810.50105</v>
      </c>
      <c r="AC305">
        <v>4391208146.4633303</v>
      </c>
      <c r="AD305">
        <v>6050800935.7353001</v>
      </c>
      <c r="AE305">
        <v>-11893521149.601101</v>
      </c>
      <c r="AF305">
        <v>-626375591.12995994</v>
      </c>
      <c r="AG305">
        <v>5.5594999999999999E-2</v>
      </c>
      <c r="AH305">
        <v>-36020130863.9842</v>
      </c>
      <c r="AI305">
        <v>16278189067.995899</v>
      </c>
      <c r="AJ305">
        <v>0.06</v>
      </c>
      <c r="AK305">
        <v>0.05</v>
      </c>
      <c r="AL305">
        <v>8.8099999999999998E-2</v>
      </c>
      <c r="AM305">
        <v>3.8100000000000002E-2</v>
      </c>
      <c r="AN305">
        <v>0.89</v>
      </c>
      <c r="AO305">
        <v>0.66</v>
      </c>
      <c r="AP305">
        <v>0.42970000000000003</v>
      </c>
      <c r="AQ305">
        <v>0.57030000000000003</v>
      </c>
      <c r="AR305">
        <v>8.9999999999999993E-3</v>
      </c>
      <c r="AS305">
        <v>0.5</v>
      </c>
      <c r="AT305">
        <v>1.82</v>
      </c>
      <c r="AU305">
        <v>6.3545217126973294E-2</v>
      </c>
      <c r="AV305">
        <v>0.7893</v>
      </c>
      <c r="AW305">
        <v>3</v>
      </c>
      <c r="AX305">
        <v>0.05</v>
      </c>
      <c r="AY305">
        <v>1</v>
      </c>
      <c r="AZ305">
        <v>1</v>
      </c>
      <c r="BA305" s="2">
        <f>modelo_tese_H__2[[#This Row],[Vw]]+modelo_tese_H__2[[#This Row],[Vr]]+modelo_tese_H__2[[#This Row],[K]]-modelo_tese_H__2[[#This Row],[E]]</f>
        <v>-11854326390.188669</v>
      </c>
      <c r="BB305" s="2">
        <f>modelo_tese_H__2[[#This Row],[K]]-modelo_tese_H__2[[#This Row],[Coluna1]]</f>
        <v>26549066659.520668</v>
      </c>
      <c r="BC305">
        <f>modelo_tese_H__2[[#This Row],[Coluna2]]/modelo_tese_H__2[[#This Row],[Coluna1]]</f>
        <v>-2.2396098931014943</v>
      </c>
      <c r="BD305" s="8">
        <f>modelo_tese_H__2[[#This Row],[D]]-modelo_tese_H__2[[#This Row],[Dw]]-modelo_tese_H__2[[#This Row],[Dr]]</f>
        <v>7.05718994140625E-5</v>
      </c>
    </row>
    <row r="306" spans="1:56" x14ac:dyDescent="0.25">
      <c r="A306">
        <v>305</v>
      </c>
      <c r="B306">
        <v>305</v>
      </c>
      <c r="C306">
        <v>3642828338.6117101</v>
      </c>
      <c r="D306">
        <v>1690476807.8138299</v>
      </c>
      <c r="E306">
        <v>1504524358.9543099</v>
      </c>
      <c r="F306">
        <v>188462450.8328</v>
      </c>
      <c r="G306">
        <v>5273773375.6103096</v>
      </c>
      <c r="H306">
        <v>1184665714.60092</v>
      </c>
      <c r="I306">
        <v>2877652524.3880301</v>
      </c>
      <c r="J306">
        <v>2123510423.02949</v>
      </c>
      <c r="K306">
        <v>13346786968.3958</v>
      </c>
      <c r="L306">
        <v>-1187175716.5741899</v>
      </c>
      <c r="M306">
        <v>15470297391.425301</v>
      </c>
      <c r="N306">
        <v>-22551761070.638901</v>
      </c>
      <c r="O306">
        <v>2663521906.8738899</v>
      </c>
      <c r="P306">
        <v>1757924458.5367701</v>
      </c>
      <c r="Q306">
        <v>2744736694.89996</v>
      </c>
      <c r="R306">
        <v>1372368347.44998</v>
      </c>
      <c r="S306">
        <v>1372368347.44998</v>
      </c>
      <c r="T306">
        <v>1291153559.4239099</v>
      </c>
      <c r="U306">
        <v>525977745.20023102</v>
      </c>
      <c r="V306">
        <v>9997041949.6637592</v>
      </c>
      <c r="W306">
        <v>1751988050.58688</v>
      </c>
      <c r="X306">
        <v>0.27428105097921501</v>
      </c>
      <c r="Y306">
        <v>15512947858.8797</v>
      </c>
      <c r="Z306">
        <v>7186744566.66926</v>
      </c>
      <c r="AA306">
        <v>0.79112445323402203</v>
      </c>
      <c r="AB306">
        <v>8074033115.01758</v>
      </c>
      <c r="AC306">
        <v>4635576982.9247999</v>
      </c>
      <c r="AD306">
        <v>6387565033.5116701</v>
      </c>
      <c r="AE306">
        <v>-12554719120.9751</v>
      </c>
      <c r="AF306">
        <v>-661197971.373963</v>
      </c>
      <c r="AG306">
        <v>5.5594999999999999E-2</v>
      </c>
      <c r="AH306">
        <v>-38022058462.064201</v>
      </c>
      <c r="AI306">
        <v>17183786516.333</v>
      </c>
      <c r="AJ306">
        <v>0.06</v>
      </c>
      <c r="AK306">
        <v>0.05</v>
      </c>
      <c r="AL306">
        <v>8.8099999999999998E-2</v>
      </c>
      <c r="AM306">
        <v>3.8100000000000002E-2</v>
      </c>
      <c r="AN306">
        <v>0.89</v>
      </c>
      <c r="AO306">
        <v>0.66</v>
      </c>
      <c r="AP306">
        <v>0.42970000000000003</v>
      </c>
      <c r="AQ306">
        <v>0.57030000000000003</v>
      </c>
      <c r="AR306">
        <v>8.9999999999999993E-3</v>
      </c>
      <c r="AS306">
        <v>0.5</v>
      </c>
      <c r="AT306">
        <v>1.82</v>
      </c>
      <c r="AU306">
        <v>6.3545217126973294E-2</v>
      </c>
      <c r="AV306">
        <v>0.7893</v>
      </c>
      <c r="AW306">
        <v>3</v>
      </c>
      <c r="AX306">
        <v>0.05</v>
      </c>
      <c r="AY306">
        <v>1</v>
      </c>
      <c r="AZ306">
        <v>1</v>
      </c>
      <c r="BA306" s="2">
        <f>modelo_tese_H__2[[#This Row],[Vw]]+modelo_tese_H__2[[#This Row],[Vr]]+modelo_tese_H__2[[#This Row],[K]]-modelo_tese_H__2[[#This Row],[E]]</f>
        <v>-12512068653.520761</v>
      </c>
      <c r="BB306" s="2">
        <f>modelo_tese_H__2[[#This Row],[K]]-modelo_tese_H__2[[#This Row],[Coluna1]]</f>
        <v>28025016512.400459</v>
      </c>
      <c r="BC306">
        <f>modelo_tese_H__2[[#This Row],[Coluna2]]/modelo_tese_H__2[[#This Row],[Coluna1]]</f>
        <v>-2.2398387739436294</v>
      </c>
      <c r="BD306" s="8">
        <f>modelo_tese_H__2[[#This Row],[D]]-modelo_tese_H__2[[#This Row],[Dw]]-modelo_tese_H__2[[#This Row],[Dr]]</f>
        <v>4.1961669921875E-5</v>
      </c>
    </row>
    <row r="307" spans="1:56" x14ac:dyDescent="0.25">
      <c r="A307">
        <v>306</v>
      </c>
      <c r="B307">
        <v>306</v>
      </c>
      <c r="C307">
        <v>3845571774.8734498</v>
      </c>
      <c r="D307">
        <v>1784682316.5288</v>
      </c>
      <c r="E307">
        <v>1588367261.7106299</v>
      </c>
      <c r="F307">
        <v>198938095.07646301</v>
      </c>
      <c r="G307">
        <v>5567129163.2398796</v>
      </c>
      <c r="H307">
        <v>1250527205.0041499</v>
      </c>
      <c r="I307">
        <v>3037832561.7912502</v>
      </c>
      <c r="J307">
        <v>2241542770.9885302</v>
      </c>
      <c r="K307">
        <v>14088801589.9041</v>
      </c>
      <c r="L307">
        <v>-1253150245.26245</v>
      </c>
      <c r="M307">
        <v>16330344360.892599</v>
      </c>
      <c r="N307">
        <v>-23804911315.901299</v>
      </c>
      <c r="O307">
        <v>2811681395.5756998</v>
      </c>
      <c r="P307">
        <v>1855709721.0799601</v>
      </c>
      <c r="Q307">
        <v>2897496390.7822599</v>
      </c>
      <c r="R307">
        <v>1448748195.39113</v>
      </c>
      <c r="S307">
        <v>1448748195.39113</v>
      </c>
      <c r="T307">
        <v>1362933200.1845701</v>
      </c>
      <c r="U307">
        <v>555193987.10237002</v>
      </c>
      <c r="V307">
        <v>10552235936.7661</v>
      </c>
      <c r="W307">
        <v>1849525882.7844999</v>
      </c>
      <c r="X307">
        <v>0.27428550881444602</v>
      </c>
      <c r="Y307">
        <v>16376700101.692301</v>
      </c>
      <c r="Z307">
        <v>7587522254.0626297</v>
      </c>
      <c r="AA307">
        <v>0.791105866733679</v>
      </c>
      <c r="AB307">
        <v>8523597724.6591702</v>
      </c>
      <c r="AC307">
        <v>4893542282.8712101</v>
      </c>
      <c r="AD307">
        <v>6743068165.6557102</v>
      </c>
      <c r="AE307">
        <v>-13252675379.135201</v>
      </c>
      <c r="AF307">
        <v>-697956258.160079</v>
      </c>
      <c r="AG307">
        <v>5.5594999999999999E-2</v>
      </c>
      <c r="AH307">
        <v>-40135255676.7939</v>
      </c>
      <c r="AI307">
        <v>18139758190.8288</v>
      </c>
      <c r="AJ307">
        <v>0.06</v>
      </c>
      <c r="AK307">
        <v>0.05</v>
      </c>
      <c r="AL307">
        <v>8.8099999999999998E-2</v>
      </c>
      <c r="AM307">
        <v>3.8100000000000002E-2</v>
      </c>
      <c r="AN307">
        <v>0.89</v>
      </c>
      <c r="AO307">
        <v>0.66</v>
      </c>
      <c r="AP307">
        <v>0.42970000000000003</v>
      </c>
      <c r="AQ307">
        <v>0.57030000000000003</v>
      </c>
      <c r="AR307">
        <v>8.9999999999999993E-3</v>
      </c>
      <c r="AS307">
        <v>0.5</v>
      </c>
      <c r="AT307">
        <v>1.82</v>
      </c>
      <c r="AU307">
        <v>6.3545217126973294E-2</v>
      </c>
      <c r="AV307">
        <v>0.7893</v>
      </c>
      <c r="AW307">
        <v>3</v>
      </c>
      <c r="AX307">
        <v>0.05</v>
      </c>
      <c r="AY307">
        <v>1</v>
      </c>
      <c r="AZ307">
        <v>1</v>
      </c>
      <c r="BA307" s="2">
        <f>modelo_tese_H__2[[#This Row],[Vw]]+modelo_tese_H__2[[#This Row],[Vr]]+modelo_tese_H__2[[#This Row],[K]]-modelo_tese_H__2[[#This Row],[E]]</f>
        <v>-13206319638.335428</v>
      </c>
      <c r="BB307" s="2">
        <f>modelo_tese_H__2[[#This Row],[K]]-modelo_tese_H__2[[#This Row],[Coluna1]]</f>
        <v>29583019740.027729</v>
      </c>
      <c r="BC307">
        <f>modelo_tese_H__2[[#This Row],[Coluna2]]/modelo_tese_H__2[[#This Row],[Coluna1]]</f>
        <v>-2.2400654043049104</v>
      </c>
      <c r="BD307" s="8">
        <f>modelo_tese_H__2[[#This Row],[D]]-modelo_tese_H__2[[#This Row],[Dw]]-modelo_tese_H__2[[#This Row],[Dr]]</f>
        <v>0</v>
      </c>
    </row>
    <row r="308" spans="1:56" x14ac:dyDescent="0.25">
      <c r="A308">
        <v>307</v>
      </c>
      <c r="B308">
        <v>307</v>
      </c>
      <c r="C308">
        <v>4059596645.3695402</v>
      </c>
      <c r="D308">
        <v>1884135230.9265299</v>
      </c>
      <c r="E308">
        <v>1676880355.52461</v>
      </c>
      <c r="F308">
        <v>209996046.13745499</v>
      </c>
      <c r="G308">
        <v>5876801278.2737103</v>
      </c>
      <c r="H308">
        <v>1320050264.9663601</v>
      </c>
      <c r="I308">
        <v>3206926666.6284199</v>
      </c>
      <c r="J308">
        <v>2366136037.5513201</v>
      </c>
      <c r="K308">
        <v>14872068514.295099</v>
      </c>
      <c r="L308">
        <v>-1322791435.7019</v>
      </c>
      <c r="M308">
        <v>17238204551.846401</v>
      </c>
      <c r="N308">
        <v>-25127702751.603199</v>
      </c>
      <c r="O308">
        <v>2968081453.6735902</v>
      </c>
      <c r="P308">
        <v>1958933759.4245701</v>
      </c>
      <c r="Q308">
        <v>3058756230.9579101</v>
      </c>
      <c r="R308">
        <v>1529378115.47895</v>
      </c>
      <c r="S308">
        <v>1529378115.47895</v>
      </c>
      <c r="T308">
        <v>1438703338.1946399</v>
      </c>
      <c r="U308">
        <v>586033359.45351899</v>
      </c>
      <c r="V308">
        <v>11138269296.219601</v>
      </c>
      <c r="W308">
        <v>1952492450.2744601</v>
      </c>
      <c r="X308">
        <v>0.27428992130617802</v>
      </c>
      <c r="Y308">
        <v>17288531588.1814</v>
      </c>
      <c r="Z308">
        <v>8010636588.8581305</v>
      </c>
      <c r="AA308">
        <v>0.79108746905472305</v>
      </c>
      <c r="AB308">
        <v>8998186869.0616798</v>
      </c>
      <c r="AC308">
        <v>5165860426.05299</v>
      </c>
      <c r="AD308">
        <v>7118352876.3274498</v>
      </c>
      <c r="AE308">
        <v>-13989433455.3836</v>
      </c>
      <c r="AF308">
        <v>-736758076.24837899</v>
      </c>
      <c r="AG308">
        <v>5.5594999999999999E-2</v>
      </c>
      <c r="AH308">
        <v>-42365907303.4496</v>
      </c>
      <c r="AI308">
        <v>19148905885.077801</v>
      </c>
      <c r="AJ308">
        <v>0.06</v>
      </c>
      <c r="AK308">
        <v>0.05</v>
      </c>
      <c r="AL308">
        <v>8.8099999999999998E-2</v>
      </c>
      <c r="AM308">
        <v>3.8100000000000002E-2</v>
      </c>
      <c r="AN308">
        <v>0.89</v>
      </c>
      <c r="AO308">
        <v>0.66</v>
      </c>
      <c r="AP308">
        <v>0.42970000000000003</v>
      </c>
      <c r="AQ308">
        <v>0.57030000000000003</v>
      </c>
      <c r="AR308">
        <v>8.9999999999999993E-3</v>
      </c>
      <c r="AS308">
        <v>0.5</v>
      </c>
      <c r="AT308">
        <v>1.82</v>
      </c>
      <c r="AU308">
        <v>6.3545217126973294E-2</v>
      </c>
      <c r="AV308">
        <v>0.7893</v>
      </c>
      <c r="AW308">
        <v>3</v>
      </c>
      <c r="AX308">
        <v>0.05</v>
      </c>
      <c r="AY308">
        <v>1</v>
      </c>
      <c r="AZ308">
        <v>1</v>
      </c>
      <c r="BA308" s="2">
        <f>modelo_tese_H__2[[#This Row],[Vw]]+modelo_tese_H__2[[#This Row],[Vr]]+modelo_tese_H__2[[#This Row],[K]]-modelo_tese_H__2[[#This Row],[E]]</f>
        <v>-13939106419.048531</v>
      </c>
      <c r="BB308" s="2">
        <f>modelo_tese_H__2[[#This Row],[K]]-modelo_tese_H__2[[#This Row],[Coluna1]]</f>
        <v>31227638007.229931</v>
      </c>
      <c r="BC308">
        <f>modelo_tese_H__2[[#This Row],[Coluna2]]/modelo_tese_H__2[[#This Row],[Coluna1]]</f>
        <v>-2.2402898054179214</v>
      </c>
      <c r="BD308" s="8">
        <f>modelo_tese_H__2[[#This Row],[D]]-modelo_tese_H__2[[#This Row],[Dw]]-modelo_tese_H__2[[#This Row],[Dr]]</f>
        <v>0</v>
      </c>
    </row>
    <row r="309" spans="1:56" x14ac:dyDescent="0.25">
      <c r="A309">
        <v>308</v>
      </c>
      <c r="B309">
        <v>308</v>
      </c>
      <c r="C309">
        <v>4285530586.9082799</v>
      </c>
      <c r="D309">
        <v>1989127732.18138</v>
      </c>
      <c r="E309">
        <v>1770323681.6414199</v>
      </c>
      <c r="F309">
        <v>221668673.470162</v>
      </c>
      <c r="G309">
        <v>6203697151.0446596</v>
      </c>
      <c r="H309">
        <v>1393438459.44716</v>
      </c>
      <c r="I309">
        <v>3385430814.5587502</v>
      </c>
      <c r="J309">
        <v>2497654927.9907799</v>
      </c>
      <c r="K309">
        <v>15698881163.347601</v>
      </c>
      <c r="L309">
        <v>-1396303082.3773799</v>
      </c>
      <c r="M309">
        <v>18196536091.338402</v>
      </c>
      <c r="N309">
        <v>-26524005833.980598</v>
      </c>
      <c r="O309">
        <v>3133180379.3154898</v>
      </c>
      <c r="P309">
        <v>2067899050.3482201</v>
      </c>
      <c r="Q309">
        <v>3228989116.5956302</v>
      </c>
      <c r="R309">
        <v>1614494558.2978201</v>
      </c>
      <c r="S309">
        <v>1614494558.2978201</v>
      </c>
      <c r="T309">
        <v>1518685821.0176699</v>
      </c>
      <c r="U309">
        <v>618586048.66814101</v>
      </c>
      <c r="V309">
        <v>11756855344.8878</v>
      </c>
      <c r="W309">
        <v>2061189838.59694</v>
      </c>
      <c r="X309">
        <v>0.274294288913631</v>
      </c>
      <c r="Y309">
        <v>18251117933.200802</v>
      </c>
      <c r="Z309">
        <v>8457331869.1572504</v>
      </c>
      <c r="AA309">
        <v>0.79106925828949504</v>
      </c>
      <c r="AB309">
        <v>9499193180.3194294</v>
      </c>
      <c r="AC309">
        <v>5453329864.90697</v>
      </c>
      <c r="AD309">
        <v>7514519703.5039101</v>
      </c>
      <c r="AE309">
        <v>-14767150489.0928</v>
      </c>
      <c r="AF309">
        <v>-777717033.70923495</v>
      </c>
      <c r="AG309">
        <v>5.5594999999999999E-2</v>
      </c>
      <c r="AH309">
        <v>-44720541925.319</v>
      </c>
      <c r="AI309">
        <v>20214187214.044998</v>
      </c>
      <c r="AJ309">
        <v>0.06</v>
      </c>
      <c r="AK309">
        <v>0.05</v>
      </c>
      <c r="AL309">
        <v>8.8099999999999998E-2</v>
      </c>
      <c r="AM309">
        <v>3.8100000000000002E-2</v>
      </c>
      <c r="AN309">
        <v>0.89</v>
      </c>
      <c r="AO309">
        <v>0.66</v>
      </c>
      <c r="AP309">
        <v>0.42970000000000003</v>
      </c>
      <c r="AQ309">
        <v>0.57030000000000003</v>
      </c>
      <c r="AR309">
        <v>8.9999999999999993E-3</v>
      </c>
      <c r="AS309">
        <v>0.5</v>
      </c>
      <c r="AT309">
        <v>1.82</v>
      </c>
      <c r="AU309">
        <v>6.3545217126973294E-2</v>
      </c>
      <c r="AV309">
        <v>0.7893</v>
      </c>
      <c r="AW309">
        <v>3</v>
      </c>
      <c r="AX309">
        <v>0.05</v>
      </c>
      <c r="AY309">
        <v>1</v>
      </c>
      <c r="AZ309">
        <v>1</v>
      </c>
      <c r="BA309" s="2">
        <f>modelo_tese_H__2[[#This Row],[Vw]]+modelo_tese_H__2[[#This Row],[Vr]]+modelo_tese_H__2[[#This Row],[K]]-modelo_tese_H__2[[#This Row],[E]]</f>
        <v>-14712568647.23045</v>
      </c>
      <c r="BB309" s="2">
        <f>modelo_tese_H__2[[#This Row],[K]]-modelo_tese_H__2[[#This Row],[Coluna1]]</f>
        <v>32963686580.431252</v>
      </c>
      <c r="BC309">
        <f>modelo_tese_H__2[[#This Row],[Coluna2]]/modelo_tese_H__2[[#This Row],[Coluna1]]</f>
        <v>-2.2405119983339183</v>
      </c>
      <c r="BD309" s="8">
        <f>modelo_tese_H__2[[#This Row],[D]]-modelo_tese_H__2[[#This Row],[Dw]]-modelo_tese_H__2[[#This Row],[Dr]]</f>
        <v>0</v>
      </c>
    </row>
    <row r="310" spans="1:56" x14ac:dyDescent="0.25">
      <c r="A310">
        <v>309</v>
      </c>
      <c r="B310">
        <v>309</v>
      </c>
      <c r="C310">
        <v>4524036149.7708797</v>
      </c>
      <c r="D310">
        <v>2099968265.56247</v>
      </c>
      <c r="E310">
        <v>1868971756.3506</v>
      </c>
      <c r="F310">
        <v>233990145.933943</v>
      </c>
      <c r="G310">
        <v>6548774675.02946</v>
      </c>
      <c r="H310">
        <v>1470906670.6001301</v>
      </c>
      <c r="I310">
        <v>3573868572.8846698</v>
      </c>
      <c r="J310">
        <v>2636484421.1682701</v>
      </c>
      <c r="K310">
        <v>16571660461.624201</v>
      </c>
      <c r="L310">
        <v>-1473900307.3222001</v>
      </c>
      <c r="M310">
        <v>19208144882.7925</v>
      </c>
      <c r="N310">
        <v>-27997906141.302799</v>
      </c>
      <c r="O310">
        <v>3307461957.0855899</v>
      </c>
      <c r="P310">
        <v>2182924891.6764898</v>
      </c>
      <c r="Q310">
        <v>3408694254.8773398</v>
      </c>
      <c r="R310">
        <v>1704347127.4386699</v>
      </c>
      <c r="S310">
        <v>1704347127.4386699</v>
      </c>
      <c r="T310">
        <v>1603114829.64691</v>
      </c>
      <c r="U310">
        <v>652947252.76070201</v>
      </c>
      <c r="V310">
        <v>12409802597.6485</v>
      </c>
      <c r="W310">
        <v>2175936940.08707</v>
      </c>
      <c r="X310">
        <v>0.27429861209141199</v>
      </c>
      <c r="Y310">
        <v>19267283621.412601</v>
      </c>
      <c r="Z310">
        <v>8928921681.8056507</v>
      </c>
      <c r="AA310">
        <v>0.79105123254922705</v>
      </c>
      <c r="AB310">
        <v>10028086776.4839</v>
      </c>
      <c r="AC310">
        <v>5756793464.5611601</v>
      </c>
      <c r="AD310">
        <v>7932730404.6482296</v>
      </c>
      <c r="AE310">
        <v>-15588103543.654301</v>
      </c>
      <c r="AF310">
        <v>-820953054.561499</v>
      </c>
      <c r="AG310">
        <v>5.5594999999999999E-2</v>
      </c>
      <c r="AH310">
        <v>-47206051024.095299</v>
      </c>
      <c r="AI310">
        <v>21338724279.454102</v>
      </c>
      <c r="AJ310">
        <v>0.06</v>
      </c>
      <c r="AK310">
        <v>0.05</v>
      </c>
      <c r="AL310">
        <v>8.8099999999999998E-2</v>
      </c>
      <c r="AM310">
        <v>3.8100000000000002E-2</v>
      </c>
      <c r="AN310">
        <v>0.89</v>
      </c>
      <c r="AO310">
        <v>0.66</v>
      </c>
      <c r="AP310">
        <v>0.42970000000000003</v>
      </c>
      <c r="AQ310">
        <v>0.57030000000000003</v>
      </c>
      <c r="AR310">
        <v>8.9999999999999993E-3</v>
      </c>
      <c r="AS310">
        <v>0.5</v>
      </c>
      <c r="AT310">
        <v>1.82</v>
      </c>
      <c r="AU310">
        <v>6.3545217126973294E-2</v>
      </c>
      <c r="AV310">
        <v>0.7893</v>
      </c>
      <c r="AW310">
        <v>3</v>
      </c>
      <c r="AX310">
        <v>0.05</v>
      </c>
      <c r="AY310">
        <v>1</v>
      </c>
      <c r="AZ310">
        <v>1</v>
      </c>
      <c r="BA310" s="2">
        <f>modelo_tese_H__2[[#This Row],[Vw]]+modelo_tese_H__2[[#This Row],[Vr]]+modelo_tese_H__2[[#This Row],[K]]-modelo_tese_H__2[[#This Row],[E]]</f>
        <v>-15528964805.034246</v>
      </c>
      <c r="BB310" s="2">
        <f>modelo_tese_H__2[[#This Row],[K]]-modelo_tese_H__2[[#This Row],[Coluna1]]</f>
        <v>34796248426.446846</v>
      </c>
      <c r="BC310">
        <f>modelo_tese_H__2[[#This Row],[Coluna2]]/modelo_tese_H__2[[#This Row],[Coluna1]]</f>
        <v>-2.240732003923819</v>
      </c>
      <c r="BD310" s="8">
        <f>modelo_tese_H__2[[#This Row],[D]]-modelo_tese_H__2[[#This Row],[Dw]]-modelo_tese_H__2[[#This Row],[Dr]]</f>
        <v>0</v>
      </c>
    </row>
    <row r="311" spans="1:56" x14ac:dyDescent="0.25">
      <c r="A311">
        <v>310</v>
      </c>
      <c r="B311">
        <v>310</v>
      </c>
      <c r="C311">
        <v>4775812739.6255703</v>
      </c>
      <c r="D311">
        <v>2216982445.5480499</v>
      </c>
      <c r="E311">
        <v>1973114376.53777</v>
      </c>
      <c r="F311">
        <v>246996531.82319501</v>
      </c>
      <c r="G311">
        <v>6913045013.0016699</v>
      </c>
      <c r="H311">
        <v>1552681726.9521401</v>
      </c>
      <c r="I311">
        <v>3772792635.3131099</v>
      </c>
      <c r="J311">
        <v>2783030896.54495</v>
      </c>
      <c r="K311">
        <v>17492961924.988499</v>
      </c>
      <c r="L311">
        <v>-1555810189.7650499</v>
      </c>
      <c r="M311">
        <v>20275992821.533401</v>
      </c>
      <c r="N311">
        <v>-29553716331.067799</v>
      </c>
      <c r="O311">
        <v>3491436875.2533698</v>
      </c>
      <c r="P311">
        <v>2304348337.6672201</v>
      </c>
      <c r="Q311">
        <v>3598398622.1587</v>
      </c>
      <c r="R311">
        <v>1799199311.07935</v>
      </c>
      <c r="S311">
        <v>1799199311.07935</v>
      </c>
      <c r="T311">
        <v>1692237564.1740201</v>
      </c>
      <c r="U311">
        <v>689217459.86155403</v>
      </c>
      <c r="V311">
        <v>13099020057.51</v>
      </c>
      <c r="W311">
        <v>2297070388.8039398</v>
      </c>
      <c r="X311">
        <v>0.27430289128956498</v>
      </c>
      <c r="Y311">
        <v>20340010289.046902</v>
      </c>
      <c r="Z311">
        <v>9426792759.5302391</v>
      </c>
      <c r="AA311">
        <v>0.79103338996418204</v>
      </c>
      <c r="AB311">
        <v>10586419572.2047</v>
      </c>
      <c r="AC311">
        <v>6077140972.9803305</v>
      </c>
      <c r="AD311">
        <v>8374211361.7842798</v>
      </c>
      <c r="AE311">
        <v>-16454696273.5578</v>
      </c>
      <c r="AF311">
        <v>-866592729.90349996</v>
      </c>
      <c r="AG311">
        <v>5.5594999999999999E-2</v>
      </c>
      <c r="AH311">
        <v>-49829709152.601303</v>
      </c>
      <c r="AI311">
        <v>22525812817.040298</v>
      </c>
      <c r="AJ311">
        <v>0.06</v>
      </c>
      <c r="AK311">
        <v>0.05</v>
      </c>
      <c r="AL311">
        <v>8.8099999999999998E-2</v>
      </c>
      <c r="AM311">
        <v>3.8100000000000002E-2</v>
      </c>
      <c r="AN311">
        <v>0.89</v>
      </c>
      <c r="AO311">
        <v>0.66</v>
      </c>
      <c r="AP311">
        <v>0.42970000000000003</v>
      </c>
      <c r="AQ311">
        <v>0.57030000000000003</v>
      </c>
      <c r="AR311">
        <v>8.9999999999999993E-3</v>
      </c>
      <c r="AS311">
        <v>0.5</v>
      </c>
      <c r="AT311">
        <v>1.82</v>
      </c>
      <c r="AU311">
        <v>6.3545217126973294E-2</v>
      </c>
      <c r="AV311">
        <v>0.7893</v>
      </c>
      <c r="AW311">
        <v>3</v>
      </c>
      <c r="AX311">
        <v>0.05</v>
      </c>
      <c r="AY311">
        <v>1</v>
      </c>
      <c r="AZ311">
        <v>1</v>
      </c>
      <c r="BA311" s="2">
        <f>modelo_tese_H__2[[#This Row],[Vw]]+modelo_tese_H__2[[#This Row],[Vr]]+modelo_tese_H__2[[#This Row],[K]]-modelo_tese_H__2[[#This Row],[E]]</f>
        <v>-16390678806.044342</v>
      </c>
      <c r="BB311" s="2">
        <f>modelo_tese_H__2[[#This Row],[K]]-modelo_tese_H__2[[#This Row],[Coluna1]]</f>
        <v>36730689095.091248</v>
      </c>
      <c r="BC311">
        <f>modelo_tese_H__2[[#This Row],[Coluna2]]/modelo_tese_H__2[[#This Row],[Coluna1]]</f>
        <v>-2.2409498428793677</v>
      </c>
      <c r="BD311" s="8">
        <f>modelo_tese_H__2[[#This Row],[D]]-modelo_tese_H__2[[#This Row],[Dw]]-modelo_tese_H__2[[#This Row],[Dr]]</f>
        <v>0</v>
      </c>
    </row>
    <row r="312" spans="1:56" x14ac:dyDescent="0.25">
      <c r="A312">
        <v>311</v>
      </c>
      <c r="B312">
        <v>311</v>
      </c>
      <c r="C312">
        <v>5041598667.4391403</v>
      </c>
      <c r="D312">
        <v>2340514011.2970099</v>
      </c>
      <c r="E312">
        <v>2083057470.0543399</v>
      </c>
      <c r="F312">
        <v>260725904.45825601</v>
      </c>
      <c r="G312">
        <v>7297575559.21947</v>
      </c>
      <c r="H312">
        <v>1639003067.5620501</v>
      </c>
      <c r="I312">
        <v>3982786442.0746398</v>
      </c>
      <c r="J312">
        <v>2937723323.8448501</v>
      </c>
      <c r="K312">
        <v>18465483143.2085</v>
      </c>
      <c r="L312">
        <v>-1642272430.7776301</v>
      </c>
      <c r="M312">
        <v>21403206467.053299</v>
      </c>
      <c r="N312">
        <v>-31195988761.845501</v>
      </c>
      <c r="O312">
        <v>3685644221.8280101</v>
      </c>
      <c r="P312">
        <v>2432525186.4064898</v>
      </c>
      <c r="Q312">
        <v>3798658508.5018401</v>
      </c>
      <c r="R312">
        <v>1899329254.2509201</v>
      </c>
      <c r="S312">
        <v>1899329254.2509201</v>
      </c>
      <c r="T312">
        <v>1786314967.5771</v>
      </c>
      <c r="U312">
        <v>727502742.21260297</v>
      </c>
      <c r="V312">
        <v>13826522799.722601</v>
      </c>
      <c r="W312">
        <v>2424945547.4598398</v>
      </c>
      <c r="X312">
        <v>0.27430712695361098</v>
      </c>
      <c r="Y312">
        <v>21472445466.324402</v>
      </c>
      <c r="Z312">
        <v>9952409052.7391605</v>
      </c>
      <c r="AA312">
        <v>0.79101572868311898</v>
      </c>
      <c r="AB312">
        <v>11175829829.1467</v>
      </c>
      <c r="AC312">
        <v>6415311628.4811296</v>
      </c>
      <c r="AD312">
        <v>8840257175.9409809</v>
      </c>
      <c r="AE312">
        <v>-17369465962.122799</v>
      </c>
      <c r="AF312">
        <v>-914769688.56503105</v>
      </c>
      <c r="AG312">
        <v>5.5594999999999999E-2</v>
      </c>
      <c r="AH312">
        <v>-52599195228.898804</v>
      </c>
      <c r="AI312">
        <v>23778931852.4618</v>
      </c>
      <c r="AJ312">
        <v>0.06</v>
      </c>
      <c r="AK312">
        <v>0.05</v>
      </c>
      <c r="AL312">
        <v>8.8099999999999998E-2</v>
      </c>
      <c r="AM312">
        <v>3.8100000000000002E-2</v>
      </c>
      <c r="AN312">
        <v>0.89</v>
      </c>
      <c r="AO312">
        <v>0.66</v>
      </c>
      <c r="AP312">
        <v>0.42970000000000003</v>
      </c>
      <c r="AQ312">
        <v>0.57030000000000003</v>
      </c>
      <c r="AR312">
        <v>8.9999999999999993E-3</v>
      </c>
      <c r="AS312">
        <v>0.5</v>
      </c>
      <c r="AT312">
        <v>1.82</v>
      </c>
      <c r="AU312">
        <v>6.3545217126973294E-2</v>
      </c>
      <c r="AV312">
        <v>0.7893</v>
      </c>
      <c r="AW312">
        <v>3</v>
      </c>
      <c r="AX312">
        <v>0.05</v>
      </c>
      <c r="AY312">
        <v>1</v>
      </c>
      <c r="AZ312">
        <v>1</v>
      </c>
      <c r="BA312" s="2">
        <f>modelo_tese_H__2[[#This Row],[Vw]]+modelo_tese_H__2[[#This Row],[Vr]]+modelo_tese_H__2[[#This Row],[K]]-modelo_tese_H__2[[#This Row],[E]]</f>
        <v>-17300226962.851761</v>
      </c>
      <c r="BB312" s="2">
        <f>modelo_tese_H__2[[#This Row],[K]]-modelo_tese_H__2[[#This Row],[Coluna1]]</f>
        <v>38772672429.176163</v>
      </c>
      <c r="BC312">
        <f>modelo_tese_H__2[[#This Row],[Coluna2]]/modelo_tese_H__2[[#This Row],[Coluna1]]</f>
        <v>-2.2411655357141567</v>
      </c>
      <c r="BD312" s="8">
        <f>modelo_tese_H__2[[#This Row],[D]]-modelo_tese_H__2[[#This Row],[Dw]]-modelo_tese_H__2[[#This Row],[Dr]]</f>
        <v>1.010894775390625E-4</v>
      </c>
    </row>
    <row r="313" spans="1:56" x14ac:dyDescent="0.25">
      <c r="A313">
        <v>312</v>
      </c>
      <c r="B313">
        <v>312</v>
      </c>
      <c r="C313">
        <v>5322173313.3991404</v>
      </c>
      <c r="D313">
        <v>2470925835.2862501</v>
      </c>
      <c r="E313">
        <v>2199123993.4047599</v>
      </c>
      <c r="F313">
        <v>275218453.64624</v>
      </c>
      <c r="G313">
        <v>7703493066.3295698</v>
      </c>
      <c r="H313">
        <v>1730123443.1031599</v>
      </c>
      <c r="I313">
        <v>4204465890.15416</v>
      </c>
      <c r="J313">
        <v>3101014518.8526001</v>
      </c>
      <c r="K313">
        <v>19492071678.555401</v>
      </c>
      <c r="L313">
        <v>-1733540054.8679099</v>
      </c>
      <c r="M313">
        <v>22593086197.408001</v>
      </c>
      <c r="N313">
        <v>-32929528816.713402</v>
      </c>
      <c r="O313">
        <v>3890653063.8028102</v>
      </c>
      <c r="P313">
        <v>2567831022.1098599</v>
      </c>
      <c r="Q313">
        <v>4010061148.1108398</v>
      </c>
      <c r="R313">
        <v>2005030574.0554199</v>
      </c>
      <c r="S313">
        <v>2005030574.0554199</v>
      </c>
      <c r="T313">
        <v>1885622489.7474</v>
      </c>
      <c r="U313">
        <v>767915066.50242198</v>
      </c>
      <c r="V313">
        <v>14594437866.2251</v>
      </c>
      <c r="W313">
        <v>2559937549.2459502</v>
      </c>
      <c r="X313">
        <v>0.27431131952459697</v>
      </c>
      <c r="Y313">
        <v>22667911806.165699</v>
      </c>
      <c r="Z313">
        <v>10507316027.929701</v>
      </c>
      <c r="AA313">
        <v>0.790998246873441</v>
      </c>
      <c r="AB313">
        <v>11798046959.5189</v>
      </c>
      <c r="AC313">
        <v>6772296912.26402</v>
      </c>
      <c r="AD313">
        <v>9332234461.5099792</v>
      </c>
      <c r="AE313">
        <v>-18335090950.4883</v>
      </c>
      <c r="AF313">
        <v>-965624988.36548996</v>
      </c>
      <c r="AG313">
        <v>5.5594999999999999E-2</v>
      </c>
      <c r="AH313">
        <v>-55522615014.121399</v>
      </c>
      <c r="AI313">
        <v>25101753894.1548</v>
      </c>
      <c r="AJ313">
        <v>0.06</v>
      </c>
      <c r="AK313">
        <v>0.05</v>
      </c>
      <c r="AL313">
        <v>8.8099999999999998E-2</v>
      </c>
      <c r="AM313">
        <v>3.8100000000000002E-2</v>
      </c>
      <c r="AN313">
        <v>0.89</v>
      </c>
      <c r="AO313">
        <v>0.66</v>
      </c>
      <c r="AP313">
        <v>0.42970000000000003</v>
      </c>
      <c r="AQ313">
        <v>0.57030000000000003</v>
      </c>
      <c r="AR313">
        <v>8.9999999999999993E-3</v>
      </c>
      <c r="AS313">
        <v>0.5</v>
      </c>
      <c r="AT313">
        <v>1.82</v>
      </c>
      <c r="AU313">
        <v>6.3545217126973294E-2</v>
      </c>
      <c r="AV313">
        <v>0.7893</v>
      </c>
      <c r="AW313">
        <v>3</v>
      </c>
      <c r="AX313">
        <v>0.05</v>
      </c>
      <c r="AY313">
        <v>1</v>
      </c>
      <c r="AZ313">
        <v>1</v>
      </c>
      <c r="BA313" s="2">
        <f>modelo_tese_H__2[[#This Row],[Vw]]+modelo_tese_H__2[[#This Row],[Vr]]+modelo_tese_H__2[[#This Row],[K]]-modelo_tese_H__2[[#This Row],[E]]</f>
        <v>-18260265341.730598</v>
      </c>
      <c r="BB313" s="2">
        <f>modelo_tese_H__2[[#This Row],[K]]-modelo_tese_H__2[[#This Row],[Coluna1]]</f>
        <v>40928177147.896301</v>
      </c>
      <c r="BC313">
        <f>modelo_tese_H__2[[#This Row],[Coluna2]]/modelo_tese_H__2[[#This Row],[Coluna1]]</f>
        <v>-2.2413791027648546</v>
      </c>
      <c r="BD313" s="8">
        <f>modelo_tese_H__2[[#This Row],[D]]-modelo_tese_H__2[[#This Row],[Dw]]-modelo_tese_H__2[[#This Row],[Dr]]</f>
        <v>0</v>
      </c>
    </row>
    <row r="314" spans="1:56" x14ac:dyDescent="0.25">
      <c r="A314">
        <v>313</v>
      </c>
      <c r="B314">
        <v>313</v>
      </c>
      <c r="C314">
        <v>5618359411.1816301</v>
      </c>
      <c r="D314">
        <v>2608600988.0661502</v>
      </c>
      <c r="E314">
        <v>2321654879.37887</v>
      </c>
      <c r="F314">
        <v>290516603.33816701</v>
      </c>
      <c r="G314">
        <v>8131986946.14221</v>
      </c>
      <c r="H314">
        <v>1826309655.9224801</v>
      </c>
      <c r="I314">
        <v>4438481138.6395197</v>
      </c>
      <c r="J314">
        <v>3273382469.02248</v>
      </c>
      <c r="K314">
        <v>20575733403.524899</v>
      </c>
      <c r="L314">
        <v>-1829880150.57337</v>
      </c>
      <c r="M314">
        <v>23849115872.547401</v>
      </c>
      <c r="N314">
        <v>-34759408967.286797</v>
      </c>
      <c r="O314">
        <v>4107064114.2132301</v>
      </c>
      <c r="P314">
        <v>2710662315.3807402</v>
      </c>
      <c r="Q314">
        <v>4233226440.4431801</v>
      </c>
      <c r="R314">
        <v>2116613220.22159</v>
      </c>
      <c r="S314">
        <v>2116613220.22159</v>
      </c>
      <c r="T314">
        <v>1990450893.9916401</v>
      </c>
      <c r="U314">
        <v>810572621.44953597</v>
      </c>
      <c r="V314">
        <v>15405010487.674601</v>
      </c>
      <c r="W314">
        <v>2702442397.6045599</v>
      </c>
      <c r="X314">
        <v>0.27431546943913998</v>
      </c>
      <c r="Y314">
        <v>23929916826.2323</v>
      </c>
      <c r="Z314">
        <v>11093145205.3127</v>
      </c>
      <c r="AA314">
        <v>0.79098094272098896</v>
      </c>
      <c r="AB314">
        <v>12454896596.7943</v>
      </c>
      <c r="AC314">
        <v>7149143454.0202599</v>
      </c>
      <c r="AD314">
        <v>9851585851.6248093</v>
      </c>
      <c r="AE314">
        <v>-19354398479.612202</v>
      </c>
      <c r="AF314">
        <v>-1019307529.12384</v>
      </c>
      <c r="AG314">
        <v>5.5594999999999999E-2</v>
      </c>
      <c r="AH314">
        <v>-58608524839.834099</v>
      </c>
      <c r="AI314">
        <v>26498155692.987301</v>
      </c>
      <c r="AJ314">
        <v>0.06</v>
      </c>
      <c r="AK314">
        <v>0.05</v>
      </c>
      <c r="AL314">
        <v>8.8099999999999998E-2</v>
      </c>
      <c r="AM314">
        <v>3.8100000000000002E-2</v>
      </c>
      <c r="AN314">
        <v>0.89</v>
      </c>
      <c r="AO314">
        <v>0.66</v>
      </c>
      <c r="AP314">
        <v>0.42970000000000003</v>
      </c>
      <c r="AQ314">
        <v>0.57030000000000003</v>
      </c>
      <c r="AR314">
        <v>8.9999999999999993E-3</v>
      </c>
      <c r="AS314">
        <v>0.5</v>
      </c>
      <c r="AT314">
        <v>1.82</v>
      </c>
      <c r="AU314">
        <v>6.3545217126973294E-2</v>
      </c>
      <c r="AV314">
        <v>0.7893</v>
      </c>
      <c r="AW314">
        <v>3</v>
      </c>
      <c r="AX314">
        <v>0.05</v>
      </c>
      <c r="AY314">
        <v>1</v>
      </c>
      <c r="AZ314">
        <v>1</v>
      </c>
      <c r="BA314" s="2">
        <f>modelo_tese_H__2[[#This Row],[Vw]]+modelo_tese_H__2[[#This Row],[Vr]]+modelo_tese_H__2[[#This Row],[K]]-modelo_tese_H__2[[#This Row],[E]]</f>
        <v>-19273597525.9272</v>
      </c>
      <c r="BB314" s="2">
        <f>modelo_tese_H__2[[#This Row],[K]]-modelo_tese_H__2[[#This Row],[Coluna1]]</f>
        <v>43203514352.1595</v>
      </c>
      <c r="BC314">
        <f>modelo_tese_H__2[[#This Row],[Coluna2]]/modelo_tese_H__2[[#This Row],[Coluna1]]</f>
        <v>-2.2415905641923533</v>
      </c>
      <c r="BD314" s="8">
        <f>modelo_tese_H__2[[#This Row],[D]]-modelo_tese_H__2[[#This Row],[Dw]]-modelo_tese_H__2[[#This Row],[Dr]]</f>
        <v>0</v>
      </c>
    </row>
    <row r="315" spans="1:56" x14ac:dyDescent="0.25">
      <c r="A315">
        <v>314</v>
      </c>
      <c r="B315">
        <v>314</v>
      </c>
      <c r="C315">
        <v>5931025459.2559004</v>
      </c>
      <c r="D315">
        <v>2753943862.2548499</v>
      </c>
      <c r="E315">
        <v>2451010037.4068098</v>
      </c>
      <c r="F315">
        <v>306665135.82685399</v>
      </c>
      <c r="G315">
        <v>8584312753.9438896</v>
      </c>
      <c r="H315">
        <v>1927843341.24349</v>
      </c>
      <c r="I315">
        <v>4685518514.4771605</v>
      </c>
      <c r="J315">
        <v>3455331732.7795801</v>
      </c>
      <c r="K315">
        <v>21719641302.094101</v>
      </c>
      <c r="L315">
        <v>-1931574652.2223101</v>
      </c>
      <c r="M315">
        <v>25174973034.873699</v>
      </c>
      <c r="N315">
        <v>-36690983619.509102</v>
      </c>
      <c r="O315">
        <v>4335511491.8908596</v>
      </c>
      <c r="P315">
        <v>2861437584.6479602</v>
      </c>
      <c r="Q315">
        <v>4468808767.0388603</v>
      </c>
      <c r="R315">
        <v>2234404383.5194302</v>
      </c>
      <c r="S315">
        <v>2234404383.5194302</v>
      </c>
      <c r="T315">
        <v>2101107108.3714199</v>
      </c>
      <c r="U315">
        <v>855600163.59267795</v>
      </c>
      <c r="V315">
        <v>16260610651.2673</v>
      </c>
      <c r="W315">
        <v>2852878127.1696401</v>
      </c>
      <c r="X315">
        <v>0.27431957712946597</v>
      </c>
      <c r="Y315">
        <v>25262163192.848598</v>
      </c>
      <c r="Z315">
        <v>11711618948.9629</v>
      </c>
      <c r="AA315">
        <v>0.79096381442946095</v>
      </c>
      <c r="AB315">
        <v>13148305948.4793</v>
      </c>
      <c r="AC315">
        <v>7546956099.1251202</v>
      </c>
      <c r="AD315">
        <v>10399834226.2948</v>
      </c>
      <c r="AE315">
        <v>-20430372968.241798</v>
      </c>
      <c r="AF315">
        <v>-1075974488.6296301</v>
      </c>
      <c r="AG315">
        <v>5.5594999999999999E-2</v>
      </c>
      <c r="AH315">
        <v>-61865956654.382797</v>
      </c>
      <c r="AI315">
        <v>27972229600.230202</v>
      </c>
      <c r="AJ315">
        <v>0.06</v>
      </c>
      <c r="AK315">
        <v>0.05</v>
      </c>
      <c r="AL315">
        <v>8.8099999999999998E-2</v>
      </c>
      <c r="AM315">
        <v>3.8100000000000002E-2</v>
      </c>
      <c r="AN315">
        <v>0.89</v>
      </c>
      <c r="AO315">
        <v>0.66</v>
      </c>
      <c r="AP315">
        <v>0.42970000000000003</v>
      </c>
      <c r="AQ315">
        <v>0.57030000000000003</v>
      </c>
      <c r="AR315">
        <v>8.9999999999999993E-3</v>
      </c>
      <c r="AS315">
        <v>0.5</v>
      </c>
      <c r="AT315">
        <v>1.82</v>
      </c>
      <c r="AU315">
        <v>6.3545217126973294E-2</v>
      </c>
      <c r="AV315">
        <v>0.7893</v>
      </c>
      <c r="AW315">
        <v>3</v>
      </c>
      <c r="AX315">
        <v>0.05</v>
      </c>
      <c r="AY315">
        <v>1</v>
      </c>
      <c r="AZ315">
        <v>1</v>
      </c>
      <c r="BA315" s="2">
        <f>modelo_tese_H__2[[#This Row],[Vw]]+modelo_tese_H__2[[#This Row],[Vr]]+modelo_tese_H__2[[#This Row],[K]]-modelo_tese_H__2[[#This Row],[E]]</f>
        <v>-20343182810.266899</v>
      </c>
      <c r="BB315" s="2">
        <f>modelo_tese_H__2[[#This Row],[K]]-modelo_tese_H__2[[#This Row],[Coluna1]]</f>
        <v>45605346003.115494</v>
      </c>
      <c r="BC315">
        <f>modelo_tese_H__2[[#This Row],[Coluna2]]/modelo_tese_H__2[[#This Row],[Coluna1]]</f>
        <v>-2.2417999399828017</v>
      </c>
      <c r="BD315" s="8">
        <f>modelo_tese_H__2[[#This Row],[D]]-modelo_tese_H__2[[#This Row],[Dw]]-modelo_tese_H__2[[#This Row],[Dr]]</f>
        <v>0</v>
      </c>
    </row>
    <row r="316" spans="1:56" x14ac:dyDescent="0.25">
      <c r="A316">
        <v>315</v>
      </c>
      <c r="B316">
        <v>315</v>
      </c>
      <c r="C316">
        <v>6261088266.30021</v>
      </c>
      <c r="D316">
        <v>2907381359.07618</v>
      </c>
      <c r="E316">
        <v>2587569409.5777998</v>
      </c>
      <c r="F316">
        <v>323711322.84913403</v>
      </c>
      <c r="G316">
        <v>9061795866.5604801</v>
      </c>
      <c r="H316">
        <v>2035021791.7999201</v>
      </c>
      <c r="I316">
        <v>4946302524.2268496</v>
      </c>
      <c r="J316">
        <v>3647394916.6098099</v>
      </c>
      <c r="K316">
        <v>22927144760.284199</v>
      </c>
      <c r="L316">
        <v>-2038921165.1506801</v>
      </c>
      <c r="M316">
        <v>26574539676.894001</v>
      </c>
      <c r="N316">
        <v>-38729904784.659798</v>
      </c>
      <c r="O316">
        <v>4576664579.0709496</v>
      </c>
      <c r="P316">
        <v>3020598622.18683</v>
      </c>
      <c r="Q316">
        <v>4717498909.3971596</v>
      </c>
      <c r="R316">
        <v>2358749454.6985798</v>
      </c>
      <c r="S316">
        <v>2358749454.6985798</v>
      </c>
      <c r="T316">
        <v>2217915124.3723698</v>
      </c>
      <c r="U316">
        <v>903129382.29902101</v>
      </c>
      <c r="V316">
        <v>17163740033.566299</v>
      </c>
      <c r="W316">
        <v>3011686029.28368</v>
      </c>
      <c r="X316">
        <v>0.27432364302346102</v>
      </c>
      <c r="Y316">
        <v>26668559576.945702</v>
      </c>
      <c r="Z316">
        <v>12364555523.548</v>
      </c>
      <c r="AA316">
        <v>0.79094686022080396</v>
      </c>
      <c r="AB316">
        <v>13880309446.6201</v>
      </c>
      <c r="AC316">
        <v>7966901146.4136801</v>
      </c>
      <c r="AD316">
        <v>10978587175.697399</v>
      </c>
      <c r="AE316">
        <v>-21566164751.093498</v>
      </c>
      <c r="AF316">
        <v>-1135791782.85166</v>
      </c>
      <c r="AG316">
        <v>5.5594999999999999E-2</v>
      </c>
      <c r="AH316">
        <v>-65304444461.553802</v>
      </c>
      <c r="AI316">
        <v>29528295557.1143</v>
      </c>
      <c r="AJ316">
        <v>0.06</v>
      </c>
      <c r="AK316">
        <v>0.05</v>
      </c>
      <c r="AL316">
        <v>8.8099999999999998E-2</v>
      </c>
      <c r="AM316">
        <v>3.8100000000000002E-2</v>
      </c>
      <c r="AN316">
        <v>0.89</v>
      </c>
      <c r="AO316">
        <v>0.66</v>
      </c>
      <c r="AP316">
        <v>0.42970000000000003</v>
      </c>
      <c r="AQ316">
        <v>0.57030000000000003</v>
      </c>
      <c r="AR316">
        <v>8.9999999999999993E-3</v>
      </c>
      <c r="AS316">
        <v>0.5</v>
      </c>
      <c r="AT316">
        <v>1.82</v>
      </c>
      <c r="AU316">
        <v>6.3545217126973294E-2</v>
      </c>
      <c r="AV316">
        <v>0.7893</v>
      </c>
      <c r="AW316">
        <v>3</v>
      </c>
      <c r="AX316">
        <v>0.05</v>
      </c>
      <c r="AY316">
        <v>1</v>
      </c>
      <c r="AZ316">
        <v>1</v>
      </c>
      <c r="BA316" s="2">
        <f>modelo_tese_H__2[[#This Row],[Vw]]+modelo_tese_H__2[[#This Row],[Vr]]+modelo_tese_H__2[[#This Row],[K]]-modelo_tese_H__2[[#This Row],[E]]</f>
        <v>-21472144851.041798</v>
      </c>
      <c r="BB316" s="2">
        <f>modelo_tese_H__2[[#This Row],[K]]-modelo_tese_H__2[[#This Row],[Coluna1]]</f>
        <v>48140704427.987503</v>
      </c>
      <c r="BC316">
        <f>modelo_tese_H__2[[#This Row],[Coluna2]]/modelo_tese_H__2[[#This Row],[Coluna1]]</f>
        <v>-2.2420072499488466</v>
      </c>
      <c r="BD316" s="8">
        <f>modelo_tese_H__2[[#This Row],[D]]-modelo_tese_H__2[[#This Row],[Dw]]-modelo_tese_H__2[[#This Row],[Dr]]</f>
        <v>0</v>
      </c>
    </row>
    <row r="317" spans="1:56" x14ac:dyDescent="0.25">
      <c r="A317">
        <v>316</v>
      </c>
      <c r="B317">
        <v>316</v>
      </c>
      <c r="C317">
        <v>6609515638.1736603</v>
      </c>
      <c r="D317">
        <v>3069364140.9077001</v>
      </c>
      <c r="E317">
        <v>2731734085.4078498</v>
      </c>
      <c r="F317">
        <v>341705063.97629499</v>
      </c>
      <c r="G317">
        <v>9565835364.9337597</v>
      </c>
      <c r="H317">
        <v>2148158828.3150401</v>
      </c>
      <c r="I317">
        <v>5221597977.6991796</v>
      </c>
      <c r="J317">
        <v>3850134234.2632699</v>
      </c>
      <c r="K317">
        <v>24201779373.232399</v>
      </c>
      <c r="L317">
        <v>-2152233836.7914901</v>
      </c>
      <c r="M317">
        <v>28051913607.495701</v>
      </c>
      <c r="N317">
        <v>-40882138621.451202</v>
      </c>
      <c r="O317">
        <v>4831229982.2897701</v>
      </c>
      <c r="P317">
        <v>3188611788.3112502</v>
      </c>
      <c r="Q317">
        <v>4980026073.5108204</v>
      </c>
      <c r="R317">
        <v>2490013036.7554102</v>
      </c>
      <c r="S317">
        <v>2490013036.7554102</v>
      </c>
      <c r="T317">
        <v>2341216945.5343699</v>
      </c>
      <c r="U317">
        <v>953299285.05989504</v>
      </c>
      <c r="V317">
        <v>18117039318.626202</v>
      </c>
      <c r="W317">
        <v>3179331945.6740398</v>
      </c>
      <c r="X317">
        <v>0.274327667544705</v>
      </c>
      <c r="Y317">
        <v>28153232113.8391</v>
      </c>
      <c r="Z317">
        <v>13053874432.4666</v>
      </c>
      <c r="AA317">
        <v>0.79093007833464202</v>
      </c>
      <c r="AB317">
        <v>14653054712.6075</v>
      </c>
      <c r="AC317">
        <v>8410209766.0104399</v>
      </c>
      <c r="AD317">
        <v>11589541711.6845</v>
      </c>
      <c r="AE317">
        <v>-22765099302.825001</v>
      </c>
      <c r="AF317">
        <v>-1198934551.73159</v>
      </c>
      <c r="AG317">
        <v>5.5594999999999999E-2</v>
      </c>
      <c r="AH317">
        <v>-68934052228.947006</v>
      </c>
      <c r="AI317">
        <v>31170913751.0928</v>
      </c>
      <c r="AJ317">
        <v>0.06</v>
      </c>
      <c r="AK317">
        <v>0.05</v>
      </c>
      <c r="AL317">
        <v>8.8099999999999998E-2</v>
      </c>
      <c r="AM317">
        <v>3.8100000000000002E-2</v>
      </c>
      <c r="AN317">
        <v>0.89</v>
      </c>
      <c r="AO317">
        <v>0.66</v>
      </c>
      <c r="AP317">
        <v>0.42970000000000003</v>
      </c>
      <c r="AQ317">
        <v>0.57030000000000003</v>
      </c>
      <c r="AR317">
        <v>8.9999999999999993E-3</v>
      </c>
      <c r="AS317">
        <v>0.5</v>
      </c>
      <c r="AT317">
        <v>1.82</v>
      </c>
      <c r="AU317">
        <v>6.3545217126973294E-2</v>
      </c>
      <c r="AV317">
        <v>0.7893</v>
      </c>
      <c r="AW317">
        <v>3</v>
      </c>
      <c r="AX317">
        <v>0.05</v>
      </c>
      <c r="AY317">
        <v>1</v>
      </c>
      <c r="AZ317">
        <v>1</v>
      </c>
      <c r="BA317" s="2">
        <f>modelo_tese_H__2[[#This Row],[Vw]]+modelo_tese_H__2[[#This Row],[Vr]]+modelo_tese_H__2[[#This Row],[K]]-modelo_tese_H__2[[#This Row],[E]]</f>
        <v>-22663780796.481705</v>
      </c>
      <c r="BB317" s="2">
        <f>modelo_tese_H__2[[#This Row],[K]]-modelo_tese_H__2[[#This Row],[Coluna1]]</f>
        <v>50817012910.320801</v>
      </c>
      <c r="BC317">
        <f>modelo_tese_H__2[[#This Row],[Coluna2]]/modelo_tese_H__2[[#This Row],[Coluna1]]</f>
        <v>-2.2422125137306996</v>
      </c>
      <c r="BD317" s="8">
        <f>modelo_tese_H__2[[#This Row],[D]]-modelo_tese_H__2[[#This Row],[Dw]]-modelo_tese_H__2[[#This Row],[Dr]]</f>
        <v>0</v>
      </c>
    </row>
    <row r="318" spans="1:56" x14ac:dyDescent="0.25">
      <c r="A318">
        <v>317</v>
      </c>
      <c r="B318">
        <v>317</v>
      </c>
      <c r="C318">
        <v>6977329214.3257399</v>
      </c>
      <c r="D318">
        <v>3240367953.5201898</v>
      </c>
      <c r="E318">
        <v>2883927478.6329699</v>
      </c>
      <c r="F318">
        <v>360699032.69786602</v>
      </c>
      <c r="G318">
        <v>10097908132.5903</v>
      </c>
      <c r="H318">
        <v>2267585718.3752098</v>
      </c>
      <c r="I318">
        <v>5512212229.7060499</v>
      </c>
      <c r="J318">
        <v>4064143152.6357098</v>
      </c>
      <c r="K318">
        <v>25547277297.487499</v>
      </c>
      <c r="L318">
        <v>-2271844276.1858602</v>
      </c>
      <c r="M318">
        <v>29611420450.123199</v>
      </c>
      <c r="N318">
        <v>-43153982897.6371</v>
      </c>
      <c r="O318">
        <v>5099953602.3183298</v>
      </c>
      <c r="P318">
        <v>3365969377.5300999</v>
      </c>
      <c r="Q318">
        <v>5257160026.9959202</v>
      </c>
      <c r="R318">
        <v>2628580013.4979601</v>
      </c>
      <c r="S318">
        <v>2628580013.4979601</v>
      </c>
      <c r="T318">
        <v>2471373588.8203702</v>
      </c>
      <c r="U318">
        <v>1006256604.20068</v>
      </c>
      <c r="V318">
        <v>19123295922.8269</v>
      </c>
      <c r="W318">
        <v>3356307634.0855098</v>
      </c>
      <c r="X318">
        <v>0.274331651112524</v>
      </c>
      <c r="Y318">
        <v>29720536500.424599</v>
      </c>
      <c r="Z318">
        <v>13781602053.054199</v>
      </c>
      <c r="AA318">
        <v>0.790913467028174</v>
      </c>
      <c r="AB318">
        <v>15468808853.757799</v>
      </c>
      <c r="AC318">
        <v>8878181607.2361507</v>
      </c>
      <c r="AD318">
        <v>12234489241.321699</v>
      </c>
      <c r="AE318">
        <v>-24030686974.8102</v>
      </c>
      <c r="AF318">
        <v>-1265587671.9851799</v>
      </c>
      <c r="AG318">
        <v>5.5594999999999999E-2</v>
      </c>
      <c r="AH318">
        <v>-72765403347.7603</v>
      </c>
      <c r="AI318">
        <v>32904897975.881001</v>
      </c>
      <c r="AJ318">
        <v>0.06</v>
      </c>
      <c r="AK318">
        <v>0.05</v>
      </c>
      <c r="AL318">
        <v>8.8099999999999998E-2</v>
      </c>
      <c r="AM318">
        <v>3.8100000000000002E-2</v>
      </c>
      <c r="AN318">
        <v>0.89</v>
      </c>
      <c r="AO318">
        <v>0.66</v>
      </c>
      <c r="AP318">
        <v>0.42970000000000003</v>
      </c>
      <c r="AQ318">
        <v>0.57030000000000003</v>
      </c>
      <c r="AR318">
        <v>8.9999999999999993E-3</v>
      </c>
      <c r="AS318">
        <v>0.5</v>
      </c>
      <c r="AT318">
        <v>1.82</v>
      </c>
      <c r="AU318">
        <v>6.3545217126973294E-2</v>
      </c>
      <c r="AV318">
        <v>0.7893</v>
      </c>
      <c r="AW318">
        <v>3</v>
      </c>
      <c r="AX318">
        <v>0.05</v>
      </c>
      <c r="AY318">
        <v>1</v>
      </c>
      <c r="AZ318">
        <v>1</v>
      </c>
      <c r="BA318" s="2">
        <f>modelo_tese_H__2[[#This Row],[Vw]]+modelo_tese_H__2[[#This Row],[Vr]]+modelo_tese_H__2[[#This Row],[K]]-modelo_tese_H__2[[#This Row],[E]]</f>
        <v>-23921570924.508904</v>
      </c>
      <c r="BB318" s="2">
        <f>modelo_tese_H__2[[#This Row],[K]]-modelo_tese_H__2[[#This Row],[Coluna1]]</f>
        <v>53642107424.933502</v>
      </c>
      <c r="BC318">
        <f>modelo_tese_H__2[[#This Row],[Coluna2]]/modelo_tese_H__2[[#This Row],[Coluna1]]</f>
        <v>-2.2424157507973002</v>
      </c>
      <c r="BD318" s="8">
        <f>modelo_tese_H__2[[#This Row],[D]]-modelo_tese_H__2[[#This Row],[Dw]]-modelo_tese_H__2[[#This Row],[Dr]]</f>
        <v>0</v>
      </c>
    </row>
    <row r="319" spans="1:56" x14ac:dyDescent="0.25">
      <c r="A319">
        <v>318</v>
      </c>
      <c r="B319">
        <v>318</v>
      </c>
      <c r="C319">
        <v>7365607461.9526901</v>
      </c>
      <c r="D319">
        <v>3420895021.8845701</v>
      </c>
      <c r="E319">
        <v>3044596569.4772701</v>
      </c>
      <c r="F319">
        <v>380748830.62643498</v>
      </c>
      <c r="G319">
        <v>10659573182.006001</v>
      </c>
      <c r="H319">
        <v>2393652146.3882799</v>
      </c>
      <c r="I319">
        <v>5818997546.4919901</v>
      </c>
      <c r="J319">
        <v>4290048129.1467199</v>
      </c>
      <c r="K319">
        <v>26967578178.841499</v>
      </c>
      <c r="L319">
        <v>-2398102524.60742</v>
      </c>
      <c r="M319">
        <v>31257626307.988201</v>
      </c>
      <c r="N319">
        <v>-45552085422.244499</v>
      </c>
      <c r="O319">
        <v>5383622819.1949301</v>
      </c>
      <c r="P319">
        <v>3553191060.6686502</v>
      </c>
      <c r="Q319">
        <v>5549713355.0781498</v>
      </c>
      <c r="R319">
        <v>2774856677.5390801</v>
      </c>
      <c r="S319">
        <v>2774856677.5390801</v>
      </c>
      <c r="T319">
        <v>2608766141.6558599</v>
      </c>
      <c r="U319">
        <v>1062156226.19516</v>
      </c>
      <c r="V319">
        <v>20185452149.021999</v>
      </c>
      <c r="W319">
        <v>3543132209.8701901</v>
      </c>
      <c r="X319">
        <v>0.27433559414202302</v>
      </c>
      <c r="Y319">
        <v>31375070765.245201</v>
      </c>
      <c r="Z319">
        <v>14549877585.3853</v>
      </c>
      <c r="AA319">
        <v>0.79089702457626498</v>
      </c>
      <c r="AB319">
        <v>16329965110.1234</v>
      </c>
      <c r="AC319">
        <v>9372188607.1606407</v>
      </c>
      <c r="AD319">
        <v>12915320817.0308</v>
      </c>
      <c r="AE319">
        <v>-25366633273.2225</v>
      </c>
      <c r="AF319">
        <v>-1335946298.4122601</v>
      </c>
      <c r="AG319">
        <v>5.5594999999999999E-2</v>
      </c>
      <c r="AH319">
        <v>-76809711730.232803</v>
      </c>
      <c r="AI319">
        <v>34735329734.407303</v>
      </c>
      <c r="AJ319">
        <v>0.06</v>
      </c>
      <c r="AK319">
        <v>0.05</v>
      </c>
      <c r="AL319">
        <v>8.8099999999999998E-2</v>
      </c>
      <c r="AM319">
        <v>3.8100000000000002E-2</v>
      </c>
      <c r="AN319">
        <v>0.89</v>
      </c>
      <c r="AO319">
        <v>0.66</v>
      </c>
      <c r="AP319">
        <v>0.42970000000000003</v>
      </c>
      <c r="AQ319">
        <v>0.57030000000000003</v>
      </c>
      <c r="AR319">
        <v>8.9999999999999993E-3</v>
      </c>
      <c r="AS319">
        <v>0.5</v>
      </c>
      <c r="AT319">
        <v>1.82</v>
      </c>
      <c r="AU319">
        <v>6.3545217126973294E-2</v>
      </c>
      <c r="AV319">
        <v>0.7893</v>
      </c>
      <c r="AW319">
        <v>3</v>
      </c>
      <c r="AX319">
        <v>0.05</v>
      </c>
      <c r="AY319">
        <v>1</v>
      </c>
      <c r="AZ319">
        <v>1</v>
      </c>
      <c r="BA319" s="2">
        <f>modelo_tese_H__2[[#This Row],[Vw]]+modelo_tese_H__2[[#This Row],[Vr]]+modelo_tese_H__2[[#This Row],[K]]-modelo_tese_H__2[[#This Row],[E]]</f>
        <v>-25249188815.965599</v>
      </c>
      <c r="BB319" s="2">
        <f>modelo_tese_H__2[[#This Row],[K]]-modelo_tese_H__2[[#This Row],[Coluna1]]</f>
        <v>56624259581.2108</v>
      </c>
      <c r="BC319">
        <f>modelo_tese_H__2[[#This Row],[Coluna2]]/modelo_tese_H__2[[#This Row],[Coluna1]]</f>
        <v>-2.2426169804475493</v>
      </c>
      <c r="BD319" s="8">
        <f>modelo_tese_H__2[[#This Row],[D]]-modelo_tese_H__2[[#This Row],[Dw]]-modelo_tese_H__2[[#This Row],[Dr]]</f>
        <v>0</v>
      </c>
    </row>
    <row r="320" spans="1:56" x14ac:dyDescent="0.25">
      <c r="A320">
        <v>319</v>
      </c>
      <c r="B320">
        <v>319</v>
      </c>
      <c r="C320">
        <v>7775488836.6638899</v>
      </c>
      <c r="D320">
        <v>3611475523.6293602</v>
      </c>
      <c r="E320">
        <v>3214213216.0301299</v>
      </c>
      <c r="F320">
        <v>401913150.27503502</v>
      </c>
      <c r="G320">
        <v>11252476221.5308</v>
      </c>
      <c r="H320">
        <v>2526727237.4667401</v>
      </c>
      <c r="I320">
        <v>6142853603.7719097</v>
      </c>
      <c r="J320">
        <v>4528510445.7012701</v>
      </c>
      <c r="K320">
        <v>28466840687.694401</v>
      </c>
      <c r="L320">
        <v>-2531378080.14254</v>
      </c>
      <c r="M320">
        <v>32995351133.395699</v>
      </c>
      <c r="N320">
        <v>-48083463502.3871</v>
      </c>
      <c r="O320">
        <v>5683068798.7529402</v>
      </c>
      <c r="P320">
        <v>3750825407.17694</v>
      </c>
      <c r="Q320">
        <v>5858543842.0383596</v>
      </c>
      <c r="R320">
        <v>2929271921.0191798</v>
      </c>
      <c r="S320">
        <v>2929271921.0191798</v>
      </c>
      <c r="T320">
        <v>2753796877.7337599</v>
      </c>
      <c r="U320">
        <v>1121161644.8417799</v>
      </c>
      <c r="V320">
        <v>21306613793.8638</v>
      </c>
      <c r="W320">
        <v>3740353667.7533998</v>
      </c>
      <c r="X320">
        <v>0.27433949704413702</v>
      </c>
      <c r="Y320">
        <v>33121688748.847</v>
      </c>
      <c r="Z320">
        <v>15360959332.119499</v>
      </c>
      <c r="AA320">
        <v>0.79088074927069096</v>
      </c>
      <c r="AB320">
        <v>17239049871.013901</v>
      </c>
      <c r="AC320">
        <v>9893679010.9488506</v>
      </c>
      <c r="AD320">
        <v>13634032678.702299</v>
      </c>
      <c r="AE320">
        <v>-26776849708.523201</v>
      </c>
      <c r="AF320">
        <v>-1410216435.30077</v>
      </c>
      <c r="AG320">
        <v>5.5594999999999999E-2</v>
      </c>
      <c r="AH320">
        <v>-81078814635.7827</v>
      </c>
      <c r="AI320">
        <v>36667573125.983299</v>
      </c>
      <c r="AJ320">
        <v>0.06</v>
      </c>
      <c r="AK320">
        <v>0.05</v>
      </c>
      <c r="AL320">
        <v>8.8099999999999998E-2</v>
      </c>
      <c r="AM320">
        <v>3.8100000000000002E-2</v>
      </c>
      <c r="AN320">
        <v>0.89</v>
      </c>
      <c r="AO320">
        <v>0.66</v>
      </c>
      <c r="AP320">
        <v>0.42970000000000003</v>
      </c>
      <c r="AQ320">
        <v>0.57030000000000003</v>
      </c>
      <c r="AR320">
        <v>8.9999999999999993E-3</v>
      </c>
      <c r="AS320">
        <v>0.5</v>
      </c>
      <c r="AT320">
        <v>1.82</v>
      </c>
      <c r="AU320">
        <v>6.3545217126973294E-2</v>
      </c>
      <c r="AV320">
        <v>0.7893</v>
      </c>
      <c r="AW320">
        <v>3</v>
      </c>
      <c r="AX320">
        <v>0.05</v>
      </c>
      <c r="AY320">
        <v>1</v>
      </c>
      <c r="AZ320">
        <v>1</v>
      </c>
      <c r="BA320" s="2">
        <f>modelo_tese_H__2[[#This Row],[Vw]]+modelo_tese_H__2[[#This Row],[Vr]]+modelo_tese_H__2[[#This Row],[K]]-modelo_tese_H__2[[#This Row],[E]]</f>
        <v>-26650512093.071899</v>
      </c>
      <c r="BB320" s="2">
        <f>modelo_tese_H__2[[#This Row],[K]]-modelo_tese_H__2[[#This Row],[Coluna1]]</f>
        <v>59772200841.9189</v>
      </c>
      <c r="BC320">
        <f>modelo_tese_H__2[[#This Row],[Coluna2]]/modelo_tese_H__2[[#This Row],[Coluna1]]</f>
        <v>-2.2428162218112635</v>
      </c>
      <c r="BD320" s="8">
        <f>modelo_tese_H__2[[#This Row],[D]]-modelo_tese_H__2[[#This Row],[Dw]]-modelo_tese_H__2[[#This Row],[Dr]]</f>
        <v>9.918212890625E-5</v>
      </c>
    </row>
    <row r="321" spans="1:56" x14ac:dyDescent="0.25">
      <c r="A321">
        <v>320</v>
      </c>
      <c r="B321">
        <v>320</v>
      </c>
      <c r="C321">
        <v>8208175118.9373198</v>
      </c>
      <c r="D321">
        <v>3812669144.4876099</v>
      </c>
      <c r="E321">
        <v>3393275538.5939698</v>
      </c>
      <c r="F321">
        <v>424253946.88353503</v>
      </c>
      <c r="G321">
        <v>11878354476.2647</v>
      </c>
      <c r="H321">
        <v>2667200638.2336998</v>
      </c>
      <c r="I321">
        <v>6484730123.7112103</v>
      </c>
      <c r="J321">
        <v>4780228144.6035805</v>
      </c>
      <c r="K321">
        <v>30049454695.726898</v>
      </c>
      <c r="L321">
        <v>-2672060979.2235999</v>
      </c>
      <c r="M321">
        <v>34829682840.330498</v>
      </c>
      <c r="N321">
        <v>-50755524481.610703</v>
      </c>
      <c r="O321">
        <v>5999168927.4063997</v>
      </c>
      <c r="P321">
        <v>3959451492.0882201</v>
      </c>
      <c r="Q321">
        <v>6184556985.1084805</v>
      </c>
      <c r="R321">
        <v>3092278492.5542402</v>
      </c>
      <c r="S321">
        <v>3092278492.5542402</v>
      </c>
      <c r="T321">
        <v>2906890434.85216</v>
      </c>
      <c r="U321">
        <v>1183445439.62605</v>
      </c>
      <c r="V321">
        <v>22490059233.489899</v>
      </c>
      <c r="W321">
        <v>3948550488.2463698</v>
      </c>
      <c r="X321">
        <v>0.27434336022566203</v>
      </c>
      <c r="Y321">
        <v>34965514333.935799</v>
      </c>
      <c r="Z321">
        <v>16217231327.8116</v>
      </c>
      <c r="AA321">
        <v>0.79086463942075602</v>
      </c>
      <c r="AB321">
        <v>18198730081.784</v>
      </c>
      <c r="AC321">
        <v>10444181615.7994</v>
      </c>
      <c r="AD321">
        <v>14392732104.045799</v>
      </c>
      <c r="AE321">
        <v>-28265465248.1208</v>
      </c>
      <c r="AF321">
        <v>-1488615539.5975499</v>
      </c>
      <c r="AG321">
        <v>5.5594999999999999E-2</v>
      </c>
      <c r="AH321">
        <v>-85585207321.941193</v>
      </c>
      <c r="AI321">
        <v>38707290561.301498</v>
      </c>
      <c r="AJ321">
        <v>0.06</v>
      </c>
      <c r="AK321">
        <v>0.05</v>
      </c>
      <c r="AL321">
        <v>8.8099999999999998E-2</v>
      </c>
      <c r="AM321">
        <v>3.8100000000000002E-2</v>
      </c>
      <c r="AN321">
        <v>0.89</v>
      </c>
      <c r="AO321">
        <v>0.66</v>
      </c>
      <c r="AP321">
        <v>0.42970000000000003</v>
      </c>
      <c r="AQ321">
        <v>0.57030000000000003</v>
      </c>
      <c r="AR321">
        <v>8.9999999999999993E-3</v>
      </c>
      <c r="AS321">
        <v>0.5</v>
      </c>
      <c r="AT321">
        <v>1.82</v>
      </c>
      <c r="AU321">
        <v>6.3545217126973294E-2</v>
      </c>
      <c r="AV321">
        <v>0.7893</v>
      </c>
      <c r="AW321">
        <v>3</v>
      </c>
      <c r="AX321">
        <v>0.05</v>
      </c>
      <c r="AY321">
        <v>1</v>
      </c>
      <c r="AZ321">
        <v>1</v>
      </c>
      <c r="BA321" s="2">
        <f>modelo_tese_H__2[[#This Row],[Vw]]+modelo_tese_H__2[[#This Row],[Vr]]+modelo_tese_H__2[[#This Row],[K]]-modelo_tese_H__2[[#This Row],[E]]</f>
        <v>-28129633754.515495</v>
      </c>
      <c r="BB321" s="2">
        <f>modelo_tese_H__2[[#This Row],[K]]-modelo_tese_H__2[[#This Row],[Coluna1]]</f>
        <v>63095148088.451294</v>
      </c>
      <c r="BC321">
        <f>modelo_tese_H__2[[#This Row],[Coluna2]]/modelo_tese_H__2[[#This Row],[Coluna1]]</f>
        <v>-2.2430134938505191</v>
      </c>
      <c r="BD321" s="8">
        <f>modelo_tese_H__2[[#This Row],[D]]-modelo_tese_H__2[[#This Row],[Dw]]-modelo_tese_H__2[[#This Row],[Dr]]</f>
        <v>0</v>
      </c>
    </row>
    <row r="322" spans="1:56" x14ac:dyDescent="0.25">
      <c r="A322">
        <v>321</v>
      </c>
      <c r="B322">
        <v>321</v>
      </c>
      <c r="C322">
        <v>8664934936.1148109</v>
      </c>
      <c r="D322">
        <v>4025066720.2694201</v>
      </c>
      <c r="E322">
        <v>3582309381.0397801</v>
      </c>
      <c r="F322">
        <v>447836619.79725999</v>
      </c>
      <c r="G322">
        <v>12539041776.985001</v>
      </c>
      <c r="H322">
        <v>2815483657.71631</v>
      </c>
      <c r="I322">
        <v>6845629658.5533504</v>
      </c>
      <c r="J322">
        <v>5045938072.0914497</v>
      </c>
      <c r="K322">
        <v>31720054129.536098</v>
      </c>
      <c r="L322">
        <v>-2820562938.2839298</v>
      </c>
      <c r="M322">
        <v>36765992201.627502</v>
      </c>
      <c r="N322">
        <v>-53576087419.8946</v>
      </c>
      <c r="O322">
        <v>6332849382.31565</v>
      </c>
      <c r="P322">
        <v>4179680592.32833</v>
      </c>
      <c r="Q322">
        <v>6528708648.16506</v>
      </c>
      <c r="R322">
        <v>3264354324.08253</v>
      </c>
      <c r="S322">
        <v>3264354324.08253</v>
      </c>
      <c r="T322">
        <v>3068495058.23312</v>
      </c>
      <c r="U322">
        <v>1249189780.6716599</v>
      </c>
      <c r="V322">
        <v>23739249014.161499</v>
      </c>
      <c r="W322">
        <v>4168333333.39819</v>
      </c>
      <c r="X322">
        <v>0.27434718408930697</v>
      </c>
      <c r="Y322">
        <v>36911956467.027802</v>
      </c>
      <c r="Z322">
        <v>17121210337.1273</v>
      </c>
      <c r="AA322">
        <v>0.79084869335244601</v>
      </c>
      <c r="AB322">
        <v>19211821062.6021</v>
      </c>
      <c r="AC322">
        <v>11025310250.881701</v>
      </c>
      <c r="AD322">
        <v>15193643584.2799</v>
      </c>
      <c r="AE322">
        <v>-29836838405.733101</v>
      </c>
      <c r="AF322">
        <v>-1571373157.6122701</v>
      </c>
      <c r="AG322">
        <v>5.5594999999999999E-2</v>
      </c>
      <c r="AH322">
        <v>-90342079621.522095</v>
      </c>
      <c r="AI322">
        <v>40860459351.288803</v>
      </c>
      <c r="AJ322">
        <v>0.06</v>
      </c>
      <c r="AK322">
        <v>0.05</v>
      </c>
      <c r="AL322">
        <v>8.8099999999999998E-2</v>
      </c>
      <c r="AM322">
        <v>3.8100000000000002E-2</v>
      </c>
      <c r="AN322">
        <v>0.89</v>
      </c>
      <c r="AO322">
        <v>0.66</v>
      </c>
      <c r="AP322">
        <v>0.42970000000000003</v>
      </c>
      <c r="AQ322">
        <v>0.57030000000000003</v>
      </c>
      <c r="AR322">
        <v>8.9999999999999993E-3</v>
      </c>
      <c r="AS322">
        <v>0.5</v>
      </c>
      <c r="AT322">
        <v>1.82</v>
      </c>
      <c r="AU322">
        <v>6.3545217126973294E-2</v>
      </c>
      <c r="AV322">
        <v>0.7893</v>
      </c>
      <c r="AW322">
        <v>3</v>
      </c>
      <c r="AX322">
        <v>0.05</v>
      </c>
      <c r="AY322">
        <v>1</v>
      </c>
      <c r="AZ322">
        <v>1</v>
      </c>
      <c r="BA322" s="2">
        <f>modelo_tese_H__2[[#This Row],[Vw]]+modelo_tese_H__2[[#This Row],[Vr]]+modelo_tese_H__2[[#This Row],[K]]-modelo_tese_H__2[[#This Row],[E]]</f>
        <v>-29690874140.33279</v>
      </c>
      <c r="BB322" s="2">
        <f>modelo_tese_H__2[[#This Row],[K]]-modelo_tese_H__2[[#This Row],[Coluna1]]</f>
        <v>66602830607.360596</v>
      </c>
      <c r="BC322">
        <f>modelo_tese_H__2[[#This Row],[Coluna2]]/modelo_tese_H__2[[#This Row],[Coluna1]]</f>
        <v>-2.243208815360735</v>
      </c>
      <c r="BD322" s="8">
        <f>modelo_tese_H__2[[#This Row],[D]]-modelo_tese_H__2[[#This Row],[Dw]]-modelo_tese_H__2[[#This Row],[Dr]]</f>
        <v>0</v>
      </c>
    </row>
    <row r="323" spans="1:56" x14ac:dyDescent="0.25">
      <c r="A323">
        <v>322</v>
      </c>
      <c r="B323">
        <v>322</v>
      </c>
      <c r="C323">
        <v>9147107480.2769203</v>
      </c>
      <c r="D323">
        <v>4249291970.1950498</v>
      </c>
      <c r="E323">
        <v>3781869853.4735899</v>
      </c>
      <c r="F323">
        <v>472730203.92872399</v>
      </c>
      <c r="G323">
        <v>13236473932.0481</v>
      </c>
      <c r="H323">
        <v>2972010471.6670499</v>
      </c>
      <c r="I323">
        <v>7226610529.0693598</v>
      </c>
      <c r="J323">
        <v>5326418035.4734802</v>
      </c>
      <c r="K323">
        <v>33483530538.867802</v>
      </c>
      <c r="L323">
        <v>-2977318558.87431</v>
      </c>
      <c r="M323">
        <v>38809948574.341301</v>
      </c>
      <c r="N323">
        <v>-56553405978.768898</v>
      </c>
      <c r="O323">
        <v>6685087844.4687204</v>
      </c>
      <c r="P323">
        <v>4412157977.3493605</v>
      </c>
      <c r="Q323">
        <v>6892007863.0106802</v>
      </c>
      <c r="R323">
        <v>3446003931.5053401</v>
      </c>
      <c r="S323">
        <v>3446003931.5053401</v>
      </c>
      <c r="T323">
        <v>3239083912.9633799</v>
      </c>
      <c r="U323">
        <v>1318586961.75583</v>
      </c>
      <c r="V323">
        <v>25057835975.9174</v>
      </c>
      <c r="W323">
        <v>4400346836.8688698</v>
      </c>
      <c r="X323">
        <v>0.27435096903372402</v>
      </c>
      <c r="Y323">
        <v>38966725015.617996</v>
      </c>
      <c r="Z323">
        <v>18075553242.490799</v>
      </c>
      <c r="AA323">
        <v>0.79083290940860695</v>
      </c>
      <c r="AB323">
        <v>20281294762.103199</v>
      </c>
      <c r="AC323">
        <v>11638768506.418699</v>
      </c>
      <c r="AD323">
        <v>16039115343.2876</v>
      </c>
      <c r="AE323">
        <v>-31495570002.851501</v>
      </c>
      <c r="AF323">
        <v>-1658731597.11848</v>
      </c>
      <c r="AG323">
        <v>5.5594999999999999E-2</v>
      </c>
      <c r="AH323">
        <v>-95363354553.110199</v>
      </c>
      <c r="AI323">
        <v>43133389218.408203</v>
      </c>
      <c r="AJ323">
        <v>0.06</v>
      </c>
      <c r="AK323">
        <v>0.05</v>
      </c>
      <c r="AL323">
        <v>8.8099999999999998E-2</v>
      </c>
      <c r="AM323">
        <v>3.8100000000000002E-2</v>
      </c>
      <c r="AN323">
        <v>0.89</v>
      </c>
      <c r="AO323">
        <v>0.66</v>
      </c>
      <c r="AP323">
        <v>0.42970000000000003</v>
      </c>
      <c r="AQ323">
        <v>0.57030000000000003</v>
      </c>
      <c r="AR323">
        <v>8.9999999999999993E-3</v>
      </c>
      <c r="AS323">
        <v>0.5</v>
      </c>
      <c r="AT323">
        <v>1.82</v>
      </c>
      <c r="AU323">
        <v>6.3545217126973294E-2</v>
      </c>
      <c r="AV323">
        <v>0.7893</v>
      </c>
      <c r="AW323">
        <v>3</v>
      </c>
      <c r="AX323">
        <v>0.05</v>
      </c>
      <c r="AY323">
        <v>1</v>
      </c>
      <c r="AZ323">
        <v>1</v>
      </c>
      <c r="BA323" s="2">
        <f>modelo_tese_H__2[[#This Row],[Vw]]+modelo_tese_H__2[[#This Row],[Vr]]+modelo_tese_H__2[[#This Row],[K]]-modelo_tese_H__2[[#This Row],[E]]</f>
        <v>-31338793561.574799</v>
      </c>
      <c r="BB323" s="2">
        <f>modelo_tese_H__2[[#This Row],[K]]-modelo_tese_H__2[[#This Row],[Coluna1]]</f>
        <v>70305518577.192795</v>
      </c>
      <c r="BC323">
        <f>modelo_tese_H__2[[#This Row],[Coluna2]]/modelo_tese_H__2[[#This Row],[Coluna1]]</f>
        <v>-2.2434022049717948</v>
      </c>
      <c r="BD323" s="8">
        <f>modelo_tese_H__2[[#This Row],[D]]-modelo_tese_H__2[[#This Row],[Dw]]-modelo_tese_H__2[[#This Row],[Dr]]</f>
        <v>0</v>
      </c>
    </row>
    <row r="324" spans="1:56" x14ac:dyDescent="0.25">
      <c r="A324">
        <v>323</v>
      </c>
      <c r="B324">
        <v>323</v>
      </c>
      <c r="C324">
        <v>9656106432.8764706</v>
      </c>
      <c r="D324">
        <v>4486003326.6570702</v>
      </c>
      <c r="E324">
        <v>3992542960.7247901</v>
      </c>
      <c r="F324">
        <v>499007571.86311197</v>
      </c>
      <c r="G324">
        <v>13972694397.987</v>
      </c>
      <c r="H324">
        <v>3137239393.8393698</v>
      </c>
      <c r="I324">
        <v>7628789926.4272804</v>
      </c>
      <c r="J324">
        <v>5622489080.1850595</v>
      </c>
      <c r="K324">
        <v>35345047419.1763</v>
      </c>
      <c r="L324">
        <v>-3142786599.7702098</v>
      </c>
      <c r="M324">
        <v>40967536499.361298</v>
      </c>
      <c r="N324">
        <v>-59696192578.539101</v>
      </c>
      <c r="O324">
        <v>7056916362.6197205</v>
      </c>
      <c r="P324">
        <v>4657564799.32901</v>
      </c>
      <c r="Q324">
        <v>7275519786.4405003</v>
      </c>
      <c r="R324">
        <v>3637759893.2202501</v>
      </c>
      <c r="S324">
        <v>3637759893.2202501</v>
      </c>
      <c r="T324">
        <v>3419156469.3994598</v>
      </c>
      <c r="U324">
        <v>1391839962.95028</v>
      </c>
      <c r="V324">
        <v>26449675938.867599</v>
      </c>
      <c r="W324">
        <v>4645271493.5606804</v>
      </c>
      <c r="X324">
        <v>0.274354715453557</v>
      </c>
      <c r="Y324">
        <v>41135847507.334198</v>
      </c>
      <c r="Z324">
        <v>19083064842.8312</v>
      </c>
      <c r="AA324">
        <v>0.790817285948612</v>
      </c>
      <c r="AB324">
        <v>21410288470.119801</v>
      </c>
      <c r="AC324">
        <v>12286354725.7563</v>
      </c>
      <c r="AD324">
        <v>16931626219.316999</v>
      </c>
      <c r="AE324">
        <v>-33246516639.671501</v>
      </c>
      <c r="AF324">
        <v>-1750946636.8199301</v>
      </c>
      <c r="AG324">
        <v>5.5594999999999999E-2</v>
      </c>
      <c r="AH324">
        <v>-100663729077.89999</v>
      </c>
      <c r="AI324">
        <v>45532740781.698898</v>
      </c>
      <c r="AJ324">
        <v>0.06</v>
      </c>
      <c r="AK324">
        <v>0.05</v>
      </c>
      <c r="AL324">
        <v>8.8099999999999998E-2</v>
      </c>
      <c r="AM324">
        <v>3.8100000000000002E-2</v>
      </c>
      <c r="AN324">
        <v>0.89</v>
      </c>
      <c r="AO324">
        <v>0.66</v>
      </c>
      <c r="AP324">
        <v>0.42970000000000003</v>
      </c>
      <c r="AQ324">
        <v>0.57030000000000003</v>
      </c>
      <c r="AR324">
        <v>8.9999999999999993E-3</v>
      </c>
      <c r="AS324">
        <v>0.5</v>
      </c>
      <c r="AT324">
        <v>1.82</v>
      </c>
      <c r="AU324">
        <v>6.3545217126973294E-2</v>
      </c>
      <c r="AV324">
        <v>0.7893</v>
      </c>
      <c r="AW324">
        <v>3</v>
      </c>
      <c r="AX324">
        <v>0.05</v>
      </c>
      <c r="AY324">
        <v>1</v>
      </c>
      <c r="AZ324">
        <v>1</v>
      </c>
      <c r="BA324" s="2">
        <f>modelo_tese_H__2[[#This Row],[Vw]]+modelo_tese_H__2[[#This Row],[Vr]]+modelo_tese_H__2[[#This Row],[K]]-modelo_tese_H__2[[#This Row],[E]]</f>
        <v>-33078205631.698097</v>
      </c>
      <c r="BB324" s="2">
        <f>modelo_tese_H__2[[#This Row],[K]]-modelo_tese_H__2[[#This Row],[Coluna1]]</f>
        <v>74214053139.032288</v>
      </c>
      <c r="BC324">
        <f>modelo_tese_H__2[[#This Row],[Coluna2]]/modelo_tese_H__2[[#This Row],[Coluna1]]</f>
        <v>-2.2435936811492168</v>
      </c>
      <c r="BD324" s="8">
        <f>modelo_tese_H__2[[#This Row],[D]]-modelo_tese_H__2[[#This Row],[Dw]]-modelo_tese_H__2[[#This Row],[Dr]]</f>
        <v>0</v>
      </c>
    </row>
    <row r="325" spans="1:56" x14ac:dyDescent="0.25">
      <c r="A325">
        <v>324</v>
      </c>
      <c r="B325">
        <v>324</v>
      </c>
      <c r="C325">
        <v>10193424107.6373</v>
      </c>
      <c r="D325">
        <v>4735895866.7842999</v>
      </c>
      <c r="E325">
        <v>4214947321.4380202</v>
      </c>
      <c r="F325">
        <v>526745647.19917297</v>
      </c>
      <c r="G325">
        <v>14749860265.421499</v>
      </c>
      <c r="H325">
        <v>3311654217.9398699</v>
      </c>
      <c r="I325">
        <v>8053347186.5770702</v>
      </c>
      <c r="J325">
        <v>5935017893.4291801</v>
      </c>
      <c r="K325">
        <v>37310055330.445503</v>
      </c>
      <c r="L325">
        <v>-3317451319.7927699</v>
      </c>
      <c r="M325">
        <v>43245073223.874702</v>
      </c>
      <c r="N325">
        <v>-63013643898.331902</v>
      </c>
      <c r="O325">
        <v>7449424376.4755001</v>
      </c>
      <c r="P325">
        <v>4916620088.4738302</v>
      </c>
      <c r="Q325">
        <v>7680368821.7635298</v>
      </c>
      <c r="R325">
        <v>3840184410.8817701</v>
      </c>
      <c r="S325">
        <v>3840184410.8817701</v>
      </c>
      <c r="T325">
        <v>3609239965.59373</v>
      </c>
      <c r="U325">
        <v>1469163044.53352</v>
      </c>
      <c r="V325">
        <v>27918838983.401199</v>
      </c>
      <c r="W325">
        <v>4903825654.3499098</v>
      </c>
      <c r="X325">
        <v>0.274358423739475</v>
      </c>
      <c r="Y325">
        <v>43425686800.128502</v>
      </c>
      <c r="Z325">
        <v>20146706086.2994</v>
      </c>
      <c r="AA325">
        <v>0.79080182134839005</v>
      </c>
      <c r="AB325">
        <v>22602114015.018799</v>
      </c>
      <c r="AC325">
        <v>12969967275.0509</v>
      </c>
      <c r="AD325">
        <v>17873792929.400799</v>
      </c>
      <c r="AE325">
        <v>-35094804914.930702</v>
      </c>
      <c r="AF325">
        <v>-1848288275.2592499</v>
      </c>
      <c r="AG325">
        <v>5.5594999999999999E-2</v>
      </c>
      <c r="AH325">
        <v>-106258717122.207</v>
      </c>
      <c r="AI325">
        <v>48065545069.7005</v>
      </c>
      <c r="AJ325">
        <v>0.06</v>
      </c>
      <c r="AK325">
        <v>0.05</v>
      </c>
      <c r="AL325">
        <v>8.8099999999999998E-2</v>
      </c>
      <c r="AM325">
        <v>3.8100000000000002E-2</v>
      </c>
      <c r="AN325">
        <v>0.89</v>
      </c>
      <c r="AO325">
        <v>0.66</v>
      </c>
      <c r="AP325">
        <v>0.42970000000000003</v>
      </c>
      <c r="AQ325">
        <v>0.57030000000000003</v>
      </c>
      <c r="AR325">
        <v>8.9999999999999993E-3</v>
      </c>
      <c r="AS325">
        <v>0.5</v>
      </c>
      <c r="AT325">
        <v>1.82</v>
      </c>
      <c r="AU325">
        <v>6.3545217126973294E-2</v>
      </c>
      <c r="AV325">
        <v>0.7893</v>
      </c>
      <c r="AW325">
        <v>3</v>
      </c>
      <c r="AX325">
        <v>0.05</v>
      </c>
      <c r="AY325">
        <v>1</v>
      </c>
      <c r="AZ325">
        <v>1</v>
      </c>
      <c r="BA325" s="2">
        <f>modelo_tese_H__2[[#This Row],[Vw]]+modelo_tese_H__2[[#This Row],[Vr]]+modelo_tese_H__2[[#This Row],[K]]-modelo_tese_H__2[[#This Row],[E]]</f>
        <v>-34914191338.677399</v>
      </c>
      <c r="BB325" s="2">
        <f>modelo_tese_H__2[[#This Row],[K]]-modelo_tese_H__2[[#This Row],[Coluna1]]</f>
        <v>78339878138.805908</v>
      </c>
      <c r="BC325">
        <f>modelo_tese_H__2[[#This Row],[Coluna2]]/modelo_tese_H__2[[#This Row],[Coluna1]]</f>
        <v>-2.2437832621952269</v>
      </c>
      <c r="BD325" s="8">
        <f>modelo_tese_H__2[[#This Row],[D]]-modelo_tese_H__2[[#This Row],[Dw]]-modelo_tese_H__2[[#This Row],[Dr]]</f>
        <v>0</v>
      </c>
    </row>
    <row r="326" spans="1:56" x14ac:dyDescent="0.25">
      <c r="A326">
        <v>325</v>
      </c>
      <c r="B326">
        <v>325</v>
      </c>
      <c r="C326">
        <v>10760635823.847401</v>
      </c>
      <c r="D326">
        <v>4999703351.4621201</v>
      </c>
      <c r="E326">
        <v>4449735982.8012896</v>
      </c>
      <c r="F326">
        <v>556025629.75017095</v>
      </c>
      <c r="G326">
        <v>15570248577.804701</v>
      </c>
      <c r="H326">
        <v>3495765634.1862402</v>
      </c>
      <c r="I326">
        <v>8501527246.7377005</v>
      </c>
      <c r="J326">
        <v>6264919341.4397001</v>
      </c>
      <c r="K326">
        <v>39384307856.541801</v>
      </c>
      <c r="L326">
        <v>-3501823895.2755799</v>
      </c>
      <c r="M326">
        <v>45649227197.981499</v>
      </c>
      <c r="N326">
        <v>-66515467793.607498</v>
      </c>
      <c r="O326">
        <v>7863761907.9821796</v>
      </c>
      <c r="P326">
        <v>5190082859.26824</v>
      </c>
      <c r="Q326">
        <v>8107741913.9176302</v>
      </c>
      <c r="R326">
        <v>4053870956.9588099</v>
      </c>
      <c r="S326">
        <v>4053870956.9588099</v>
      </c>
      <c r="T326">
        <v>3809890951.0233598</v>
      </c>
      <c r="U326">
        <v>1550782373.9136801</v>
      </c>
      <c r="V326">
        <v>29469621357.3148</v>
      </c>
      <c r="W326">
        <v>5176767631.7590799</v>
      </c>
      <c r="X326">
        <v>0.27436209427821701</v>
      </c>
      <c r="Y326">
        <v>45842959735.2854</v>
      </c>
      <c r="Z326">
        <v>21269602761.099701</v>
      </c>
      <c r="AA326">
        <v>0.79078651400006705</v>
      </c>
      <c r="AB326">
        <v>23860267472.598099</v>
      </c>
      <c r="AC326">
        <v>13691610106.005899</v>
      </c>
      <c r="AD326">
        <v>18868377737.764999</v>
      </c>
      <c r="AE326">
        <v>-37045846436.292603</v>
      </c>
      <c r="AF326">
        <v>-1951041521.3619001</v>
      </c>
      <c r="AG326">
        <v>5.5594999999999999E-2</v>
      </c>
      <c r="AH326">
        <v>-112164694991.589</v>
      </c>
      <c r="AI326">
        <v>50739224118.414497</v>
      </c>
      <c r="AJ326">
        <v>0.06</v>
      </c>
      <c r="AK326">
        <v>0.05</v>
      </c>
      <c r="AL326">
        <v>8.8099999999999998E-2</v>
      </c>
      <c r="AM326">
        <v>3.8100000000000002E-2</v>
      </c>
      <c r="AN326">
        <v>0.89</v>
      </c>
      <c r="AO326">
        <v>0.66</v>
      </c>
      <c r="AP326">
        <v>0.42970000000000003</v>
      </c>
      <c r="AQ326">
        <v>0.57030000000000003</v>
      </c>
      <c r="AR326">
        <v>8.9999999999999993E-3</v>
      </c>
      <c r="AS326">
        <v>0.5</v>
      </c>
      <c r="AT326">
        <v>1.82</v>
      </c>
      <c r="AU326">
        <v>6.3545217126973294E-2</v>
      </c>
      <c r="AV326">
        <v>0.7893</v>
      </c>
      <c r="AW326">
        <v>3</v>
      </c>
      <c r="AX326">
        <v>0.05</v>
      </c>
      <c r="AY326">
        <v>1</v>
      </c>
      <c r="AZ326">
        <v>1</v>
      </c>
      <c r="BA326" s="2">
        <f>modelo_tese_H__2[[#This Row],[Vw]]+modelo_tese_H__2[[#This Row],[Vr]]+modelo_tese_H__2[[#This Row],[K]]-modelo_tese_H__2[[#This Row],[E]]</f>
        <v>-36852113898.988808</v>
      </c>
      <c r="BB326" s="2">
        <f>modelo_tese_H__2[[#This Row],[K]]-modelo_tese_H__2[[#This Row],[Coluna1]]</f>
        <v>82695073634.2742</v>
      </c>
      <c r="BC326">
        <f>modelo_tese_H__2[[#This Row],[Coluna2]]/modelo_tese_H__2[[#This Row],[Coluna1]]</f>
        <v>-2.2439709662501421</v>
      </c>
      <c r="BD326" s="8">
        <f>modelo_tese_H__2[[#This Row],[D]]-modelo_tese_H__2[[#This Row],[Dw]]-modelo_tese_H__2[[#This Row],[Dr]]</f>
        <v>9.5367431640625E-5</v>
      </c>
    </row>
    <row r="327" spans="1:56" x14ac:dyDescent="0.25">
      <c r="A327">
        <v>326</v>
      </c>
      <c r="B327">
        <v>326</v>
      </c>
      <c r="C327">
        <v>11359404522.8678</v>
      </c>
      <c r="D327">
        <v>5278200377.7955704</v>
      </c>
      <c r="E327">
        <v>4697598336.2380505</v>
      </c>
      <c r="F327">
        <v>586933233.26417696</v>
      </c>
      <c r="G327">
        <v>16436263001.521601</v>
      </c>
      <c r="H327">
        <v>3690112724.6188302</v>
      </c>
      <c r="I327">
        <v>8974644294.1210594</v>
      </c>
      <c r="J327">
        <v>6613159147.7950296</v>
      </c>
      <c r="K327">
        <v>41573878451.826401</v>
      </c>
      <c r="L327">
        <v>-3696443916.32549</v>
      </c>
      <c r="M327">
        <v>48187037599.621399</v>
      </c>
      <c r="N327">
        <v>-70211911709.932999</v>
      </c>
      <c r="O327">
        <v>8301142930.06141</v>
      </c>
      <c r="P327">
        <v>5478754333.8405304</v>
      </c>
      <c r="Q327">
        <v>8558892027.8384895</v>
      </c>
      <c r="R327">
        <v>4279446013.91924</v>
      </c>
      <c r="S327">
        <v>4279446013.91924</v>
      </c>
      <c r="T327">
        <v>4021696916.14217</v>
      </c>
      <c r="U327">
        <v>1636936687.3954401</v>
      </c>
      <c r="V327">
        <v>31106558044.7103</v>
      </c>
      <c r="W327">
        <v>5464897922.7446899</v>
      </c>
      <c r="X327">
        <v>0.274365727452625</v>
      </c>
      <c r="Y327">
        <v>48394756827.908302</v>
      </c>
      <c r="Z327">
        <v>22455054669.925098</v>
      </c>
      <c r="AA327">
        <v>0.79077136231199097</v>
      </c>
      <c r="AB327">
        <v>25188439414.992001</v>
      </c>
      <c r="AC327">
        <v>14453398627.961599</v>
      </c>
      <c r="AD327">
        <v>19918296550.706299</v>
      </c>
      <c r="AE327">
        <v>-39105353665.222702</v>
      </c>
      <c r="AF327">
        <v>-2059507228.9300499</v>
      </c>
      <c r="AG327">
        <v>5.5594999999999999E-2</v>
      </c>
      <c r="AH327">
        <v>-118398949309.554</v>
      </c>
      <c r="AI327">
        <v>53561612714.635399</v>
      </c>
      <c r="AJ327">
        <v>0.06</v>
      </c>
      <c r="AK327">
        <v>0.05</v>
      </c>
      <c r="AL327">
        <v>8.8099999999999998E-2</v>
      </c>
      <c r="AM327">
        <v>3.8100000000000002E-2</v>
      </c>
      <c r="AN327">
        <v>0.89</v>
      </c>
      <c r="AO327">
        <v>0.66</v>
      </c>
      <c r="AP327">
        <v>0.42970000000000003</v>
      </c>
      <c r="AQ327">
        <v>0.57030000000000003</v>
      </c>
      <c r="AR327">
        <v>8.9999999999999993E-3</v>
      </c>
      <c r="AS327">
        <v>0.5</v>
      </c>
      <c r="AT327">
        <v>1.82</v>
      </c>
      <c r="AU327">
        <v>6.3545217126973294E-2</v>
      </c>
      <c r="AV327">
        <v>0.7893</v>
      </c>
      <c r="AW327">
        <v>3</v>
      </c>
      <c r="AX327">
        <v>0.05</v>
      </c>
      <c r="AY327">
        <v>1</v>
      </c>
      <c r="AZ327">
        <v>1</v>
      </c>
      <c r="BA327" s="2">
        <f>modelo_tese_H__2[[#This Row],[Vw]]+modelo_tese_H__2[[#This Row],[Vr]]+modelo_tese_H__2[[#This Row],[K]]-modelo_tese_H__2[[#This Row],[E]]</f>
        <v>-38897634436.935394</v>
      </c>
      <c r="BB327" s="2">
        <f>modelo_tese_H__2[[#This Row],[K]]-modelo_tese_H__2[[#This Row],[Coluna1]]</f>
        <v>87292391264.843689</v>
      </c>
      <c r="BC327">
        <f>modelo_tese_H__2[[#This Row],[Coluna2]]/modelo_tese_H__2[[#This Row],[Coluna1]]</f>
        <v>-2.2441568112932564</v>
      </c>
      <c r="BD327" s="8">
        <f>modelo_tese_H__2[[#This Row],[D]]-modelo_tese_H__2[[#This Row],[Dw]]-modelo_tese_H__2[[#This Row],[Dr]]</f>
        <v>0</v>
      </c>
    </row>
    <row r="328" spans="1:56" x14ac:dyDescent="0.25">
      <c r="A328">
        <v>327</v>
      </c>
      <c r="B328">
        <v>327</v>
      </c>
      <c r="C328">
        <v>11991485641.374001</v>
      </c>
      <c r="D328">
        <v>5572204651.3175297</v>
      </c>
      <c r="E328">
        <v>4959262139.6725998</v>
      </c>
      <c r="F328">
        <v>619558936.35973501</v>
      </c>
      <c r="G328">
        <v>17350440866.867298</v>
      </c>
      <c r="H328">
        <v>3895264541.5440102</v>
      </c>
      <c r="I328">
        <v>9474085617.5763493</v>
      </c>
      <c r="J328">
        <v>6980756720.6237698</v>
      </c>
      <c r="K328">
        <v>43885178224.355797</v>
      </c>
      <c r="L328">
        <v>-3901880966.2588201</v>
      </c>
      <c r="M328">
        <v>50865934944.979599</v>
      </c>
      <c r="N328">
        <v>-74113792676.191803</v>
      </c>
      <c r="O328">
        <v>8762848922.6602497</v>
      </c>
      <c r="P328">
        <v>5783480288.95576</v>
      </c>
      <c r="Q328">
        <v>9035141820.2672005</v>
      </c>
      <c r="R328">
        <v>4517570910.1336002</v>
      </c>
      <c r="S328">
        <v>4517570910.1336002</v>
      </c>
      <c r="T328">
        <v>4245278012.52665</v>
      </c>
      <c r="U328">
        <v>1727877988.7290399</v>
      </c>
      <c r="V328">
        <v>32834436033.439301</v>
      </c>
      <c r="W328">
        <v>5769061555.1090498</v>
      </c>
      <c r="X328">
        <v>0.27436932364168898</v>
      </c>
      <c r="Y328">
        <v>51088563052.580803</v>
      </c>
      <c r="Z328">
        <v>23706545314.900501</v>
      </c>
      <c r="AA328">
        <v>0.790756364708464</v>
      </c>
      <c r="AB328">
        <v>26590525729.6199</v>
      </c>
      <c r="AC328">
        <v>15257565906.532101</v>
      </c>
      <c r="AD328">
        <v>21026627461.641201</v>
      </c>
      <c r="AE328">
        <v>-41279356642.752502</v>
      </c>
      <c r="AF328">
        <v>-2174002977.5297799</v>
      </c>
      <c r="AG328">
        <v>5.5594999999999999E-2</v>
      </c>
      <c r="AH328">
        <v>-124979727621.17101</v>
      </c>
      <c r="AI328">
        <v>56540981348.339897</v>
      </c>
      <c r="AJ328">
        <v>0.06</v>
      </c>
      <c r="AK328">
        <v>0.05</v>
      </c>
      <c r="AL328">
        <v>8.8099999999999998E-2</v>
      </c>
      <c r="AM328">
        <v>3.8100000000000002E-2</v>
      </c>
      <c r="AN328">
        <v>0.89</v>
      </c>
      <c r="AO328">
        <v>0.66</v>
      </c>
      <c r="AP328">
        <v>0.42970000000000003</v>
      </c>
      <c r="AQ328">
        <v>0.57030000000000003</v>
      </c>
      <c r="AR328">
        <v>8.9999999999999993E-3</v>
      </c>
      <c r="AS328">
        <v>0.5</v>
      </c>
      <c r="AT328">
        <v>1.82</v>
      </c>
      <c r="AU328">
        <v>6.3545217126973294E-2</v>
      </c>
      <c r="AV328">
        <v>0.7893</v>
      </c>
      <c r="AW328">
        <v>3</v>
      </c>
      <c r="AX328">
        <v>0.05</v>
      </c>
      <c r="AY328">
        <v>1</v>
      </c>
      <c r="AZ328">
        <v>1</v>
      </c>
      <c r="BA328" s="2">
        <f>modelo_tese_H__2[[#This Row],[Vw]]+modelo_tese_H__2[[#This Row],[Vr]]+modelo_tese_H__2[[#This Row],[K]]-modelo_tese_H__2[[#This Row],[E]]</f>
        <v>-41056728535.150803</v>
      </c>
      <c r="BB328" s="2">
        <f>modelo_tese_H__2[[#This Row],[K]]-modelo_tese_H__2[[#This Row],[Coluna1]]</f>
        <v>92145291587.731598</v>
      </c>
      <c r="BC328">
        <f>modelo_tese_H__2[[#This Row],[Coluna2]]/modelo_tese_H__2[[#This Row],[Coluna1]]</f>
        <v>-2.2443408151441298</v>
      </c>
      <c r="BD328" s="8">
        <f>modelo_tese_H__2[[#This Row],[D]]-modelo_tese_H__2[[#This Row],[Dw]]-modelo_tese_H__2[[#This Row],[Dr]]</f>
        <v>0</v>
      </c>
    </row>
    <row r="329" spans="1:56" x14ac:dyDescent="0.25">
      <c r="A329">
        <v>328</v>
      </c>
      <c r="B329">
        <v>328</v>
      </c>
      <c r="C329">
        <v>12658732255.6089</v>
      </c>
      <c r="D329">
        <v>5882579384.6054096</v>
      </c>
      <c r="E329">
        <v>5235495652.2988195</v>
      </c>
      <c r="F329">
        <v>653998247.41155505</v>
      </c>
      <c r="G329">
        <v>18315460600.5299</v>
      </c>
      <c r="H329">
        <v>4111821773.7311502</v>
      </c>
      <c r="I329">
        <v>10001315673.4415</v>
      </c>
      <c r="J329">
        <v>7368788136.9795599</v>
      </c>
      <c r="K329">
        <v>46324974707.738998</v>
      </c>
      <c r="L329">
        <v>-4118736288.8361101</v>
      </c>
      <c r="M329">
        <v>53693762844.718597</v>
      </c>
      <c r="N329">
        <v>-78232528965.027893</v>
      </c>
      <c r="O329">
        <v>9250232626.5302601</v>
      </c>
      <c r="P329">
        <v>6105153533.5099697</v>
      </c>
      <c r="Q329">
        <v>9537887515.7551193</v>
      </c>
      <c r="R329">
        <v>4768943757.8775597</v>
      </c>
      <c r="S329">
        <v>4768943757.8775597</v>
      </c>
      <c r="T329">
        <v>4481288868.6527004</v>
      </c>
      <c r="U329">
        <v>1823872286.4853301</v>
      </c>
      <c r="V329">
        <v>34658308319.924599</v>
      </c>
      <c r="W329">
        <v>6090150564.4125204</v>
      </c>
      <c r="X329">
        <v>0.27437288322058101</v>
      </c>
      <c r="Y329">
        <v>53932279785.112</v>
      </c>
      <c r="Z329">
        <v>25027752121.435501</v>
      </c>
      <c r="AA329">
        <v>0.79074151962944506</v>
      </c>
      <c r="AB329">
        <v>28070639039.879601</v>
      </c>
      <c r="AC329">
        <v>16106469206.9515</v>
      </c>
      <c r="AD329">
        <v>22196619771.363998</v>
      </c>
      <c r="AE329">
        <v>-43574220645.103203</v>
      </c>
      <c r="AF329">
        <v>-2294864002.35078</v>
      </c>
      <c r="AG329">
        <v>5.5594999999999999E-2</v>
      </c>
      <c r="AH329">
        <v>-131926291809.746</v>
      </c>
      <c r="AI329">
        <v>59686060441.3601</v>
      </c>
      <c r="AJ329">
        <v>0.06</v>
      </c>
      <c r="AK329">
        <v>0.05</v>
      </c>
      <c r="AL329">
        <v>8.8099999999999998E-2</v>
      </c>
      <c r="AM329">
        <v>3.8100000000000002E-2</v>
      </c>
      <c r="AN329">
        <v>0.89</v>
      </c>
      <c r="AO329">
        <v>0.66</v>
      </c>
      <c r="AP329">
        <v>0.42970000000000003</v>
      </c>
      <c r="AQ329">
        <v>0.57030000000000003</v>
      </c>
      <c r="AR329">
        <v>8.9999999999999993E-3</v>
      </c>
      <c r="AS329">
        <v>0.5</v>
      </c>
      <c r="AT329">
        <v>1.82</v>
      </c>
      <c r="AU329">
        <v>6.3545217126973294E-2</v>
      </c>
      <c r="AV329">
        <v>0.7893</v>
      </c>
      <c r="AW329">
        <v>3</v>
      </c>
      <c r="AX329">
        <v>0.05</v>
      </c>
      <c r="AY329">
        <v>1</v>
      </c>
      <c r="AZ329">
        <v>1</v>
      </c>
      <c r="BA329" s="2">
        <f>modelo_tese_H__2[[#This Row],[Vw]]+modelo_tese_H__2[[#This Row],[Vr]]+modelo_tese_H__2[[#This Row],[K]]-modelo_tese_H__2[[#This Row],[E]]</f>
        <v>-43335703704.709396</v>
      </c>
      <c r="BB329" s="2">
        <f>modelo_tese_H__2[[#This Row],[K]]-modelo_tese_H__2[[#This Row],[Coluna1]]</f>
        <v>97267983489.821396</v>
      </c>
      <c r="BC329">
        <f>modelo_tese_H__2[[#This Row],[Coluna2]]/modelo_tese_H__2[[#This Row],[Coluna1]]</f>
        <v>-2.2445229954636932</v>
      </c>
      <c r="BD329" s="8">
        <f>modelo_tese_H__2[[#This Row],[D]]-modelo_tese_H__2[[#This Row],[Dw]]-modelo_tese_H__2[[#This Row],[Dr]]</f>
        <v>9.1552734375E-5</v>
      </c>
    </row>
    <row r="330" spans="1:56" x14ac:dyDescent="0.25">
      <c r="A330">
        <v>329</v>
      </c>
      <c r="B330">
        <v>329</v>
      </c>
      <c r="C330">
        <v>13363100511.7281</v>
      </c>
      <c r="D330">
        <v>6210235829.3470898</v>
      </c>
      <c r="E330">
        <v>5527109888.1189098</v>
      </c>
      <c r="F330">
        <v>690351984.16170204</v>
      </c>
      <c r="G330">
        <v>19334149571.352901</v>
      </c>
      <c r="H330">
        <v>4340418505.2417297</v>
      </c>
      <c r="I330">
        <v>10557880377.522301</v>
      </c>
      <c r="J330">
        <v>7778389293.1223402</v>
      </c>
      <c r="K330">
        <v>48900411676.615898</v>
      </c>
      <c r="L330">
        <v>-4347644548.1752501</v>
      </c>
      <c r="M330">
        <v>56678800969.738197</v>
      </c>
      <c r="N330">
        <v>-82580173513.203094</v>
      </c>
      <c r="O330">
        <v>9764722005.7338104</v>
      </c>
      <c r="P330">
        <v>6444716523.7843103</v>
      </c>
      <c r="Q330">
        <v>10068602998.228201</v>
      </c>
      <c r="R330">
        <v>5034301499.1141005</v>
      </c>
      <c r="S330">
        <v>5034301499.1141005</v>
      </c>
      <c r="T330">
        <v>4730420506.61971</v>
      </c>
      <c r="U330">
        <v>1925200372.414</v>
      </c>
      <c r="V330">
        <v>36583508692.3386</v>
      </c>
      <c r="W330">
        <v>6429106608.6496</v>
      </c>
      <c r="X330">
        <v>0.27437640656069301</v>
      </c>
      <c r="Y330">
        <v>56934247964.664001</v>
      </c>
      <c r="Z330">
        <v>26422557230.971001</v>
      </c>
      <c r="AA330">
        <v>0.79072682553079598</v>
      </c>
      <c r="AB330">
        <v>29633120761.050598</v>
      </c>
      <c r="AC330">
        <v>17002596901.3067</v>
      </c>
      <c r="AD330">
        <v>23431703509.956299</v>
      </c>
      <c r="AE330">
        <v>-45996664820.864502</v>
      </c>
      <c r="AF330">
        <v>-2422444175.76125</v>
      </c>
      <c r="AG330">
        <v>5.5594999999999999E-2</v>
      </c>
      <c r="AH330">
        <v>-139258974482.94101</v>
      </c>
      <c r="AI330">
        <v>63006065923.309601</v>
      </c>
      <c r="AJ330">
        <v>0.06</v>
      </c>
      <c r="AK330">
        <v>0.05</v>
      </c>
      <c r="AL330">
        <v>8.8099999999999998E-2</v>
      </c>
      <c r="AM330">
        <v>3.8100000000000002E-2</v>
      </c>
      <c r="AN330">
        <v>0.89</v>
      </c>
      <c r="AO330">
        <v>0.66</v>
      </c>
      <c r="AP330">
        <v>0.42970000000000003</v>
      </c>
      <c r="AQ330">
        <v>0.57030000000000003</v>
      </c>
      <c r="AR330">
        <v>8.9999999999999993E-3</v>
      </c>
      <c r="AS330">
        <v>0.5</v>
      </c>
      <c r="AT330">
        <v>1.82</v>
      </c>
      <c r="AU330">
        <v>6.3545217126973294E-2</v>
      </c>
      <c r="AV330">
        <v>0.7893</v>
      </c>
      <c r="AW330">
        <v>3</v>
      </c>
      <c r="AX330">
        <v>0.05</v>
      </c>
      <c r="AY330">
        <v>1</v>
      </c>
      <c r="AZ330">
        <v>1</v>
      </c>
      <c r="BA330" s="2">
        <f>modelo_tese_H__2[[#This Row],[Vw]]+modelo_tese_H__2[[#This Row],[Vr]]+modelo_tese_H__2[[#This Row],[K]]-modelo_tese_H__2[[#This Row],[E]]</f>
        <v>-45741217825.938408</v>
      </c>
      <c r="BB330" s="2">
        <f>modelo_tese_H__2[[#This Row],[K]]-modelo_tese_H__2[[#This Row],[Coluna1]]</f>
        <v>102675465790.60242</v>
      </c>
      <c r="BC330">
        <f>modelo_tese_H__2[[#This Row],[Coluna2]]/modelo_tese_H__2[[#This Row],[Coluna1]]</f>
        <v>-2.244703369755459</v>
      </c>
      <c r="BD330" s="8">
        <f>modelo_tese_H__2[[#This Row],[D]]-modelo_tese_H__2[[#This Row],[Dw]]-modelo_tese_H__2[[#This Row],[Dr]]</f>
        <v>0</v>
      </c>
    </row>
    <row r="331" spans="1:56" x14ac:dyDescent="0.25">
      <c r="A331">
        <v>330</v>
      </c>
      <c r="B331">
        <v>330</v>
      </c>
      <c r="C331">
        <v>14106655358.122499</v>
      </c>
      <c r="D331">
        <v>6556135949.2567101</v>
      </c>
      <c r="E331">
        <v>5834960994.8384705</v>
      </c>
      <c r="F331">
        <v>728726568.87504995</v>
      </c>
      <c r="G331">
        <v>20409492372.3395</v>
      </c>
      <c r="H331">
        <v>4581724072.0406504</v>
      </c>
      <c r="I331">
        <v>11145411635.7542</v>
      </c>
      <c r="J331">
        <v>8210759229.92943</v>
      </c>
      <c r="K331">
        <v>51619030063.777496</v>
      </c>
      <c r="L331">
        <v>-4589275686.4974604</v>
      </c>
      <c r="M331">
        <v>59829789293.706902</v>
      </c>
      <c r="N331">
        <v>-87169449199.700607</v>
      </c>
      <c r="O331">
        <v>10307824430.474501</v>
      </c>
      <c r="P331">
        <v>6803164124.1131601</v>
      </c>
      <c r="Q331">
        <v>10628844130.0811</v>
      </c>
      <c r="R331">
        <v>5314422065.0405397</v>
      </c>
      <c r="S331">
        <v>5314422065.0405397</v>
      </c>
      <c r="T331">
        <v>4993402365.4339399</v>
      </c>
      <c r="U331">
        <v>2032158643.0655899</v>
      </c>
      <c r="V331">
        <v>38615667335.404198</v>
      </c>
      <c r="W331">
        <v>6786923728.3362799</v>
      </c>
      <c r="X331">
        <v>0.274379894029678</v>
      </c>
      <c r="Y331">
        <v>60103272544.124802</v>
      </c>
      <c r="Z331">
        <v>27895058894.266701</v>
      </c>
      <c r="AA331">
        <v>0.79071228088357604</v>
      </c>
      <c r="AB331">
        <v>31282553826.738499</v>
      </c>
      <c r="AC331">
        <v>17948575759.867298</v>
      </c>
      <c r="AD331">
        <v>24735499488.203602</v>
      </c>
      <c r="AE331">
        <v>-48553781864.296402</v>
      </c>
      <c r="AF331">
        <v>-2557117043.43187</v>
      </c>
      <c r="AG331">
        <v>5.5594999999999999E-2</v>
      </c>
      <c r="AH331">
        <v>-146999238493.40799</v>
      </c>
      <c r="AI331">
        <v>66510726229.670998</v>
      </c>
      <c r="AJ331">
        <v>0.06</v>
      </c>
      <c r="AK331">
        <v>0.05</v>
      </c>
      <c r="AL331">
        <v>8.8099999999999998E-2</v>
      </c>
      <c r="AM331">
        <v>3.8100000000000002E-2</v>
      </c>
      <c r="AN331">
        <v>0.89</v>
      </c>
      <c r="AO331">
        <v>0.66</v>
      </c>
      <c r="AP331">
        <v>0.42970000000000003</v>
      </c>
      <c r="AQ331">
        <v>0.57030000000000003</v>
      </c>
      <c r="AR331">
        <v>8.9999999999999993E-3</v>
      </c>
      <c r="AS331">
        <v>0.5</v>
      </c>
      <c r="AT331">
        <v>1.82</v>
      </c>
      <c r="AU331">
        <v>6.3545217126973294E-2</v>
      </c>
      <c r="AV331">
        <v>0.7893</v>
      </c>
      <c r="AW331">
        <v>3</v>
      </c>
      <c r="AX331">
        <v>0.05</v>
      </c>
      <c r="AY331">
        <v>1</v>
      </c>
      <c r="AZ331">
        <v>1</v>
      </c>
      <c r="BA331" s="2">
        <f>modelo_tese_H__2[[#This Row],[Vw]]+modelo_tese_H__2[[#This Row],[Vr]]+modelo_tese_H__2[[#This Row],[K]]-modelo_tese_H__2[[#This Row],[E]]</f>
        <v>-48280298613.878899</v>
      </c>
      <c r="BB331" s="2">
        <f>modelo_tese_H__2[[#This Row],[K]]-modelo_tese_H__2[[#This Row],[Coluna1]]</f>
        <v>108383571158.00369</v>
      </c>
      <c r="BC331">
        <f>modelo_tese_H__2[[#This Row],[Coluna2]]/modelo_tese_H__2[[#This Row],[Coluna1]]</f>
        <v>-2.2448819553665147</v>
      </c>
      <c r="BD331" s="8">
        <f>modelo_tese_H__2[[#This Row],[D]]-modelo_tese_H__2[[#This Row],[Dw]]-modelo_tese_H__2[[#This Row],[Dr]]</f>
        <v>0</v>
      </c>
    </row>
    <row r="332" spans="1:56" x14ac:dyDescent="0.25">
      <c r="A332">
        <v>331</v>
      </c>
      <c r="B332">
        <v>331</v>
      </c>
      <c r="C332">
        <v>14891576596.545401</v>
      </c>
      <c r="D332">
        <v>6921295241.7072401</v>
      </c>
      <c r="E332">
        <v>6159952765.1194496</v>
      </c>
      <c r="F332">
        <v>769234339.90294194</v>
      </c>
      <c r="G332">
        <v>21544639563.178299</v>
      </c>
      <c r="H332">
        <v>4836445021.8257504</v>
      </c>
      <c r="I332">
        <v>11765632126.848101</v>
      </c>
      <c r="J332">
        <v>8667163643.17206</v>
      </c>
      <c r="K332">
        <v>54488790040.173302</v>
      </c>
      <c r="L332">
        <v>-4844336885.1408901</v>
      </c>
      <c r="M332">
        <v>63155953683.345398</v>
      </c>
      <c r="N332">
        <v>-92013786084.841507</v>
      </c>
      <c r="O332">
        <v>10881131092.514299</v>
      </c>
      <c r="P332">
        <v>7181546521.0594301</v>
      </c>
      <c r="Q332">
        <v>11220253311.4774</v>
      </c>
      <c r="R332">
        <v>5610126655.7387104</v>
      </c>
      <c r="S332">
        <v>5610126655.7387104</v>
      </c>
      <c r="T332">
        <v>5271004436.7755804</v>
      </c>
      <c r="U332">
        <v>2145059967.07829</v>
      </c>
      <c r="V332">
        <v>40760727302.482498</v>
      </c>
      <c r="W332">
        <v>7164651260.1152697</v>
      </c>
      <c r="X332">
        <v>0.27438334599148301</v>
      </c>
      <c r="Y332">
        <v>63448648300.382004</v>
      </c>
      <c r="Z332">
        <v>29449583498.643299</v>
      </c>
      <c r="AA332">
        <v>0.79069788417447995</v>
      </c>
      <c r="AB332">
        <v>33023776123.1455</v>
      </c>
      <c r="AC332">
        <v>18947178647.9076</v>
      </c>
      <c r="AD332">
        <v>26111829908.0228</v>
      </c>
      <c r="AE332">
        <v>-51253058782.359001</v>
      </c>
      <c r="AF332">
        <v>-2699276918.0626001</v>
      </c>
      <c r="AG332">
        <v>5.5594999999999999E-2</v>
      </c>
      <c r="AH332">
        <v>-155169739768.18701</v>
      </c>
      <c r="AI332">
        <v>70210310801.125793</v>
      </c>
      <c r="AJ332">
        <v>0.06</v>
      </c>
      <c r="AK332">
        <v>0.05</v>
      </c>
      <c r="AL332">
        <v>8.8099999999999998E-2</v>
      </c>
      <c r="AM332">
        <v>3.8100000000000002E-2</v>
      </c>
      <c r="AN332">
        <v>0.89</v>
      </c>
      <c r="AO332">
        <v>0.66</v>
      </c>
      <c r="AP332">
        <v>0.42970000000000003</v>
      </c>
      <c r="AQ332">
        <v>0.57030000000000003</v>
      </c>
      <c r="AR332">
        <v>8.9999999999999993E-3</v>
      </c>
      <c r="AS332">
        <v>0.5</v>
      </c>
      <c r="AT332">
        <v>1.82</v>
      </c>
      <c r="AU332">
        <v>6.3545217126973294E-2</v>
      </c>
      <c r="AV332">
        <v>0.7893</v>
      </c>
      <c r="AW332">
        <v>3</v>
      </c>
      <c r="AX332">
        <v>0.05</v>
      </c>
      <c r="AY332">
        <v>1</v>
      </c>
      <c r="AZ332">
        <v>1</v>
      </c>
      <c r="BA332" s="2">
        <f>modelo_tese_H__2[[#This Row],[Vw]]+modelo_tese_H__2[[#This Row],[Vr]]+modelo_tese_H__2[[#This Row],[K]]-modelo_tese_H__2[[#This Row],[E]]</f>
        <v>-50960364165.32251</v>
      </c>
      <c r="BB332" s="2">
        <f>modelo_tese_H__2[[#This Row],[K]]-modelo_tese_H__2[[#This Row],[Coluna1]]</f>
        <v>114409012465.70451</v>
      </c>
      <c r="BC332">
        <f>modelo_tese_H__2[[#This Row],[Coluna2]]/modelo_tese_H__2[[#This Row],[Coluna1]]</f>
        <v>-2.2450587694888866</v>
      </c>
      <c r="BD332" s="8">
        <f>modelo_tese_H__2[[#This Row],[D]]-modelo_tese_H__2[[#This Row],[Dw]]-modelo_tese_H__2[[#This Row],[Dr]]</f>
        <v>0</v>
      </c>
    </row>
    <row r="333" spans="1:56" x14ac:dyDescent="0.25">
      <c r="A333">
        <v>332</v>
      </c>
      <c r="B333">
        <v>332</v>
      </c>
      <c r="C333">
        <v>15720165269.7349</v>
      </c>
      <c r="D333">
        <v>7306785716.3173103</v>
      </c>
      <c r="E333">
        <v>6503039287.5224104</v>
      </c>
      <c r="F333">
        <v>811993880.56745398</v>
      </c>
      <c r="G333">
        <v>22742916898.871498</v>
      </c>
      <c r="H333">
        <v>5105327182.8141499</v>
      </c>
      <c r="I333">
        <v>12420360350.903999</v>
      </c>
      <c r="J333">
        <v>9148938588.93466</v>
      </c>
      <c r="K333">
        <v>57518094322.456802</v>
      </c>
      <c r="L333">
        <v>-5113574634.5867004</v>
      </c>
      <c r="M333">
        <v>66667032911.391502</v>
      </c>
      <c r="N333">
        <v>-97127360719.428207</v>
      </c>
      <c r="O333">
        <v>11486321666.096701</v>
      </c>
      <c r="P333">
        <v>7580972299.6238298</v>
      </c>
      <c r="Q333">
        <v>11844564293.188</v>
      </c>
      <c r="R333">
        <v>5922282146.5939798</v>
      </c>
      <c r="S333">
        <v>5922282146.5939798</v>
      </c>
      <c r="T333">
        <v>5564039519.5027304</v>
      </c>
      <c r="U333">
        <v>2264234600.6718202</v>
      </c>
      <c r="V333">
        <v>43024961903.154297</v>
      </c>
      <c r="W333">
        <v>7563396912.3950396</v>
      </c>
      <c r="X333">
        <v>0.27438676280638802</v>
      </c>
      <c r="Y333">
        <v>66980187080.116302</v>
      </c>
      <c r="Z333">
        <v>31090698264.444401</v>
      </c>
      <c r="AA333">
        <v>0.79068363390521001</v>
      </c>
      <c r="AB333">
        <v>34861894670.539597</v>
      </c>
      <c r="AC333">
        <v>20001332650.527802</v>
      </c>
      <c r="AD333">
        <v>27564729562.922901</v>
      </c>
      <c r="AE333">
        <v>-54102398816.273804</v>
      </c>
      <c r="AF333">
        <v>-2849340033.9148798</v>
      </c>
      <c r="AG333">
        <v>5.5594999999999999E-2</v>
      </c>
      <c r="AH333">
        <v>-163794393630.82001</v>
      </c>
      <c r="AI333">
        <v>74115660167.598694</v>
      </c>
      <c r="AJ333">
        <v>0.06</v>
      </c>
      <c r="AK333">
        <v>0.05</v>
      </c>
      <c r="AL333">
        <v>8.8099999999999998E-2</v>
      </c>
      <c r="AM333">
        <v>3.8100000000000002E-2</v>
      </c>
      <c r="AN333">
        <v>0.89</v>
      </c>
      <c r="AO333">
        <v>0.66</v>
      </c>
      <c r="AP333">
        <v>0.42970000000000003</v>
      </c>
      <c r="AQ333">
        <v>0.57030000000000003</v>
      </c>
      <c r="AR333">
        <v>8.9999999999999993E-3</v>
      </c>
      <c r="AS333">
        <v>0.5</v>
      </c>
      <c r="AT333">
        <v>1.82</v>
      </c>
      <c r="AU333">
        <v>6.3545217126973294E-2</v>
      </c>
      <c r="AV333">
        <v>0.7893</v>
      </c>
      <c r="AW333">
        <v>3</v>
      </c>
      <c r="AX333">
        <v>0.05</v>
      </c>
      <c r="AY333">
        <v>1</v>
      </c>
      <c r="AZ333">
        <v>1</v>
      </c>
      <c r="BA333" s="2">
        <f>modelo_tese_H__2[[#This Row],[Vw]]+modelo_tese_H__2[[#This Row],[Vr]]+modelo_tese_H__2[[#This Row],[K]]-modelo_tese_H__2[[#This Row],[E]]</f>
        <v>-53789244647.549408</v>
      </c>
      <c r="BB333" s="2">
        <f>modelo_tese_H__2[[#This Row],[K]]-modelo_tese_H__2[[#This Row],[Coluna1]]</f>
        <v>120769431727.66571</v>
      </c>
      <c r="BC333">
        <f>modelo_tese_H__2[[#This Row],[Coluna2]]/modelo_tese_H__2[[#This Row],[Coluna1]]</f>
        <v>-2.2452338291604521</v>
      </c>
      <c r="BD333" s="8">
        <f>modelo_tese_H__2[[#This Row],[D]]-modelo_tese_H__2[[#This Row],[Dw]]-modelo_tese_H__2[[#This Row],[Dr]]</f>
        <v>1.068115234375E-4</v>
      </c>
    </row>
    <row r="334" spans="1:56" x14ac:dyDescent="0.25">
      <c r="A334">
        <v>333</v>
      </c>
      <c r="B334">
        <v>333</v>
      </c>
      <c r="C334">
        <v>16594850404.2752</v>
      </c>
      <c r="D334">
        <v>7713739039.2522202</v>
      </c>
      <c r="E334">
        <v>6865227744.9344797</v>
      </c>
      <c r="F334">
        <v>857130366.32897902</v>
      </c>
      <c r="G334">
        <v>24007835071.514</v>
      </c>
      <c r="H334">
        <v>5389157847.5426998</v>
      </c>
      <c r="I334">
        <v>13111515958.8062</v>
      </c>
      <c r="J334">
        <v>9657494395.0252304</v>
      </c>
      <c r="K334">
        <v>60715812776.313904</v>
      </c>
      <c r="L334">
        <v>-5397776919.5539398</v>
      </c>
      <c r="M334">
        <v>70373307171.339203</v>
      </c>
      <c r="N334">
        <v>-102525137638.98199</v>
      </c>
      <c r="O334">
        <v>12125169228.037399</v>
      </c>
      <c r="P334">
        <v>8002611690.5046797</v>
      </c>
      <c r="Q334">
        <v>12503607257.087601</v>
      </c>
      <c r="R334">
        <v>6251803628.5438099</v>
      </c>
      <c r="S334">
        <v>6251803628.5438099</v>
      </c>
      <c r="T334">
        <v>5873365599.4935904</v>
      </c>
      <c r="U334">
        <v>2390031154.0245199</v>
      </c>
      <c r="V334">
        <v>45414993057.178902</v>
      </c>
      <c r="W334">
        <v>7984330012.0519896</v>
      </c>
      <c r="X334">
        <v>0.27439014483104202</v>
      </c>
      <c r="Y334">
        <v>70708246560.957001</v>
      </c>
      <c r="Z334">
        <v>32823224647.952599</v>
      </c>
      <c r="AA334">
        <v>0.79066952859260997</v>
      </c>
      <c r="AB334">
        <v>36802300593.470497</v>
      </c>
      <c r="AC334">
        <v>21114127649.310799</v>
      </c>
      <c r="AD334">
        <v>29098457661.362801</v>
      </c>
      <c r="AE334">
        <v>-57110144581.803299</v>
      </c>
      <c r="AF334">
        <v>-3007745765.5294099</v>
      </c>
      <c r="AG334">
        <v>5.5594999999999999E-2</v>
      </c>
      <c r="AH334">
        <v>-172898444810.32101</v>
      </c>
      <c r="AI334">
        <v>78238217705.131393</v>
      </c>
      <c r="AJ334">
        <v>0.06</v>
      </c>
      <c r="AK334">
        <v>0.05</v>
      </c>
      <c r="AL334">
        <v>8.8099999999999998E-2</v>
      </c>
      <c r="AM334">
        <v>3.8100000000000002E-2</v>
      </c>
      <c r="AN334">
        <v>0.89</v>
      </c>
      <c r="AO334">
        <v>0.66</v>
      </c>
      <c r="AP334">
        <v>0.42970000000000003</v>
      </c>
      <c r="AQ334">
        <v>0.57030000000000003</v>
      </c>
      <c r="AR334">
        <v>8.9999999999999993E-3</v>
      </c>
      <c r="AS334">
        <v>0.5</v>
      </c>
      <c r="AT334">
        <v>1.82</v>
      </c>
      <c r="AU334">
        <v>6.3545217126973294E-2</v>
      </c>
      <c r="AV334">
        <v>0.7893</v>
      </c>
      <c r="AW334">
        <v>3</v>
      </c>
      <c r="AX334">
        <v>0.05</v>
      </c>
      <c r="AY334">
        <v>1</v>
      </c>
      <c r="AZ334">
        <v>1</v>
      </c>
      <c r="BA334" s="2">
        <f>modelo_tese_H__2[[#This Row],[Vw]]+modelo_tese_H__2[[#This Row],[Vr]]+modelo_tese_H__2[[#This Row],[K]]-modelo_tese_H__2[[#This Row],[E]]</f>
        <v>-56775205192.185219</v>
      </c>
      <c r="BB334" s="2">
        <f>modelo_tese_H__2[[#This Row],[K]]-modelo_tese_H__2[[#This Row],[Coluna1]]</f>
        <v>127483451753.14221</v>
      </c>
      <c r="BC334">
        <f>modelo_tese_H__2[[#This Row],[Coluna2]]/modelo_tese_H__2[[#This Row],[Coluna1]]</f>
        <v>-2.2454071512662641</v>
      </c>
      <c r="BD334" s="8">
        <f>modelo_tese_H__2[[#This Row],[D]]-modelo_tese_H__2[[#This Row],[Dw]]-modelo_tese_H__2[[#This Row],[Dr]]</f>
        <v>-2.0599365234375E-4</v>
      </c>
    </row>
    <row r="335" spans="1:56" x14ac:dyDescent="0.25">
      <c r="A335">
        <v>334</v>
      </c>
      <c r="B335">
        <v>334</v>
      </c>
      <c r="C335">
        <v>17518196128.429901</v>
      </c>
      <c r="D335">
        <v>8143349852.4367199</v>
      </c>
      <c r="E335">
        <v>7247581368.6686802</v>
      </c>
      <c r="F335">
        <v>904775931.25367498</v>
      </c>
      <c r="G335">
        <v>25343099993.742199</v>
      </c>
      <c r="H335">
        <v>5688768078.0768404</v>
      </c>
      <c r="I335">
        <v>13841125377.999201</v>
      </c>
      <c r="J335">
        <v>10194319789.8284</v>
      </c>
      <c r="K335">
        <v>64091308387.613197</v>
      </c>
      <c r="L335">
        <v>-5697775525.56248</v>
      </c>
      <c r="M335">
        <v>74285628177.441696</v>
      </c>
      <c r="N335">
        <v>-108222913164.545</v>
      </c>
      <c r="O335">
        <v>12799545451.384899</v>
      </c>
      <c r="P335">
        <v>8447699997.9140596</v>
      </c>
      <c r="Q335">
        <v>13199314179.179899</v>
      </c>
      <c r="R335">
        <v>6599657089.5899601</v>
      </c>
      <c r="S335">
        <v>6599657089.5899601</v>
      </c>
      <c r="T335">
        <v>6199888361.79498</v>
      </c>
      <c r="U335">
        <v>2522817611.3643298</v>
      </c>
      <c r="V335">
        <v>47937810668.543198</v>
      </c>
      <c r="W335">
        <v>8428684931.6965103</v>
      </c>
      <c r="X335">
        <v>0.27439349241849897</v>
      </c>
      <c r="Y335">
        <v>74643760612.270004</v>
      </c>
      <c r="Z335">
        <v>34652252490.059097</v>
      </c>
      <c r="AA335">
        <v>0.79065556676835103</v>
      </c>
      <c r="AB335">
        <v>38850684923.602798</v>
      </c>
      <c r="AC335">
        <v>22288825375.9133</v>
      </c>
      <c r="AD335">
        <v>30717510307.609798</v>
      </c>
      <c r="AE335">
        <v>-60285102496.001404</v>
      </c>
      <c r="AF335">
        <v>-3174957914.1981502</v>
      </c>
      <c r="AG335">
        <v>5.5594999999999999E-2</v>
      </c>
      <c r="AH335">
        <v>-182508541341.98599</v>
      </c>
      <c r="AI335">
        <v>82590063158.602295</v>
      </c>
      <c r="AJ335">
        <v>0.06</v>
      </c>
      <c r="AK335">
        <v>0.05</v>
      </c>
      <c r="AL335">
        <v>8.8099999999999998E-2</v>
      </c>
      <c r="AM335">
        <v>3.8100000000000002E-2</v>
      </c>
      <c r="AN335">
        <v>0.89</v>
      </c>
      <c r="AO335">
        <v>0.66</v>
      </c>
      <c r="AP335">
        <v>0.42970000000000003</v>
      </c>
      <c r="AQ335">
        <v>0.57030000000000003</v>
      </c>
      <c r="AR335">
        <v>8.9999999999999993E-3</v>
      </c>
      <c r="AS335">
        <v>0.5</v>
      </c>
      <c r="AT335">
        <v>1.82</v>
      </c>
      <c r="AU335">
        <v>6.3545217126973294E-2</v>
      </c>
      <c r="AV335">
        <v>0.7893</v>
      </c>
      <c r="AW335">
        <v>3</v>
      </c>
      <c r="AX335">
        <v>0.05</v>
      </c>
      <c r="AY335">
        <v>1</v>
      </c>
      <c r="AZ335">
        <v>1</v>
      </c>
      <c r="BA335" s="2">
        <f>modelo_tese_H__2[[#This Row],[Vw]]+modelo_tese_H__2[[#This Row],[Vr]]+modelo_tese_H__2[[#This Row],[K]]-modelo_tese_H__2[[#This Row],[E]]</f>
        <v>-59926970061.172791</v>
      </c>
      <c r="BB335" s="2">
        <f>modelo_tese_H__2[[#This Row],[K]]-modelo_tese_H__2[[#This Row],[Coluna1]]</f>
        <v>134570730673.44279</v>
      </c>
      <c r="BC335">
        <f>modelo_tese_H__2[[#This Row],[Coluna2]]/modelo_tese_H__2[[#This Row],[Coluna1]]</f>
        <v>-2.2455787525395405</v>
      </c>
      <c r="BD335" s="8">
        <f>modelo_tese_H__2[[#This Row],[D]]-modelo_tese_H__2[[#This Row],[Dw]]-modelo_tese_H__2[[#This Row],[Dr]]</f>
        <v>3.96728515625E-4</v>
      </c>
    </row>
    <row r="336" spans="1:56" x14ac:dyDescent="0.25">
      <c r="A336">
        <v>335</v>
      </c>
      <c r="B336">
        <v>335</v>
      </c>
      <c r="C336">
        <v>18492909185.812099</v>
      </c>
      <c r="D336">
        <v>8596879277.4223099</v>
      </c>
      <c r="E336">
        <v>7651222556.9058599</v>
      </c>
      <c r="F336">
        <v>955070054.85362601</v>
      </c>
      <c r="G336">
        <v>26752623653.978401</v>
      </c>
      <c r="H336">
        <v>6005035139.3775196</v>
      </c>
      <c r="I336">
        <v>14611327751.136999</v>
      </c>
      <c r="J336">
        <v>10760986260.6896</v>
      </c>
      <c r="K336">
        <v>67654464677.422699</v>
      </c>
      <c r="L336">
        <v>-6014448473.7146902</v>
      </c>
      <c r="M336">
        <v>78415450938.112305</v>
      </c>
      <c r="N336">
        <v>-114237361638.259</v>
      </c>
      <c r="O336">
        <v>13511426087.867901</v>
      </c>
      <c r="P336">
        <v>8917541217.9927902</v>
      </c>
      <c r="Q336">
        <v>13933724490.870501</v>
      </c>
      <c r="R336">
        <v>6966862245.4352598</v>
      </c>
      <c r="S336">
        <v>6966862245.4352598</v>
      </c>
      <c r="T336">
        <v>6544563842.4326096</v>
      </c>
      <c r="U336">
        <v>2662982407.7575302</v>
      </c>
      <c r="V336">
        <v>50600793076.300697</v>
      </c>
      <c r="W336">
        <v>8897764707.5527897</v>
      </c>
      <c r="X336">
        <v>0.27439680591825399</v>
      </c>
      <c r="Y336">
        <v>78798271344.542206</v>
      </c>
      <c r="Z336">
        <v>36583154952.176598</v>
      </c>
      <c r="AA336">
        <v>0.79064174697893197</v>
      </c>
      <c r="AB336">
        <v>41013055281.467003</v>
      </c>
      <c r="AC336">
        <v>23528868969.129799</v>
      </c>
      <c r="AD336">
        <v>32426633676.682598</v>
      </c>
      <c r="AE336">
        <v>-63636568561.958603</v>
      </c>
      <c r="AF336">
        <v>-3351466065.95716</v>
      </c>
      <c r="AG336">
        <v>5.5594999999999999E-2</v>
      </c>
      <c r="AH336">
        <v>-192652812576.37201</v>
      </c>
      <c r="AI336">
        <v>87183948028.477402</v>
      </c>
      <c r="AJ336">
        <v>0.06</v>
      </c>
      <c r="AK336">
        <v>0.05</v>
      </c>
      <c r="AL336">
        <v>8.8099999999999998E-2</v>
      </c>
      <c r="AM336">
        <v>3.8100000000000002E-2</v>
      </c>
      <c r="AN336">
        <v>0.89</v>
      </c>
      <c r="AO336">
        <v>0.66</v>
      </c>
      <c r="AP336">
        <v>0.42970000000000003</v>
      </c>
      <c r="AQ336">
        <v>0.57030000000000003</v>
      </c>
      <c r="AR336">
        <v>8.9999999999999993E-3</v>
      </c>
      <c r="AS336">
        <v>0.5</v>
      </c>
      <c r="AT336">
        <v>1.82</v>
      </c>
      <c r="AU336">
        <v>6.3545217126973294E-2</v>
      </c>
      <c r="AV336">
        <v>0.7893</v>
      </c>
      <c r="AW336">
        <v>3</v>
      </c>
      <c r="AX336">
        <v>0.05</v>
      </c>
      <c r="AY336">
        <v>1</v>
      </c>
      <c r="AZ336">
        <v>1</v>
      </c>
      <c r="BA336" s="2">
        <f>modelo_tese_H__2[[#This Row],[Vw]]+modelo_tese_H__2[[#This Row],[Vr]]+modelo_tese_H__2[[#This Row],[K]]-modelo_tese_H__2[[#This Row],[E]]</f>
        <v>-63253748155.528999</v>
      </c>
      <c r="BB336" s="2">
        <f>modelo_tese_H__2[[#This Row],[K]]-modelo_tese_H__2[[#This Row],[Coluna1]]</f>
        <v>142052019500.0712</v>
      </c>
      <c r="BC336">
        <f>modelo_tese_H__2[[#This Row],[Coluna2]]/modelo_tese_H__2[[#This Row],[Coluna1]]</f>
        <v>-2.2457486495629029</v>
      </c>
      <c r="BD336" s="8">
        <f>modelo_tese_H__2[[#This Row],[D]]-modelo_tese_H__2[[#This Row],[Dw]]-modelo_tese_H__2[[#This Row],[Dr]]</f>
        <v>-2.9754638671875E-4</v>
      </c>
    </row>
    <row r="337" spans="1:56" x14ac:dyDescent="0.25">
      <c r="A337">
        <v>336</v>
      </c>
      <c r="B337">
        <v>336</v>
      </c>
      <c r="C337">
        <v>19521846866.893101</v>
      </c>
      <c r="D337">
        <v>9075658614.1689301</v>
      </c>
      <c r="E337">
        <v>8077336166.6103497</v>
      </c>
      <c r="F337">
        <v>1008159970.43235</v>
      </c>
      <c r="G337">
        <v>28240535575.257401</v>
      </c>
      <c r="H337">
        <v>6338885067.95121</v>
      </c>
      <c r="I337">
        <v>15424381204.9939</v>
      </c>
      <c r="J337">
        <v>11359152654.589701</v>
      </c>
      <c r="K337">
        <v>71415714641.164093</v>
      </c>
      <c r="L337">
        <v>-6348722590.8249903</v>
      </c>
      <c r="M337">
        <v>82774867295.753799</v>
      </c>
      <c r="N337">
        <v>-120586084229.084</v>
      </c>
      <c r="O337">
        <v>14262896755.1805</v>
      </c>
      <c r="P337">
        <v>9413511858.4191399</v>
      </c>
      <c r="Q337">
        <v>14708991055.065701</v>
      </c>
      <c r="R337">
        <v>7354495527.5328302</v>
      </c>
      <c r="S337">
        <v>7354495527.5328302</v>
      </c>
      <c r="T337">
        <v>6908401227.6476898</v>
      </c>
      <c r="U337">
        <v>2810935565.74856</v>
      </c>
      <c r="V337">
        <v>53411728642.049301</v>
      </c>
      <c r="W337">
        <v>9392944858.5456505</v>
      </c>
      <c r="X337">
        <v>0.27440008567627999</v>
      </c>
      <c r="Y337">
        <v>83183962941.268799</v>
      </c>
      <c r="Z337">
        <v>38621604283.189499</v>
      </c>
      <c r="AA337">
        <v>0.79062806778539696</v>
      </c>
      <c r="AB337">
        <v>43295753486.012199</v>
      </c>
      <c r="AC337">
        <v>24837893063.413101</v>
      </c>
      <c r="AD337">
        <v>34230837921.958698</v>
      </c>
      <c r="AE337">
        <v>-67174355587.035004</v>
      </c>
      <c r="AF337">
        <v>-3537787025.0764298</v>
      </c>
      <c r="AG337">
        <v>5.5594999999999999E-2</v>
      </c>
      <c r="AH337">
        <v>-203360951524.83801</v>
      </c>
      <c r="AI337">
        <v>92033332925.238693</v>
      </c>
      <c r="AJ337">
        <v>0.06</v>
      </c>
      <c r="AK337">
        <v>0.05</v>
      </c>
      <c r="AL337">
        <v>8.8099999999999998E-2</v>
      </c>
      <c r="AM337">
        <v>3.8100000000000002E-2</v>
      </c>
      <c r="AN337">
        <v>0.89</v>
      </c>
      <c r="AO337">
        <v>0.66</v>
      </c>
      <c r="AP337">
        <v>0.42970000000000003</v>
      </c>
      <c r="AQ337">
        <v>0.57030000000000003</v>
      </c>
      <c r="AR337">
        <v>8.9999999999999993E-3</v>
      </c>
      <c r="AS337">
        <v>0.5</v>
      </c>
      <c r="AT337">
        <v>1.82</v>
      </c>
      <c r="AU337">
        <v>6.3545217126973294E-2</v>
      </c>
      <c r="AV337">
        <v>0.7893</v>
      </c>
      <c r="AW337">
        <v>3</v>
      </c>
      <c r="AX337">
        <v>0.05</v>
      </c>
      <c r="AY337">
        <v>1</v>
      </c>
      <c r="AZ337">
        <v>1</v>
      </c>
      <c r="BA337" s="2">
        <f>modelo_tese_H__2[[#This Row],[Vw]]+modelo_tese_H__2[[#This Row],[Vr]]+modelo_tese_H__2[[#This Row],[K]]-modelo_tese_H__2[[#This Row],[E]]</f>
        <v>-66765259941.52002</v>
      </c>
      <c r="BB337" s="2">
        <f>modelo_tese_H__2[[#This Row],[K]]-modelo_tese_H__2[[#This Row],[Coluna1]]</f>
        <v>149949222882.78882</v>
      </c>
      <c r="BC337">
        <f>modelo_tese_H__2[[#This Row],[Coluna2]]/modelo_tese_H__2[[#This Row],[Coluna1]]</f>
        <v>-2.2459168587695157</v>
      </c>
      <c r="BD337" s="8">
        <f>modelo_tese_H__2[[#This Row],[D]]-modelo_tese_H__2[[#This Row],[Dw]]-modelo_tese_H__2[[#This Row],[Dr]]</f>
        <v>-3.0517578125E-4</v>
      </c>
    </row>
    <row r="338" spans="1:56" x14ac:dyDescent="0.25">
      <c r="A338">
        <v>337</v>
      </c>
      <c r="B338">
        <v>337</v>
      </c>
      <c r="C338">
        <v>20608025381.591499</v>
      </c>
      <c r="D338">
        <v>9581093245.5914707</v>
      </c>
      <c r="E338">
        <v>8527172988.5764103</v>
      </c>
      <c r="F338">
        <v>1064201096.1311899</v>
      </c>
      <c r="G338">
        <v>29811194911.200199</v>
      </c>
      <c r="H338">
        <v>6691295383.3039598</v>
      </c>
      <c r="I338">
        <v>16282669468.0116</v>
      </c>
      <c r="J338">
        <v>11990570034.580999</v>
      </c>
      <c r="K338">
        <v>75386071296.639694</v>
      </c>
      <c r="L338">
        <v>-6701576222.4200897</v>
      </c>
      <c r="M338">
        <v>87376641331.220703</v>
      </c>
      <c r="N338">
        <v>-127287660451.504</v>
      </c>
      <c r="O338">
        <v>15056159046.060699</v>
      </c>
      <c r="P338">
        <v>9937064970.4000797</v>
      </c>
      <c r="Q338">
        <v>15527386474.6096</v>
      </c>
      <c r="R338">
        <v>7763693237.3048201</v>
      </c>
      <c r="S338">
        <v>7763693237.3048201</v>
      </c>
      <c r="T338">
        <v>7292465808.7559099</v>
      </c>
      <c r="U338">
        <v>2967109895.17594</v>
      </c>
      <c r="V338">
        <v>56378838537.225197</v>
      </c>
      <c r="W338">
        <v>9915677417.7895203</v>
      </c>
      <c r="X338">
        <v>0.27440333203505701</v>
      </c>
      <c r="Y338">
        <v>87813697372.473297</v>
      </c>
      <c r="Z338">
        <v>40773588463.674202</v>
      </c>
      <c r="AA338">
        <v>0.79061452776324004</v>
      </c>
      <c r="AB338">
        <v>45705474143.554298</v>
      </c>
      <c r="AC338">
        <v>26219734438.411598</v>
      </c>
      <c r="AD338">
        <v>36135411856.201202</v>
      </c>
      <c r="AE338">
        <v>-70908821914.279099</v>
      </c>
      <c r="AF338">
        <v>-3734466327.2441502</v>
      </c>
      <c r="AG338">
        <v>5.5594999999999999E-2</v>
      </c>
      <c r="AH338">
        <v>-214664301782.72501</v>
      </c>
      <c r="AI338">
        <v>97152427000.899399</v>
      </c>
      <c r="AJ338">
        <v>0.06</v>
      </c>
      <c r="AK338">
        <v>0.05</v>
      </c>
      <c r="AL338">
        <v>8.8099999999999998E-2</v>
      </c>
      <c r="AM338">
        <v>3.8100000000000002E-2</v>
      </c>
      <c r="AN338">
        <v>0.89</v>
      </c>
      <c r="AO338">
        <v>0.66</v>
      </c>
      <c r="AP338">
        <v>0.42970000000000003</v>
      </c>
      <c r="AQ338">
        <v>0.57030000000000003</v>
      </c>
      <c r="AR338">
        <v>8.9999999999999993E-3</v>
      </c>
      <c r="AS338">
        <v>0.5</v>
      </c>
      <c r="AT338">
        <v>1.82</v>
      </c>
      <c r="AU338">
        <v>6.3545217126973294E-2</v>
      </c>
      <c r="AV338">
        <v>0.7893</v>
      </c>
      <c r="AW338">
        <v>3</v>
      </c>
      <c r="AX338">
        <v>0.05</v>
      </c>
      <c r="AY338">
        <v>1</v>
      </c>
      <c r="AZ338">
        <v>1</v>
      </c>
      <c r="BA338" s="2">
        <f>modelo_tese_H__2[[#This Row],[Vw]]+modelo_tese_H__2[[#This Row],[Vr]]+modelo_tese_H__2[[#This Row],[K]]-modelo_tese_H__2[[#This Row],[E]]</f>
        <v>-70471765873.02652</v>
      </c>
      <c r="BB338" s="2">
        <f>modelo_tese_H__2[[#This Row],[K]]-modelo_tese_H__2[[#This Row],[Coluna1]]</f>
        <v>158285463245.49982</v>
      </c>
      <c r="BC338">
        <f>modelo_tese_H__2[[#This Row],[Coluna2]]/modelo_tese_H__2[[#This Row],[Coluna1]]</f>
        <v>-2.2460833964440856</v>
      </c>
      <c r="BD338" s="8">
        <f>modelo_tese_H__2[[#This Row],[D]]-modelo_tese_H__2[[#This Row],[Dw]]-modelo_tese_H__2[[#This Row],[Dr]]</f>
        <v>-2.9754638671875E-4</v>
      </c>
    </row>
    <row r="339" spans="1:56" x14ac:dyDescent="0.25">
      <c r="A339">
        <v>338</v>
      </c>
      <c r="B339">
        <v>338</v>
      </c>
      <c r="C339">
        <v>21754628697.471802</v>
      </c>
      <c r="D339">
        <v>10114666759.315599</v>
      </c>
      <c r="E339">
        <v>9002053415.7908897</v>
      </c>
      <c r="F339">
        <v>1123357489.9384899</v>
      </c>
      <c r="G339">
        <v>31469203214.560699</v>
      </c>
      <c r="H339">
        <v>7063297950.1387501</v>
      </c>
      <c r="I339">
        <v>17188708855.868099</v>
      </c>
      <c r="J339">
        <v>12657086806.202</v>
      </c>
      <c r="K339">
        <v>79577159930.376404</v>
      </c>
      <c r="L339">
        <v>-7074042096.5525198</v>
      </c>
      <c r="M339">
        <v>92234246736.5784</v>
      </c>
      <c r="N339">
        <v>-134361702548.05701</v>
      </c>
      <c r="O339">
        <v>15893536977.0509</v>
      </c>
      <c r="P339">
        <v>10489734404.8536</v>
      </c>
      <c r="Q339">
        <v>16391309751.5406</v>
      </c>
      <c r="R339">
        <v>8195654875.7703199</v>
      </c>
      <c r="S339">
        <v>8195654875.7703199</v>
      </c>
      <c r="T339">
        <v>7697882101.2805405</v>
      </c>
      <c r="U339">
        <v>3131962259.6768799</v>
      </c>
      <c r="V339">
        <v>59510800796.9021</v>
      </c>
      <c r="W339">
        <v>10467495188.290701</v>
      </c>
      <c r="X339">
        <v>0.27440654533361603</v>
      </c>
      <c r="Y339">
        <v>92701052094.507904</v>
      </c>
      <c r="Z339">
        <v>43045428776.194603</v>
      </c>
      <c r="AA339">
        <v>0.79060112550237804</v>
      </c>
      <c r="AB339">
        <v>48249284270.589699</v>
      </c>
      <c r="AC339">
        <v>27678443260.721699</v>
      </c>
      <c r="AD339">
        <v>38145938449.012398</v>
      </c>
      <c r="AE339">
        <v>-74850901751.1548</v>
      </c>
      <c r="AF339">
        <v>-3942079836.8756399</v>
      </c>
      <c r="AG339">
        <v>5.5594999999999999E-2</v>
      </c>
      <c r="AH339">
        <v>-226595949284.63501</v>
      </c>
      <c r="AI339">
        <v>102556229573.097</v>
      </c>
      <c r="AJ339">
        <v>0.06</v>
      </c>
      <c r="AK339">
        <v>0.05</v>
      </c>
      <c r="AL339">
        <v>8.8099999999999998E-2</v>
      </c>
      <c r="AM339">
        <v>3.8100000000000002E-2</v>
      </c>
      <c r="AN339">
        <v>0.89</v>
      </c>
      <c r="AO339">
        <v>0.66</v>
      </c>
      <c r="AP339">
        <v>0.42970000000000003</v>
      </c>
      <c r="AQ339">
        <v>0.57030000000000003</v>
      </c>
      <c r="AR339">
        <v>8.9999999999999993E-3</v>
      </c>
      <c r="AS339">
        <v>0.5</v>
      </c>
      <c r="AT339">
        <v>1.82</v>
      </c>
      <c r="AU339">
        <v>6.3545217126973294E-2</v>
      </c>
      <c r="AV339">
        <v>0.7893</v>
      </c>
      <c r="AW339">
        <v>3</v>
      </c>
      <c r="AX339">
        <v>0.05</v>
      </c>
      <c r="AY339">
        <v>1</v>
      </c>
      <c r="AZ339">
        <v>1</v>
      </c>
      <c r="BA339" s="2">
        <f>modelo_tese_H__2[[#This Row],[Vw]]+modelo_tese_H__2[[#This Row],[Vr]]+modelo_tese_H__2[[#This Row],[K]]-modelo_tese_H__2[[#This Row],[E]]</f>
        <v>-74384096393.224701</v>
      </c>
      <c r="BB339" s="2">
        <f>modelo_tese_H__2[[#This Row],[K]]-modelo_tese_H__2[[#This Row],[Coluna1]]</f>
        <v>167085148487.7326</v>
      </c>
      <c r="BC339">
        <f>modelo_tese_H__2[[#This Row],[Coluna2]]/modelo_tese_H__2[[#This Row],[Coluna1]]</f>
        <v>-2.2462482787241549</v>
      </c>
      <c r="BD339" s="8">
        <f>modelo_tese_H__2[[#This Row],[D]]-modelo_tese_H__2[[#This Row],[Dw]]-modelo_tese_H__2[[#This Row],[Dr]]</f>
        <v>1.068115234375E-4</v>
      </c>
    </row>
    <row r="340" spans="1:56" x14ac:dyDescent="0.25">
      <c r="A340">
        <v>339</v>
      </c>
      <c r="B340">
        <v>339</v>
      </c>
      <c r="C340">
        <v>22965017869.427502</v>
      </c>
      <c r="D340">
        <v>10677945298.7106</v>
      </c>
      <c r="E340">
        <v>9503371315.8524704</v>
      </c>
      <c r="F340">
        <v>1185802329.9939699</v>
      </c>
      <c r="G340">
        <v>33219417915.7318</v>
      </c>
      <c r="H340">
        <v>7455981999.6767101</v>
      </c>
      <c r="I340">
        <v>18145155645.523201</v>
      </c>
      <c r="J340">
        <v>13360654128.879601</v>
      </c>
      <c r="K340">
        <v>84001252136.705795</v>
      </c>
      <c r="L340">
        <v>-7467210346.8125095</v>
      </c>
      <c r="M340">
        <v>97361906265.585403</v>
      </c>
      <c r="N340">
        <v>-141828912894.86899</v>
      </c>
      <c r="O340">
        <v>16777483795.8241</v>
      </c>
      <c r="P340">
        <v>11073139305.2439</v>
      </c>
      <c r="Q340">
        <v>17303293316.6632</v>
      </c>
      <c r="R340">
        <v>8651646658.3315907</v>
      </c>
      <c r="S340">
        <v>8651646658.3315907</v>
      </c>
      <c r="T340">
        <v>8125837137.4925604</v>
      </c>
      <c r="U340">
        <v>3305974913.5881801</v>
      </c>
      <c r="V340">
        <v>62816775710.490303</v>
      </c>
      <c r="W340">
        <v>11050016235.323601</v>
      </c>
      <c r="X340">
        <v>0.27440972590756602</v>
      </c>
      <c r="Y340">
        <v>97860359846.587097</v>
      </c>
      <c r="Z340">
        <v>45443798353.1866</v>
      </c>
      <c r="AA340">
        <v>0.79058785960668798</v>
      </c>
      <c r="AB340">
        <v>50934644007.971397</v>
      </c>
      <c r="AC340">
        <v>29218294950.767101</v>
      </c>
      <c r="AD340">
        <v>40268311186.090698</v>
      </c>
      <c r="AE340">
        <v>-79012137184.379105</v>
      </c>
      <c r="AF340">
        <v>-4161235433.2243299</v>
      </c>
      <c r="AG340">
        <v>5.5594999999999999E-2</v>
      </c>
      <c r="AH340">
        <v>-239190819160.45499</v>
      </c>
      <c r="AI340">
        <v>108260574063.677</v>
      </c>
      <c r="AJ340">
        <v>0.06</v>
      </c>
      <c r="AK340">
        <v>0.05</v>
      </c>
      <c r="AL340">
        <v>8.8099999999999998E-2</v>
      </c>
      <c r="AM340">
        <v>3.8100000000000002E-2</v>
      </c>
      <c r="AN340">
        <v>0.89</v>
      </c>
      <c r="AO340">
        <v>0.66</v>
      </c>
      <c r="AP340">
        <v>0.42970000000000003</v>
      </c>
      <c r="AQ340">
        <v>0.57030000000000003</v>
      </c>
      <c r="AR340">
        <v>8.9999999999999993E-3</v>
      </c>
      <c r="AS340">
        <v>0.5</v>
      </c>
      <c r="AT340">
        <v>1.82</v>
      </c>
      <c r="AU340">
        <v>6.3545217126973294E-2</v>
      </c>
      <c r="AV340">
        <v>0.7893</v>
      </c>
      <c r="AW340">
        <v>3</v>
      </c>
      <c r="AX340">
        <v>0.05</v>
      </c>
      <c r="AY340">
        <v>1</v>
      </c>
      <c r="AZ340">
        <v>1</v>
      </c>
      <c r="BA340" s="2">
        <f>modelo_tese_H__2[[#This Row],[Vw]]+modelo_tese_H__2[[#This Row],[Vr]]+modelo_tese_H__2[[#This Row],[K]]-modelo_tese_H__2[[#This Row],[E]]</f>
        <v>-78513683603.377487</v>
      </c>
      <c r="BB340" s="2">
        <f>modelo_tese_H__2[[#This Row],[K]]-modelo_tese_H__2[[#This Row],[Coluna1]]</f>
        <v>176374043449.9646</v>
      </c>
      <c r="BC340">
        <f>modelo_tese_H__2[[#This Row],[Coluna2]]/modelo_tese_H__2[[#This Row],[Coluna1]]</f>
        <v>-2.2464115216010243</v>
      </c>
      <c r="BD340" s="8">
        <f>modelo_tese_H__2[[#This Row],[D]]-modelo_tese_H__2[[#This Row],[Dw]]-modelo_tese_H__2[[#This Row],[Dr]]</f>
        <v>-4.1961669921875E-4</v>
      </c>
    </row>
    <row r="341" spans="1:56" x14ac:dyDescent="0.25">
      <c r="A341">
        <v>340</v>
      </c>
      <c r="B341">
        <v>340</v>
      </c>
      <c r="C341">
        <v>24242740888.2131</v>
      </c>
      <c r="D341">
        <v>11272582155.983999</v>
      </c>
      <c r="E341">
        <v>10032598118.825701</v>
      </c>
      <c r="F341">
        <v>1251718421.5941401</v>
      </c>
      <c r="G341">
        <v>35066966550.708504</v>
      </c>
      <c r="H341">
        <v>7870497318.94874</v>
      </c>
      <c r="I341">
        <v>19154813859.368599</v>
      </c>
      <c r="J341">
        <v>14103331628.1635</v>
      </c>
      <c r="K341">
        <v>88671301749.246002</v>
      </c>
      <c r="L341">
        <v>-7882231703.3846397</v>
      </c>
      <c r="M341">
        <v>102774633377.41</v>
      </c>
      <c r="N341">
        <v>-149711144598.254</v>
      </c>
      <c r="O341">
        <v>17710589167.024502</v>
      </c>
      <c r="P341">
        <v>11688988850.2362</v>
      </c>
      <c r="Q341">
        <v>18266010450.052898</v>
      </c>
      <c r="R341">
        <v>9133005225.0264397</v>
      </c>
      <c r="S341">
        <v>9133005225.0264397</v>
      </c>
      <c r="T341">
        <v>8577583941.9980803</v>
      </c>
      <c r="U341">
        <v>3489656913.1536398</v>
      </c>
      <c r="V341">
        <v>66306432623.643898</v>
      </c>
      <c r="W341">
        <v>11664948628.6611</v>
      </c>
      <c r="X341">
        <v>0.27441287408913101</v>
      </c>
      <c r="Y341">
        <v>103306750660.673</v>
      </c>
      <c r="Z341">
        <v>47975741756.821297</v>
      </c>
      <c r="AA341">
        <v>0.790574728694319</v>
      </c>
      <c r="AB341">
        <v>53769428487.135803</v>
      </c>
      <c r="AC341">
        <v>30843802709.604801</v>
      </c>
      <c r="AD341">
        <v>42508751338.2659</v>
      </c>
      <c r="AE341">
        <v>-83404711974.610107</v>
      </c>
      <c r="AF341">
        <v>-4392574790.2309999</v>
      </c>
      <c r="AG341">
        <v>5.5594999999999999E-2</v>
      </c>
      <c r="AH341">
        <v>-252485777975.664</v>
      </c>
      <c r="AI341">
        <v>114282174380.465</v>
      </c>
      <c r="AJ341">
        <v>0.06</v>
      </c>
      <c r="AK341">
        <v>0.05</v>
      </c>
      <c r="AL341">
        <v>8.8099999999999998E-2</v>
      </c>
      <c r="AM341">
        <v>3.8100000000000002E-2</v>
      </c>
      <c r="AN341">
        <v>0.89</v>
      </c>
      <c r="AO341">
        <v>0.66</v>
      </c>
      <c r="AP341">
        <v>0.42970000000000003</v>
      </c>
      <c r="AQ341">
        <v>0.57030000000000003</v>
      </c>
      <c r="AR341">
        <v>8.9999999999999993E-3</v>
      </c>
      <c r="AS341">
        <v>0.5</v>
      </c>
      <c r="AT341">
        <v>1.82</v>
      </c>
      <c r="AU341">
        <v>6.3545217126973294E-2</v>
      </c>
      <c r="AV341">
        <v>0.7893</v>
      </c>
      <c r="AW341">
        <v>3</v>
      </c>
      <c r="AX341">
        <v>0.05</v>
      </c>
      <c r="AY341">
        <v>1</v>
      </c>
      <c r="AZ341">
        <v>1</v>
      </c>
      <c r="BA341" s="2">
        <f>modelo_tese_H__2[[#This Row],[Vw]]+modelo_tese_H__2[[#This Row],[Vr]]+modelo_tese_H__2[[#This Row],[K]]-modelo_tese_H__2[[#This Row],[E]]</f>
        <v>-82872594691.34729</v>
      </c>
      <c r="BB341" s="2">
        <f>modelo_tese_H__2[[#This Row],[K]]-modelo_tese_H__2[[#This Row],[Coluna1]]</f>
        <v>186179345352.02029</v>
      </c>
      <c r="BC341">
        <f>modelo_tese_H__2[[#This Row],[Coluna2]]/modelo_tese_H__2[[#This Row],[Coluna1]]</f>
        <v>-2.246573140921087</v>
      </c>
      <c r="BD341" s="8">
        <f>modelo_tese_H__2[[#This Row],[D]]-modelo_tese_H__2[[#This Row],[Dw]]-modelo_tese_H__2[[#This Row],[Dr]]</f>
        <v>0</v>
      </c>
    </row>
    <row r="342" spans="1:56" x14ac:dyDescent="0.25">
      <c r="A342">
        <v>341</v>
      </c>
      <c r="B342">
        <v>341</v>
      </c>
      <c r="C342">
        <v>25591543076.632301</v>
      </c>
      <c r="D342">
        <v>11900322620.759001</v>
      </c>
      <c r="E342">
        <v>10591287132.4755</v>
      </c>
      <c r="F342">
        <v>1321298732.38361</v>
      </c>
      <c r="G342">
        <v>37017261780.147598</v>
      </c>
      <c r="H342">
        <v>8308057617.39569</v>
      </c>
      <c r="I342">
        <v>20220643482.254799</v>
      </c>
      <c r="J342">
        <v>14887293425.514</v>
      </c>
      <c r="K342">
        <v>93600982769.995499</v>
      </c>
      <c r="L342">
        <v>-8320320861.4958096</v>
      </c>
      <c r="M342">
        <v>108488276195.50999</v>
      </c>
      <c r="N342">
        <v>-158031465459.75</v>
      </c>
      <c r="O342">
        <v>18695586757.650299</v>
      </c>
      <c r="P342">
        <v>12339087260.0492</v>
      </c>
      <c r="Q342">
        <v>19282283114.201099</v>
      </c>
      <c r="R342">
        <v>9641141557.1005497</v>
      </c>
      <c r="S342">
        <v>9641141557.1005497</v>
      </c>
      <c r="T342">
        <v>9054445200.5497799</v>
      </c>
      <c r="U342">
        <v>3683545606.1722898</v>
      </c>
      <c r="V342">
        <v>69989978229.816193</v>
      </c>
      <c r="W342">
        <v>12314095448.5294</v>
      </c>
      <c r="X342">
        <v>0.27441599020718199</v>
      </c>
      <c r="Y342">
        <v>109056196207.78799</v>
      </c>
      <c r="Z342">
        <v>50648695648.250099</v>
      </c>
      <c r="AA342">
        <v>0.79056173139716202</v>
      </c>
      <c r="AB342">
        <v>56761950912.457802</v>
      </c>
      <c r="AC342">
        <v>32559730742.304001</v>
      </c>
      <c r="AD342">
        <v>44873826190.833397</v>
      </c>
      <c r="AE342">
        <v>-88041487229.933594</v>
      </c>
      <c r="AF342">
        <v>-4636775255.3235197</v>
      </c>
      <c r="AG342">
        <v>5.5594999999999999E-2</v>
      </c>
      <c r="AH342">
        <v>-266519741655.259</v>
      </c>
      <c r="AI342">
        <v>120638673878.06599</v>
      </c>
      <c r="AJ342">
        <v>0.06</v>
      </c>
      <c r="AK342">
        <v>0.05</v>
      </c>
      <c r="AL342">
        <v>8.8099999999999998E-2</v>
      </c>
      <c r="AM342">
        <v>3.8100000000000002E-2</v>
      </c>
      <c r="AN342">
        <v>0.89</v>
      </c>
      <c r="AO342">
        <v>0.66</v>
      </c>
      <c r="AP342">
        <v>0.42970000000000003</v>
      </c>
      <c r="AQ342">
        <v>0.57030000000000003</v>
      </c>
      <c r="AR342">
        <v>8.9999999999999993E-3</v>
      </c>
      <c r="AS342">
        <v>0.5</v>
      </c>
      <c r="AT342">
        <v>1.82</v>
      </c>
      <c r="AU342">
        <v>6.3545217126973294E-2</v>
      </c>
      <c r="AV342">
        <v>0.7893</v>
      </c>
      <c r="AW342">
        <v>3</v>
      </c>
      <c r="AX342">
        <v>0.05</v>
      </c>
      <c r="AY342">
        <v>1</v>
      </c>
      <c r="AZ342">
        <v>1</v>
      </c>
      <c r="BA342" s="2">
        <f>modelo_tese_H__2[[#This Row],[Vw]]+modelo_tese_H__2[[#This Row],[Vr]]+modelo_tese_H__2[[#This Row],[K]]-modelo_tese_H__2[[#This Row],[E]]</f>
        <v>-87473567217.65509</v>
      </c>
      <c r="BB342" s="2">
        <f>modelo_tese_H__2[[#This Row],[K]]-modelo_tese_H__2[[#This Row],[Coluna1]]</f>
        <v>196529763425.44308</v>
      </c>
      <c r="BC342">
        <f>modelo_tese_H__2[[#This Row],[Coluna2]]/modelo_tese_H__2[[#This Row],[Coluna1]]</f>
        <v>-2.2467331523868252</v>
      </c>
      <c r="BD342" s="8">
        <f>modelo_tese_H__2[[#This Row],[D]]-modelo_tese_H__2[[#This Row],[Dw]]-modelo_tese_H__2[[#This Row],[Dr]]</f>
        <v>2.13623046875E-4</v>
      </c>
    </row>
    <row r="343" spans="1:56" x14ac:dyDescent="0.25">
      <c r="A343">
        <v>342</v>
      </c>
      <c r="B343">
        <v>342</v>
      </c>
      <c r="C343">
        <v>27015378063.875999</v>
      </c>
      <c r="D343">
        <v>12563009098.384199</v>
      </c>
      <c r="E343">
        <v>11181078097.562</v>
      </c>
      <c r="F343">
        <v>1394746957.29879</v>
      </c>
      <c r="G343">
        <v>39076017243.537697</v>
      </c>
      <c r="H343">
        <v>8769944080.6348</v>
      </c>
      <c r="I343">
        <v>21345769135.495602</v>
      </c>
      <c r="J343">
        <v>15714834503.300699</v>
      </c>
      <c r="K343">
        <v>98804729407.093399</v>
      </c>
      <c r="L343">
        <v>-8782760037.11133</v>
      </c>
      <c r="M343">
        <v>114519563910.394</v>
      </c>
      <c r="N343">
        <v>-166814225496.86099</v>
      </c>
      <c r="O343">
        <v>19735362244.210899</v>
      </c>
      <c r="P343">
        <v>13025339081.179199</v>
      </c>
      <c r="Q343">
        <v>20355090222.773102</v>
      </c>
      <c r="R343">
        <v>10177545111.3866</v>
      </c>
      <c r="S343">
        <v>10177545111.3866</v>
      </c>
      <c r="T343">
        <v>9557817132.8243904</v>
      </c>
      <c r="U343">
        <v>3888208204.4439702</v>
      </c>
      <c r="V343">
        <v>73878186434.260193</v>
      </c>
      <c r="W343">
        <v>12999360069.9743</v>
      </c>
      <c r="X343">
        <v>0.27441907458727399</v>
      </c>
      <c r="Y343">
        <v>115125556610.69701</v>
      </c>
      <c r="Z343">
        <v>53470510606.837898</v>
      </c>
      <c r="AA343">
        <v>0.79054886636092503</v>
      </c>
      <c r="AB343">
        <v>59920986927.356003</v>
      </c>
      <c r="AC343">
        <v>34371108216.674797</v>
      </c>
      <c r="AD343">
        <v>47370468286.649101</v>
      </c>
      <c r="AE343">
        <v>-92936039062.600998</v>
      </c>
      <c r="AF343">
        <v>-4894551832.6673498</v>
      </c>
      <c r="AG343">
        <v>5.5594999999999999E-2</v>
      </c>
      <c r="AH343">
        <v>-281333789407.255</v>
      </c>
      <c r="AI343">
        <v>127348697041.09801</v>
      </c>
      <c r="AJ343">
        <v>0.06</v>
      </c>
      <c r="AK343">
        <v>0.05</v>
      </c>
      <c r="AL343">
        <v>8.8099999999999998E-2</v>
      </c>
      <c r="AM343">
        <v>3.8100000000000002E-2</v>
      </c>
      <c r="AN343">
        <v>0.89</v>
      </c>
      <c r="AO343">
        <v>0.66</v>
      </c>
      <c r="AP343">
        <v>0.42970000000000003</v>
      </c>
      <c r="AQ343">
        <v>0.57030000000000003</v>
      </c>
      <c r="AR343">
        <v>8.9999999999999993E-3</v>
      </c>
      <c r="AS343">
        <v>0.5</v>
      </c>
      <c r="AT343">
        <v>1.82</v>
      </c>
      <c r="AU343">
        <v>6.3545217126973294E-2</v>
      </c>
      <c r="AV343">
        <v>0.7893</v>
      </c>
      <c r="AW343">
        <v>3</v>
      </c>
      <c r="AX343">
        <v>0.05</v>
      </c>
      <c r="AY343">
        <v>1</v>
      </c>
      <c r="AZ343">
        <v>1</v>
      </c>
      <c r="BA343" s="2">
        <f>modelo_tese_H__2[[#This Row],[Vw]]+modelo_tese_H__2[[#This Row],[Vr]]+modelo_tese_H__2[[#This Row],[K]]-modelo_tese_H__2[[#This Row],[E]]</f>
        <v>-92330046362.297882</v>
      </c>
      <c r="BB343" s="2">
        <f>modelo_tese_H__2[[#This Row],[K]]-modelo_tese_H__2[[#This Row],[Coluna1]]</f>
        <v>207455602972.99487</v>
      </c>
      <c r="BC343">
        <f>modelo_tese_H__2[[#This Row],[Coluna2]]/modelo_tese_H__2[[#This Row],[Coluna1]]</f>
        <v>-2.2468915715578741</v>
      </c>
      <c r="BD343" s="8">
        <f>modelo_tese_H__2[[#This Row],[D]]-modelo_tese_H__2[[#This Row],[Dw]]-modelo_tese_H__2[[#This Row],[Dr]]</f>
        <v>-1.983642578125E-4</v>
      </c>
    </row>
    <row r="344" spans="1:56" x14ac:dyDescent="0.25">
      <c r="A344">
        <v>343</v>
      </c>
      <c r="B344">
        <v>343</v>
      </c>
      <c r="C344">
        <v>28518419370.133701</v>
      </c>
      <c r="D344">
        <v>13262586512.953699</v>
      </c>
      <c r="E344">
        <v>11803701996.528799</v>
      </c>
      <c r="F344">
        <v>1472278114.9183099</v>
      </c>
      <c r="G344">
        <v>41249264294.894897</v>
      </c>
      <c r="H344">
        <v>9257509121.7977009</v>
      </c>
      <c r="I344">
        <v>22533489233.244801</v>
      </c>
      <c r="J344">
        <v>16588377423.643299</v>
      </c>
      <c r="K344">
        <v>104297778338.481</v>
      </c>
      <c r="L344">
        <v>-9270902720.2910995</v>
      </c>
      <c r="M344">
        <v>120886155762.12399</v>
      </c>
      <c r="N344">
        <v>-176085128217.15201</v>
      </c>
      <c r="O344">
        <v>20832961765.098499</v>
      </c>
      <c r="P344">
        <v>13749754764.965</v>
      </c>
      <c r="Q344">
        <v>21487576369.185501</v>
      </c>
      <c r="R344">
        <v>10743788184.592699</v>
      </c>
      <c r="S344">
        <v>10743788184.592699</v>
      </c>
      <c r="T344">
        <v>10089173580.505699</v>
      </c>
      <c r="U344">
        <v>4104243443.6167698</v>
      </c>
      <c r="V344">
        <v>77982429877.876999</v>
      </c>
      <c r="W344">
        <v>13722751741.1094</v>
      </c>
      <c r="X344">
        <v>0.274422127551674</v>
      </c>
      <c r="Y344">
        <v>121532629860.116</v>
      </c>
      <c r="Z344">
        <v>56449474163.354599</v>
      </c>
      <c r="AA344">
        <v>0.79053613224489605</v>
      </c>
      <c r="AB344">
        <v>63255800335.5476</v>
      </c>
      <c r="AC344">
        <v>36283243998.209801</v>
      </c>
      <c r="AD344">
        <v>50005995739.319199</v>
      </c>
      <c r="AE344">
        <v>-98102698339.275299</v>
      </c>
      <c r="AF344">
        <v>-5166659276.6743402</v>
      </c>
      <c r="AG344">
        <v>5.5594999999999999E-2</v>
      </c>
      <c r="AH344">
        <v>-296971283979.276</v>
      </c>
      <c r="AI344">
        <v>134431904041.23199</v>
      </c>
      <c r="AJ344">
        <v>0.06</v>
      </c>
      <c r="AK344">
        <v>0.05</v>
      </c>
      <c r="AL344">
        <v>8.8099999999999998E-2</v>
      </c>
      <c r="AM344">
        <v>3.8100000000000002E-2</v>
      </c>
      <c r="AN344">
        <v>0.89</v>
      </c>
      <c r="AO344">
        <v>0.66</v>
      </c>
      <c r="AP344">
        <v>0.42970000000000003</v>
      </c>
      <c r="AQ344">
        <v>0.57030000000000003</v>
      </c>
      <c r="AR344">
        <v>8.9999999999999993E-3</v>
      </c>
      <c r="AS344">
        <v>0.5</v>
      </c>
      <c r="AT344">
        <v>1.82</v>
      </c>
      <c r="AU344">
        <v>6.3545217126973294E-2</v>
      </c>
      <c r="AV344">
        <v>0.7893</v>
      </c>
      <c r="AW344">
        <v>3</v>
      </c>
      <c r="AX344">
        <v>0.05</v>
      </c>
      <c r="AY344">
        <v>1</v>
      </c>
      <c r="AZ344">
        <v>1</v>
      </c>
      <c r="BA344" s="2">
        <f>modelo_tese_H__2[[#This Row],[Vw]]+modelo_tese_H__2[[#This Row],[Vr]]+modelo_tese_H__2[[#This Row],[K]]-modelo_tese_H__2[[#This Row],[E]]</f>
        <v>-97456224241.282608</v>
      </c>
      <c r="BB344" s="2">
        <f>modelo_tese_H__2[[#This Row],[K]]-modelo_tese_H__2[[#This Row],[Coluna1]]</f>
        <v>218988854101.39862</v>
      </c>
      <c r="BC344">
        <f>modelo_tese_H__2[[#This Row],[Coluna2]]/modelo_tese_H__2[[#This Row],[Coluna1]]</f>
        <v>-2.2470484138522022</v>
      </c>
      <c r="BD344" s="8">
        <f>modelo_tese_H__2[[#This Row],[D]]-modelo_tese_H__2[[#This Row],[Dw]]-modelo_tese_H__2[[#This Row],[Dr]]</f>
        <v>-2.899169921875E-4</v>
      </c>
    </row>
    <row r="345" spans="1:56" x14ac:dyDescent="0.25">
      <c r="A345">
        <v>344</v>
      </c>
      <c r="B345">
        <v>344</v>
      </c>
      <c r="C345">
        <v>30105072635.431702</v>
      </c>
      <c r="D345">
        <v>14001108010.889299</v>
      </c>
      <c r="E345">
        <v>12460986129.6915</v>
      </c>
      <c r="F345">
        <v>1554119176.9660001</v>
      </c>
      <c r="G345">
        <v>43543369669.011497</v>
      </c>
      <c r="H345">
        <v>9772180341.4240398</v>
      </c>
      <c r="I345">
        <v>23787285648.081501</v>
      </c>
      <c r="J345">
        <v>17510479420.768501</v>
      </c>
      <c r="K345">
        <v>110096213325.209</v>
      </c>
      <c r="L345">
        <v>-9786177637.1922092</v>
      </c>
      <c r="M345">
        <v>127606692745.97701</v>
      </c>
      <c r="N345">
        <v>-185871305854.34399</v>
      </c>
      <c r="O345">
        <v>21991600842.935101</v>
      </c>
      <c r="P345">
        <v>14514456556.3372</v>
      </c>
      <c r="Q345">
        <v>22683061040.5839</v>
      </c>
      <c r="R345">
        <v>11341530520.291901</v>
      </c>
      <c r="S345">
        <v>11341530520.291901</v>
      </c>
      <c r="T345">
        <v>10650070322.643101</v>
      </c>
      <c r="U345">
        <v>4332283335.2930202</v>
      </c>
      <c r="V345">
        <v>82314713213.169998</v>
      </c>
      <c r="W345">
        <v>14486391471.5968</v>
      </c>
      <c r="X345">
        <v>0.27442514941939899</v>
      </c>
      <c r="Y345">
        <v>128296203979.239</v>
      </c>
      <c r="Z345">
        <v>59594335114.6595</v>
      </c>
      <c r="AA345">
        <v>0.79052352772198098</v>
      </c>
      <c r="AB345">
        <v>66776170252.810799</v>
      </c>
      <c r="AC345">
        <v>38301742204.418701</v>
      </c>
      <c r="AD345">
        <v>52788133676.015503</v>
      </c>
      <c r="AE345">
        <v>-103556592641.175</v>
      </c>
      <c r="AF345">
        <v>-5453894301.8991899</v>
      </c>
      <c r="AG345">
        <v>5.5594999999999999E-2</v>
      </c>
      <c r="AH345">
        <v>-313477998600.32202</v>
      </c>
      <c r="AI345">
        <v>141909048327.82901</v>
      </c>
      <c r="AJ345">
        <v>0.06</v>
      </c>
      <c r="AK345">
        <v>0.05</v>
      </c>
      <c r="AL345">
        <v>8.8099999999999998E-2</v>
      </c>
      <c r="AM345">
        <v>3.8100000000000002E-2</v>
      </c>
      <c r="AN345">
        <v>0.89</v>
      </c>
      <c r="AO345">
        <v>0.66</v>
      </c>
      <c r="AP345">
        <v>0.42970000000000003</v>
      </c>
      <c r="AQ345">
        <v>0.57030000000000003</v>
      </c>
      <c r="AR345">
        <v>8.9999999999999993E-3</v>
      </c>
      <c r="AS345">
        <v>0.5</v>
      </c>
      <c r="AT345">
        <v>1.82</v>
      </c>
      <c r="AU345">
        <v>6.3545217126973294E-2</v>
      </c>
      <c r="AV345">
        <v>0.7893</v>
      </c>
      <c r="AW345">
        <v>3</v>
      </c>
      <c r="AX345">
        <v>0.05</v>
      </c>
      <c r="AY345">
        <v>1</v>
      </c>
      <c r="AZ345">
        <v>1</v>
      </c>
      <c r="BA345" s="2">
        <f>modelo_tese_H__2[[#This Row],[Vw]]+modelo_tese_H__2[[#This Row],[Vr]]+modelo_tese_H__2[[#This Row],[K]]-modelo_tese_H__2[[#This Row],[E]]</f>
        <v>-102867081407.91351</v>
      </c>
      <c r="BB345" s="2">
        <f>modelo_tese_H__2[[#This Row],[K]]-modelo_tese_H__2[[#This Row],[Coluna1]]</f>
        <v>231163285387.15253</v>
      </c>
      <c r="BC345">
        <f>modelo_tese_H__2[[#This Row],[Coluna2]]/modelo_tese_H__2[[#This Row],[Coluna1]]</f>
        <v>-2.2472036945472165</v>
      </c>
      <c r="BD345" s="8">
        <f>modelo_tese_H__2[[#This Row],[D]]-modelo_tese_H__2[[#This Row],[Dw]]-modelo_tese_H__2[[#This Row],[Dr]]</f>
        <v>-1.007080078125E-3</v>
      </c>
    </row>
    <row r="346" spans="1:56" x14ac:dyDescent="0.25">
      <c r="A346">
        <v>345</v>
      </c>
      <c r="B346">
        <v>345</v>
      </c>
      <c r="C346">
        <v>31779988528.4935</v>
      </c>
      <c r="D346">
        <v>14780740981.7784</v>
      </c>
      <c r="E346">
        <v>13154859473.782801</v>
      </c>
      <c r="F346">
        <v>1640509732.8095901</v>
      </c>
      <c r="G346">
        <v>45965054129.974503</v>
      </c>
      <c r="H346">
        <v>10315464707.505501</v>
      </c>
      <c r="I346">
        <v>25110833914.0979</v>
      </c>
      <c r="J346">
        <v>18483839887.646801</v>
      </c>
      <c r="K346">
        <v>116217012305.024</v>
      </c>
      <c r="L346">
        <v>-10330092932.3195</v>
      </c>
      <c r="M346">
        <v>134700852192.67101</v>
      </c>
      <c r="N346">
        <v>-196201398786.664</v>
      </c>
      <c r="O346">
        <v>23214673803.017399</v>
      </c>
      <c r="P346">
        <v>15321684709.991501</v>
      </c>
      <c r="Q346">
        <v>23945048344.193699</v>
      </c>
      <c r="R346">
        <v>11972524172.0968</v>
      </c>
      <c r="S346">
        <v>11972524172.0968</v>
      </c>
      <c r="T346">
        <v>11242149630.920601</v>
      </c>
      <c r="U346">
        <v>4572995016.5250301</v>
      </c>
      <c r="V346">
        <v>86887708229.695007</v>
      </c>
      <c r="W346">
        <v>15292518248.5977</v>
      </c>
      <c r="X346">
        <v>0.27442814050624498</v>
      </c>
      <c r="Y346">
        <v>135436112089.41</v>
      </c>
      <c r="Z346">
        <v>62914329191.1604</v>
      </c>
      <c r="AA346">
        <v>0.790511051478203</v>
      </c>
      <c r="AB346">
        <v>70492419768.812805</v>
      </c>
      <c r="AC346">
        <v>40432518624.089401</v>
      </c>
      <c r="AD346">
        <v>55725036872.687103</v>
      </c>
      <c r="AE346">
        <v>-109313690556.96899</v>
      </c>
      <c r="AF346">
        <v>-5757097915.7944298</v>
      </c>
      <c r="AG346">
        <v>5.5594999999999999E-2</v>
      </c>
      <c r="AH346">
        <v>-330902250979.33502</v>
      </c>
      <c r="AI346">
        <v>149802037420.85501</v>
      </c>
      <c r="AJ346">
        <v>0.06</v>
      </c>
      <c r="AK346">
        <v>0.05</v>
      </c>
      <c r="AL346">
        <v>8.8099999999999998E-2</v>
      </c>
      <c r="AM346">
        <v>3.8100000000000002E-2</v>
      </c>
      <c r="AN346">
        <v>0.89</v>
      </c>
      <c r="AO346">
        <v>0.66</v>
      </c>
      <c r="AP346">
        <v>0.42970000000000003</v>
      </c>
      <c r="AQ346">
        <v>0.57030000000000003</v>
      </c>
      <c r="AR346">
        <v>8.9999999999999993E-3</v>
      </c>
      <c r="AS346">
        <v>0.5</v>
      </c>
      <c r="AT346">
        <v>1.82</v>
      </c>
      <c r="AU346">
        <v>6.3545217126973294E-2</v>
      </c>
      <c r="AV346">
        <v>0.7893</v>
      </c>
      <c r="AW346">
        <v>3</v>
      </c>
      <c r="AX346">
        <v>0.05</v>
      </c>
      <c r="AY346">
        <v>1</v>
      </c>
      <c r="AZ346">
        <v>1</v>
      </c>
      <c r="BA346" s="2">
        <f>modelo_tese_H__2[[#This Row],[Vw]]+modelo_tese_H__2[[#This Row],[Vr]]+modelo_tese_H__2[[#This Row],[K]]-modelo_tese_H__2[[#This Row],[E]]</f>
        <v>-108578430660.23041</v>
      </c>
      <c r="BB346" s="2">
        <f>modelo_tese_H__2[[#This Row],[K]]-modelo_tese_H__2[[#This Row],[Coluna1]]</f>
        <v>244014542749.64041</v>
      </c>
      <c r="BC346">
        <f>modelo_tese_H__2[[#This Row],[Coluna2]]/modelo_tese_H__2[[#This Row],[Coluna1]]</f>
        <v>-2.2473574287808979</v>
      </c>
      <c r="BD346" s="8">
        <f>modelo_tese_H__2[[#This Row],[D]]-modelo_tese_H__2[[#This Row],[Dw]]-modelo_tese_H__2[[#This Row],[Dr]]</f>
        <v>0</v>
      </c>
    </row>
    <row r="347" spans="1:56" x14ac:dyDescent="0.25">
      <c r="A347">
        <v>346</v>
      </c>
      <c r="B347">
        <v>346</v>
      </c>
      <c r="C347">
        <v>33548076373.485199</v>
      </c>
      <c r="D347">
        <v>15603773414.1569</v>
      </c>
      <c r="E347">
        <v>13887358338.599701</v>
      </c>
      <c r="F347">
        <v>1731702690.90043</v>
      </c>
      <c r="G347">
        <v>48521412156.6082</v>
      </c>
      <c r="H347">
        <v>10888952967.9193</v>
      </c>
      <c r="I347">
        <v>26508013997.419399</v>
      </c>
      <c r="J347">
        <v>19511308278.8279</v>
      </c>
      <c r="K347">
        <v>122678097104.12199</v>
      </c>
      <c r="L347">
        <v>-10904240583.2624</v>
      </c>
      <c r="M347">
        <v>142189405382.95001</v>
      </c>
      <c r="N347">
        <v>-207105639369.92599</v>
      </c>
      <c r="O347">
        <v>24505763715.458698</v>
      </c>
      <c r="P347">
        <v>16173804052.2027</v>
      </c>
      <c r="Q347">
        <v>25277237274.568802</v>
      </c>
      <c r="R347">
        <v>12638618637.284401</v>
      </c>
      <c r="S347">
        <v>12638618637.284401</v>
      </c>
      <c r="T347">
        <v>11867145078.174299</v>
      </c>
      <c r="U347">
        <v>4827082702.1084805</v>
      </c>
      <c r="V347">
        <v>91714790931.803497</v>
      </c>
      <c r="W347">
        <v>16143495598.431801</v>
      </c>
      <c r="X347">
        <v>0.274431101124819</v>
      </c>
      <c r="Y347">
        <v>142973290538.28699</v>
      </c>
      <c r="Z347">
        <v>66419206152.3078</v>
      </c>
      <c r="AA347">
        <v>0.79049870221303897</v>
      </c>
      <c r="AB347">
        <v>74415446202.972397</v>
      </c>
      <c r="AC347">
        <v>42681818049.622101</v>
      </c>
      <c r="AD347">
        <v>58825313648.053902</v>
      </c>
      <c r="AE347">
        <v>-115390848438.123</v>
      </c>
      <c r="AF347">
        <v>-6077157881.1539602</v>
      </c>
      <c r="AG347">
        <v>5.5594999999999999E-2</v>
      </c>
      <c r="AH347">
        <v>-349295044752.87598</v>
      </c>
      <c r="AI347">
        <v>158133997084.11099</v>
      </c>
      <c r="AJ347">
        <v>0.06</v>
      </c>
      <c r="AK347">
        <v>0.05</v>
      </c>
      <c r="AL347">
        <v>8.8099999999999998E-2</v>
      </c>
      <c r="AM347">
        <v>3.8100000000000002E-2</v>
      </c>
      <c r="AN347">
        <v>0.89</v>
      </c>
      <c r="AO347">
        <v>0.66</v>
      </c>
      <c r="AP347">
        <v>0.42970000000000003</v>
      </c>
      <c r="AQ347">
        <v>0.57030000000000003</v>
      </c>
      <c r="AR347">
        <v>8.9999999999999993E-3</v>
      </c>
      <c r="AS347">
        <v>0.5</v>
      </c>
      <c r="AT347">
        <v>1.82</v>
      </c>
      <c r="AU347">
        <v>6.3545217126973294E-2</v>
      </c>
      <c r="AV347">
        <v>0.7893</v>
      </c>
      <c r="AW347">
        <v>3</v>
      </c>
      <c r="AX347">
        <v>0.05</v>
      </c>
      <c r="AY347">
        <v>1</v>
      </c>
      <c r="AZ347">
        <v>1</v>
      </c>
      <c r="BA347" s="2">
        <f>modelo_tese_H__2[[#This Row],[Vw]]+modelo_tese_H__2[[#This Row],[Vr]]+modelo_tese_H__2[[#This Row],[K]]-modelo_tese_H__2[[#This Row],[E]]</f>
        <v>-114606963282.7858</v>
      </c>
      <c r="BB347" s="2">
        <f>modelo_tese_H__2[[#This Row],[K]]-modelo_tese_H__2[[#This Row],[Coluna1]]</f>
        <v>257580253821.07278</v>
      </c>
      <c r="BC347">
        <f>modelo_tese_H__2[[#This Row],[Coluna2]]/modelo_tese_H__2[[#This Row],[Coluna1]]</f>
        <v>-2.2475096315527443</v>
      </c>
      <c r="BD347" s="8">
        <f>modelo_tese_H__2[[#This Row],[D]]-modelo_tese_H__2[[#This Row],[Dw]]-modelo_tese_H__2[[#This Row],[Dr]]</f>
        <v>-5.035400390625E-4</v>
      </c>
    </row>
    <row r="348" spans="1:56" x14ac:dyDescent="0.25">
      <c r="A348">
        <v>347</v>
      </c>
      <c r="B348">
        <v>347</v>
      </c>
      <c r="C348">
        <v>35414518534.507202</v>
      </c>
      <c r="D348">
        <v>16472620604.8141</v>
      </c>
      <c r="E348">
        <v>14660632338.2845</v>
      </c>
      <c r="F348">
        <v>1827965019.20822</v>
      </c>
      <c r="G348">
        <v>51219932722.448997</v>
      </c>
      <c r="H348">
        <v>11494324308.1707</v>
      </c>
      <c r="I348">
        <v>27982921665.663502</v>
      </c>
      <c r="J348">
        <v>20595892452.612801</v>
      </c>
      <c r="K348">
        <v>129498385912.625</v>
      </c>
      <c r="L348">
        <v>-11510301060.8494</v>
      </c>
      <c r="M348">
        <v>150094278365.23801</v>
      </c>
      <c r="N348">
        <v>-218615940430.776</v>
      </c>
      <c r="O348">
        <v>25868652890.125702</v>
      </c>
      <c r="P348">
        <v>17073310907.483</v>
      </c>
      <c r="Q348">
        <v>26683532551.775799</v>
      </c>
      <c r="R348">
        <v>13341766275.887899</v>
      </c>
      <c r="S348">
        <v>13341766275.887899</v>
      </c>
      <c r="T348">
        <v>12526886614.2379</v>
      </c>
      <c r="U348">
        <v>5095289745.3942299</v>
      </c>
      <c r="V348">
        <v>96810080677.197693</v>
      </c>
      <c r="W348">
        <v>17041818513.1364</v>
      </c>
      <c r="X348">
        <v>0.27443403158457302</v>
      </c>
      <c r="Y348">
        <v>150929840260.81</v>
      </c>
      <c r="Z348">
        <v>70119258389.556396</v>
      </c>
      <c r="AA348">
        <v>0.79048647863895605</v>
      </c>
      <c r="AB348">
        <v>78556753043.014893</v>
      </c>
      <c r="AC348">
        <v>45056232573.1465</v>
      </c>
      <c r="AD348">
        <v>62098051086.282898</v>
      </c>
      <c r="AE348">
        <v>-121805859753.578</v>
      </c>
      <c r="AF348">
        <v>-6415011315.4551897</v>
      </c>
      <c r="AG348">
        <v>5.5594999999999999E-2</v>
      </c>
      <c r="AH348">
        <v>-368710218796.01398</v>
      </c>
      <c r="AI348">
        <v>166929339066.754</v>
      </c>
      <c r="AJ348">
        <v>0.06</v>
      </c>
      <c r="AK348">
        <v>0.05</v>
      </c>
      <c r="AL348">
        <v>8.8099999999999998E-2</v>
      </c>
      <c r="AM348">
        <v>3.8100000000000002E-2</v>
      </c>
      <c r="AN348">
        <v>0.89</v>
      </c>
      <c r="AO348">
        <v>0.66</v>
      </c>
      <c r="AP348">
        <v>0.42970000000000003</v>
      </c>
      <c r="AQ348">
        <v>0.57030000000000003</v>
      </c>
      <c r="AR348">
        <v>8.9999999999999993E-3</v>
      </c>
      <c r="AS348">
        <v>0.5</v>
      </c>
      <c r="AT348">
        <v>1.82</v>
      </c>
      <c r="AU348">
        <v>6.3545217126973294E-2</v>
      </c>
      <c r="AV348">
        <v>0.7893</v>
      </c>
      <c r="AW348">
        <v>3</v>
      </c>
      <c r="AX348">
        <v>0.05</v>
      </c>
      <c r="AY348">
        <v>1</v>
      </c>
      <c r="AZ348">
        <v>1</v>
      </c>
      <c r="BA348" s="2">
        <f>modelo_tese_H__2[[#This Row],[Vw]]+modelo_tese_H__2[[#This Row],[Vr]]+modelo_tese_H__2[[#This Row],[K]]-modelo_tese_H__2[[#This Row],[E]]</f>
        <v>-120970297858.00638</v>
      </c>
      <c r="BB348" s="2">
        <f>modelo_tese_H__2[[#This Row],[K]]-modelo_tese_H__2[[#This Row],[Coluna1]]</f>
        <v>271900138118.81638</v>
      </c>
      <c r="BC348">
        <f>modelo_tese_H__2[[#This Row],[Coluna2]]/modelo_tese_H__2[[#This Row],[Coluna1]]</f>
        <v>-2.2476603177250154</v>
      </c>
      <c r="BD348" s="8">
        <f>modelo_tese_H__2[[#This Row],[D]]-modelo_tese_H__2[[#This Row],[Dw]]-modelo_tese_H__2[[#This Row],[Dr]]</f>
        <v>3.0517578125E-4</v>
      </c>
    </row>
    <row r="349" spans="1:56" x14ac:dyDescent="0.25">
      <c r="A349">
        <v>348</v>
      </c>
      <c r="B349">
        <v>348</v>
      </c>
      <c r="C349">
        <v>37384785600.005898</v>
      </c>
      <c r="D349">
        <v>17389832241.317501</v>
      </c>
      <c r="E349">
        <v>15476950694.7726</v>
      </c>
      <c r="F349">
        <v>1929578526.8183701</v>
      </c>
      <c r="G349">
        <v>54068521231.139999</v>
      </c>
      <c r="H349">
        <v>12133351268.0835</v>
      </c>
      <c r="I349">
        <v>29539880489.6744</v>
      </c>
      <c r="J349">
        <v>21740767476.986599</v>
      </c>
      <c r="K349">
        <v>136697848677.438</v>
      </c>
      <c r="L349">
        <v>-12150048248.356899</v>
      </c>
      <c r="M349">
        <v>158438616154.42401</v>
      </c>
      <c r="N349">
        <v>-230765988679.133</v>
      </c>
      <c r="O349">
        <v>27307333955.121201</v>
      </c>
      <c r="P349">
        <v>18022840410.380001</v>
      </c>
      <c r="Q349">
        <v>28168056062.287399</v>
      </c>
      <c r="R349">
        <v>14084028031.1437</v>
      </c>
      <c r="S349">
        <v>14084028031.1437</v>
      </c>
      <c r="T349">
        <v>13223305923.977501</v>
      </c>
      <c r="U349">
        <v>5378400813.6460695</v>
      </c>
      <c r="V349">
        <v>102188481490.84399</v>
      </c>
      <c r="W349">
        <v>17990120762.238899</v>
      </c>
      <c r="X349">
        <v>0.27443693219183402</v>
      </c>
      <c r="Y349">
        <v>159329091552.73599</v>
      </c>
      <c r="Z349">
        <v>74025351120.651505</v>
      </c>
      <c r="AA349">
        <v>0.79047437948128796</v>
      </c>
      <c r="AB349">
        <v>82928483659.785797</v>
      </c>
      <c r="AC349">
        <v>47562720900.054398</v>
      </c>
      <c r="AD349">
        <v>65552841662.293297</v>
      </c>
      <c r="AE349">
        <v>-128577507188.289</v>
      </c>
      <c r="AF349">
        <v>-6771647434.7108803</v>
      </c>
      <c r="AG349">
        <v>5.5594999999999999E-2</v>
      </c>
      <c r="AH349">
        <v>-389204604833.55701</v>
      </c>
      <c r="AI349">
        <v>176213832611.495</v>
      </c>
      <c r="AJ349">
        <v>0.06</v>
      </c>
      <c r="AK349">
        <v>0.05</v>
      </c>
      <c r="AL349">
        <v>8.8099999999999998E-2</v>
      </c>
      <c r="AM349">
        <v>3.8100000000000002E-2</v>
      </c>
      <c r="AN349">
        <v>0.89</v>
      </c>
      <c r="AO349">
        <v>0.66</v>
      </c>
      <c r="AP349">
        <v>0.42970000000000003</v>
      </c>
      <c r="AQ349">
        <v>0.57030000000000003</v>
      </c>
      <c r="AR349">
        <v>8.9999999999999993E-3</v>
      </c>
      <c r="AS349">
        <v>0.5</v>
      </c>
      <c r="AT349">
        <v>1.82</v>
      </c>
      <c r="AU349">
        <v>6.3545217126973294E-2</v>
      </c>
      <c r="AV349">
        <v>0.7893</v>
      </c>
      <c r="AW349">
        <v>3</v>
      </c>
      <c r="AX349">
        <v>0.05</v>
      </c>
      <c r="AY349">
        <v>1</v>
      </c>
      <c r="AZ349">
        <v>1</v>
      </c>
      <c r="BA349" s="2">
        <f>modelo_tese_H__2[[#This Row],[Vw]]+modelo_tese_H__2[[#This Row],[Vr]]+modelo_tese_H__2[[#This Row],[K]]-modelo_tese_H__2[[#This Row],[E]]</f>
        <v>-127687031789.97752</v>
      </c>
      <c r="BB349" s="2">
        <f>modelo_tese_H__2[[#This Row],[K]]-modelo_tese_H__2[[#This Row],[Coluna1]]</f>
        <v>287016123342.7135</v>
      </c>
      <c r="BC349">
        <f>modelo_tese_H__2[[#This Row],[Coluna2]]/modelo_tese_H__2[[#This Row],[Coluna1]]</f>
        <v>-2.2478095020236983</v>
      </c>
      <c r="BD349" s="8">
        <f>modelo_tese_H__2[[#This Row],[D]]-modelo_tese_H__2[[#This Row],[Dw]]-modelo_tese_H__2[[#This Row],[Dr]]</f>
        <v>0</v>
      </c>
    </row>
    <row r="350" spans="1:56" x14ac:dyDescent="0.25">
      <c r="A350">
        <v>349</v>
      </c>
      <c r="B350">
        <v>349</v>
      </c>
      <c r="C350">
        <v>39464652411.590103</v>
      </c>
      <c r="D350">
        <v>18358099878.521099</v>
      </c>
      <c r="E350">
        <v>16338708891.883801</v>
      </c>
      <c r="F350">
        <v>2036840688.9802401</v>
      </c>
      <c r="G350">
        <v>57075522671.488701</v>
      </c>
      <c r="H350">
        <v>12807904931.8326</v>
      </c>
      <c r="I350">
        <v>31183454512.696701</v>
      </c>
      <c r="J350">
        <v>22949284925.093601</v>
      </c>
      <c r="K350">
        <v>144297565574.66</v>
      </c>
      <c r="L350">
        <v>-12825354634.175501</v>
      </c>
      <c r="M350">
        <v>167246850499.754</v>
      </c>
      <c r="N350">
        <v>-243591343313.30801</v>
      </c>
      <c r="O350">
        <v>28826021551.256901</v>
      </c>
      <c r="P350">
        <v>19025174223.829601</v>
      </c>
      <c r="Q350">
        <v>29735158936.104198</v>
      </c>
      <c r="R350">
        <v>14867579468.052099</v>
      </c>
      <c r="S350">
        <v>14867579468.052099</v>
      </c>
      <c r="T350">
        <v>13958442083.2048</v>
      </c>
      <c r="U350">
        <v>5677244184.3114004</v>
      </c>
      <c r="V350">
        <v>107865725675.155</v>
      </c>
      <c r="W350">
        <v>18991182611.168098</v>
      </c>
      <c r="X350">
        <v>0.27443980324983602</v>
      </c>
      <c r="Y350">
        <v>168195672446.54199</v>
      </c>
      <c r="Z350">
        <v>78148954263.767395</v>
      </c>
      <c r="AA350">
        <v>0.79046240347838403</v>
      </c>
      <c r="AB350">
        <v>87543456897.107895</v>
      </c>
      <c r="AC350">
        <v>50208628736.526199</v>
      </c>
      <c r="AD350">
        <v>69199811347.694305</v>
      </c>
      <c r="AE350">
        <v>-135725617638.153</v>
      </c>
      <c r="AF350">
        <v>-7148110449.86413</v>
      </c>
      <c r="AG350">
        <v>5.5594999999999999E-2</v>
      </c>
      <c r="AH350">
        <v>-410838193813.06201</v>
      </c>
      <c r="AI350">
        <v>186014679938.923</v>
      </c>
      <c r="AJ350">
        <v>0.06</v>
      </c>
      <c r="AK350">
        <v>0.05</v>
      </c>
      <c r="AL350">
        <v>8.8099999999999998E-2</v>
      </c>
      <c r="AM350">
        <v>3.8100000000000002E-2</v>
      </c>
      <c r="AN350">
        <v>0.89</v>
      </c>
      <c r="AO350">
        <v>0.66</v>
      </c>
      <c r="AP350">
        <v>0.42970000000000003</v>
      </c>
      <c r="AQ350">
        <v>0.57030000000000003</v>
      </c>
      <c r="AR350">
        <v>8.9999999999999993E-3</v>
      </c>
      <c r="AS350">
        <v>0.5</v>
      </c>
      <c r="AT350">
        <v>1.82</v>
      </c>
      <c r="AU350">
        <v>6.3545217126973294E-2</v>
      </c>
      <c r="AV350">
        <v>0.7893</v>
      </c>
      <c r="AW350">
        <v>3</v>
      </c>
      <c r="AX350">
        <v>0.05</v>
      </c>
      <c r="AY350">
        <v>1</v>
      </c>
      <c r="AZ350">
        <v>1</v>
      </c>
      <c r="BA350" s="2">
        <f>modelo_tese_H__2[[#This Row],[Vw]]+modelo_tese_H__2[[#This Row],[Vr]]+modelo_tese_H__2[[#This Row],[K]]-modelo_tese_H__2[[#This Row],[E]]</f>
        <v>-134776795691.36441</v>
      </c>
      <c r="BB350" s="2">
        <f>modelo_tese_H__2[[#This Row],[K]]-modelo_tese_H__2[[#This Row],[Coluna1]]</f>
        <v>302972468137.90637</v>
      </c>
      <c r="BC350">
        <f>modelo_tese_H__2[[#This Row],[Coluna2]]/modelo_tese_H__2[[#This Row],[Coluna1]]</f>
        <v>-2.2479571990397069</v>
      </c>
      <c r="BD350" s="8">
        <f>modelo_tese_H__2[[#This Row],[D]]-modelo_tese_H__2[[#This Row],[Dw]]-modelo_tese_H__2[[#This Row],[Dr]]</f>
        <v>0</v>
      </c>
    </row>
    <row r="351" spans="1:56" x14ac:dyDescent="0.25">
      <c r="A351">
        <v>350</v>
      </c>
      <c r="B351">
        <v>350</v>
      </c>
      <c r="C351">
        <v>41660214984.171402</v>
      </c>
      <c r="D351">
        <v>19380264830.935398</v>
      </c>
      <c r="E351">
        <v>17248435699.532501</v>
      </c>
      <c r="F351">
        <v>2150065518.0222402</v>
      </c>
      <c r="G351">
        <v>60249746059.977303</v>
      </c>
      <c r="H351">
        <v>13519960406.517799</v>
      </c>
      <c r="I351">
        <v>32918461624.072601</v>
      </c>
      <c r="J351">
        <v>24224982687.469799</v>
      </c>
      <c r="K351">
        <v>152319788732.78299</v>
      </c>
      <c r="L351">
        <v>-13538196793.137199</v>
      </c>
      <c r="M351">
        <v>176544771420.25299</v>
      </c>
      <c r="N351">
        <v>-257129540106.44501</v>
      </c>
      <c r="O351">
        <v>30429164676.756199</v>
      </c>
      <c r="P351">
        <v>20083248686.6591</v>
      </c>
      <c r="Q351">
        <v>31389434295.455799</v>
      </c>
      <c r="R351">
        <v>15694717147.7279</v>
      </c>
      <c r="S351">
        <v>15694717147.7279</v>
      </c>
      <c r="T351">
        <v>14734447529.028299</v>
      </c>
      <c r="U351">
        <v>5992694168.9295301</v>
      </c>
      <c r="V351">
        <v>113858419844.08501</v>
      </c>
      <c r="W351">
        <v>20047938968.8955</v>
      </c>
      <c r="X351">
        <v>0.27444264505874799</v>
      </c>
      <c r="Y351">
        <v>177555580890.005</v>
      </c>
      <c r="Z351">
        <v>82502176084.934998</v>
      </c>
      <c r="AA351">
        <v>0.79045054938126902</v>
      </c>
      <c r="AB351">
        <v>92415204640.957397</v>
      </c>
      <c r="AC351">
        <v>53001710310.731697</v>
      </c>
      <c r="AD351">
        <v>73049649279.627197</v>
      </c>
      <c r="AE351">
        <v>-143271120262.36099</v>
      </c>
      <c r="AF351">
        <v>-7545502624.2076397</v>
      </c>
      <c r="AG351">
        <v>5.5594999999999999E-2</v>
      </c>
      <c r="AH351">
        <v>-433674311526.69897</v>
      </c>
      <c r="AI351">
        <v>196360595929.01999</v>
      </c>
      <c r="AJ351">
        <v>0.06</v>
      </c>
      <c r="AK351">
        <v>0.05</v>
      </c>
      <c r="AL351">
        <v>8.8099999999999998E-2</v>
      </c>
      <c r="AM351">
        <v>3.8100000000000002E-2</v>
      </c>
      <c r="AN351">
        <v>0.89</v>
      </c>
      <c r="AO351">
        <v>0.66</v>
      </c>
      <c r="AP351">
        <v>0.42970000000000003</v>
      </c>
      <c r="AQ351">
        <v>0.57030000000000003</v>
      </c>
      <c r="AR351">
        <v>8.9999999999999993E-3</v>
      </c>
      <c r="AS351">
        <v>0.5</v>
      </c>
      <c r="AT351">
        <v>1.82</v>
      </c>
      <c r="AU351">
        <v>6.3545217126973294E-2</v>
      </c>
      <c r="AV351">
        <v>0.7893</v>
      </c>
      <c r="AW351">
        <v>3</v>
      </c>
      <c r="AX351">
        <v>0.05</v>
      </c>
      <c r="AY351">
        <v>1</v>
      </c>
      <c r="AZ351">
        <v>1</v>
      </c>
      <c r="BA351" s="2">
        <f>modelo_tese_H__2[[#This Row],[Vw]]+modelo_tese_H__2[[#This Row],[Vr]]+modelo_tese_H__2[[#This Row],[K]]-modelo_tese_H__2[[#This Row],[E]]</f>
        <v>-142260310792.60898</v>
      </c>
      <c r="BB351" s="2">
        <f>modelo_tese_H__2[[#This Row],[K]]-modelo_tese_H__2[[#This Row],[Coluna1]]</f>
        <v>319815891682.61401</v>
      </c>
      <c r="BC351">
        <f>modelo_tese_H__2[[#This Row],[Coluna2]]/modelo_tese_H__2[[#This Row],[Coluna1]]</f>
        <v>-2.2481034232299018</v>
      </c>
      <c r="BD351" s="8">
        <f>modelo_tese_H__2[[#This Row],[D]]-modelo_tese_H__2[[#This Row],[Dw]]-modelo_tese_H__2[[#This Row],[Dr]]</f>
        <v>-9.918212890625E-4</v>
      </c>
    </row>
    <row r="352" spans="1:56" x14ac:dyDescent="0.25">
      <c r="A352">
        <v>351</v>
      </c>
      <c r="B352">
        <v>351</v>
      </c>
      <c r="C352">
        <v>43977908367.008301</v>
      </c>
      <c r="D352">
        <v>20459326504.104801</v>
      </c>
      <c r="E352">
        <v>18208800588.653301</v>
      </c>
      <c r="F352">
        <v>2269584482.6833301</v>
      </c>
      <c r="G352">
        <v>63600490242.319801</v>
      </c>
      <c r="H352">
        <v>14271602605.318199</v>
      </c>
      <c r="I352">
        <v>34749987676.6548</v>
      </c>
      <c r="J352">
        <v>25571595329.760502</v>
      </c>
      <c r="K352">
        <v>160788007387.383</v>
      </c>
      <c r="L352">
        <v>-14290661172.549999</v>
      </c>
      <c r="M352">
        <v>186359602717.14301</v>
      </c>
      <c r="N352">
        <v>-271420201278.995</v>
      </c>
      <c r="O352">
        <v>32121459718.343399</v>
      </c>
      <c r="P352">
        <v>21200163414.106602</v>
      </c>
      <c r="Q352">
        <v>33135730712.438099</v>
      </c>
      <c r="R352">
        <v>16567865356.219101</v>
      </c>
      <c r="S352">
        <v>16567865356.219101</v>
      </c>
      <c r="T352">
        <v>15553594362.1243</v>
      </c>
      <c r="U352">
        <v>6325673671.7708397</v>
      </c>
      <c r="V352">
        <v>120184093515.856</v>
      </c>
      <c r="W352">
        <v>21163487988.684898</v>
      </c>
      <c r="X352">
        <v>0.27444545791571001</v>
      </c>
      <c r="Y352">
        <v>187436260938.92899</v>
      </c>
      <c r="Z352">
        <v>87097798717.400894</v>
      </c>
      <c r="AA352">
        <v>0.79043881595327903</v>
      </c>
      <c r="AB352">
        <v>97558011478.024796</v>
      </c>
      <c r="AC352">
        <v>55950151090.761398</v>
      </c>
      <c r="AD352">
        <v>77113639079.446396</v>
      </c>
      <c r="AE352">
        <v>-151236107763.14001</v>
      </c>
      <c r="AF352">
        <v>-7964987500.7791595</v>
      </c>
      <c r="AG352">
        <v>5.5594999999999999E-2</v>
      </c>
      <c r="AH352">
        <v>-457779803996.13898</v>
      </c>
      <c r="AI352">
        <v>207281892233.25601</v>
      </c>
      <c r="AJ352">
        <v>0.06</v>
      </c>
      <c r="AK352">
        <v>0.05</v>
      </c>
      <c r="AL352">
        <v>8.8099999999999998E-2</v>
      </c>
      <c r="AM352">
        <v>3.8100000000000002E-2</v>
      </c>
      <c r="AN352">
        <v>0.89</v>
      </c>
      <c r="AO352">
        <v>0.66</v>
      </c>
      <c r="AP352">
        <v>0.42970000000000003</v>
      </c>
      <c r="AQ352">
        <v>0.57030000000000003</v>
      </c>
      <c r="AR352">
        <v>8.9999999999999993E-3</v>
      </c>
      <c r="AS352">
        <v>0.5</v>
      </c>
      <c r="AT352">
        <v>1.82</v>
      </c>
      <c r="AU352">
        <v>6.3545217126973294E-2</v>
      </c>
      <c r="AV352">
        <v>0.7893</v>
      </c>
      <c r="AW352">
        <v>3</v>
      </c>
      <c r="AX352">
        <v>0.05</v>
      </c>
      <c r="AY352">
        <v>1</v>
      </c>
      <c r="AZ352">
        <v>1</v>
      </c>
      <c r="BA352" s="2">
        <f>modelo_tese_H__2[[#This Row],[Vw]]+modelo_tese_H__2[[#This Row],[Vr]]+modelo_tese_H__2[[#This Row],[K]]-modelo_tese_H__2[[#This Row],[E]]</f>
        <v>-150159449541.35486</v>
      </c>
      <c r="BB352" s="2">
        <f>modelo_tese_H__2[[#This Row],[K]]-modelo_tese_H__2[[#This Row],[Coluna1]]</f>
        <v>337595710480.28381</v>
      </c>
      <c r="BC352">
        <f>modelo_tese_H__2[[#This Row],[Coluna2]]/modelo_tese_H__2[[#This Row],[Coluna1]]</f>
        <v>-2.2482481889180597</v>
      </c>
      <c r="BD352" s="8">
        <f>modelo_tese_H__2[[#This Row],[D]]-modelo_tese_H__2[[#This Row],[Dw]]-modelo_tese_H__2[[#This Row],[Dr]]</f>
        <v>-1.0223388671875E-3</v>
      </c>
    </row>
    <row r="353" spans="1:56" x14ac:dyDescent="0.25">
      <c r="A353">
        <v>352</v>
      </c>
      <c r="B353">
        <v>352</v>
      </c>
      <c r="C353">
        <v>46424525498.023598</v>
      </c>
      <c r="D353">
        <v>21598451189.460701</v>
      </c>
      <c r="E353">
        <v>19222621558.619999</v>
      </c>
      <c r="F353">
        <v>2395747478.5524302</v>
      </c>
      <c r="G353">
        <v>67137571129.668503</v>
      </c>
      <c r="H353">
        <v>15065032352.1609</v>
      </c>
      <c r="I353">
        <v>36683401389.333298</v>
      </c>
      <c r="J353">
        <v>26993065026.2491</v>
      </c>
      <c r="K353">
        <v>169727016658.08401</v>
      </c>
      <c r="L353">
        <v>-15084950199.872601</v>
      </c>
      <c r="M353">
        <v>196720081684.33301</v>
      </c>
      <c r="N353">
        <v>-286505151478.86798</v>
      </c>
      <c r="O353">
        <v>33907864206.903301</v>
      </c>
      <c r="P353">
        <v>22379190376.556198</v>
      </c>
      <c r="Q353">
        <v>34979166415.045998</v>
      </c>
      <c r="R353">
        <v>17489583207.522999</v>
      </c>
      <c r="S353">
        <v>17489583207.522999</v>
      </c>
      <c r="T353">
        <v>16418280999.380301</v>
      </c>
      <c r="U353">
        <v>6677156890.6900702</v>
      </c>
      <c r="V353">
        <v>126861250406.54601</v>
      </c>
      <c r="W353">
        <v>22341100147.18</v>
      </c>
      <c r="X353">
        <v>0.27444824211485902</v>
      </c>
      <c r="Y353">
        <v>197866683187.27701</v>
      </c>
      <c r="Z353">
        <v>91949315657.057999</v>
      </c>
      <c r="AA353">
        <v>0.79042720197058802</v>
      </c>
      <c r="AB353">
        <v>102986956559.851</v>
      </c>
      <c r="AC353">
        <v>59062591765.889503</v>
      </c>
      <c r="AD353">
        <v>81403691913.069504</v>
      </c>
      <c r="AE353">
        <v>-159643901072.32199</v>
      </c>
      <c r="AF353">
        <v>-8407793309.1825304</v>
      </c>
      <c r="AG353">
        <v>5.5594999999999999E-2</v>
      </c>
      <c r="AH353">
        <v>-483225233163.20099</v>
      </c>
      <c r="AI353">
        <v>218810566063.604</v>
      </c>
      <c r="AJ353">
        <v>0.06</v>
      </c>
      <c r="AK353">
        <v>0.05</v>
      </c>
      <c r="AL353">
        <v>8.8099999999999998E-2</v>
      </c>
      <c r="AM353">
        <v>3.8100000000000002E-2</v>
      </c>
      <c r="AN353">
        <v>0.89</v>
      </c>
      <c r="AO353">
        <v>0.66</v>
      </c>
      <c r="AP353">
        <v>0.42970000000000003</v>
      </c>
      <c r="AQ353">
        <v>0.57030000000000003</v>
      </c>
      <c r="AR353">
        <v>8.9999999999999993E-3</v>
      </c>
      <c r="AS353">
        <v>0.5</v>
      </c>
      <c r="AT353">
        <v>1.82</v>
      </c>
      <c r="AU353">
        <v>6.3545217126973294E-2</v>
      </c>
      <c r="AV353">
        <v>0.7893</v>
      </c>
      <c r="AW353">
        <v>3</v>
      </c>
      <c r="AX353">
        <v>0.05</v>
      </c>
      <c r="AY353">
        <v>1</v>
      </c>
      <c r="AZ353">
        <v>1</v>
      </c>
      <c r="BA353" s="2">
        <f>modelo_tese_H__2[[#This Row],[Vw]]+modelo_tese_H__2[[#This Row],[Vr]]+modelo_tese_H__2[[#This Row],[K]]-modelo_tese_H__2[[#This Row],[E]]</f>
        <v>-158497299569.37799</v>
      </c>
      <c r="BB353" s="2">
        <f>modelo_tese_H__2[[#This Row],[K]]-modelo_tese_H__2[[#This Row],[Coluna1]]</f>
        <v>356363982756.65503</v>
      </c>
      <c r="BC353">
        <f>modelo_tese_H__2[[#This Row],[Coluna2]]/modelo_tese_H__2[[#This Row],[Coluna1]]</f>
        <v>-2.2483915102961496</v>
      </c>
      <c r="BD353" s="8">
        <f>modelo_tese_H__2[[#This Row],[D]]-modelo_tese_H__2[[#This Row],[Dw]]-modelo_tese_H__2[[#This Row],[Dr]]</f>
        <v>0</v>
      </c>
    </row>
    <row r="354" spans="1:56" x14ac:dyDescent="0.25">
      <c r="A354">
        <v>353</v>
      </c>
      <c r="B354">
        <v>353</v>
      </c>
      <c r="C354">
        <v>49007237106.5196</v>
      </c>
      <c r="D354">
        <v>22800981348.3195</v>
      </c>
      <c r="E354">
        <v>20292873400.004398</v>
      </c>
      <c r="F354">
        <v>2528923852.45751</v>
      </c>
      <c r="G354">
        <v>70871350449.154694</v>
      </c>
      <c r="H354">
        <v>15902572825.7792</v>
      </c>
      <c r="I354">
        <v>38724370078.241203</v>
      </c>
      <c r="J354">
        <v>28493553101.206501</v>
      </c>
      <c r="K354">
        <v>179162990149.19</v>
      </c>
      <c r="L354">
        <v>-15923388729.9216</v>
      </c>
      <c r="M354">
        <v>207656543250.397</v>
      </c>
      <c r="N354">
        <v>-302428540208.78998</v>
      </c>
      <c r="O354">
        <v>35793611337.956902</v>
      </c>
      <c r="P354">
        <v>23623783483.051601</v>
      </c>
      <c r="Q354">
        <v>36925144283.1343</v>
      </c>
      <c r="R354">
        <v>18462572141.567101</v>
      </c>
      <c r="S354">
        <v>18462572141.567101</v>
      </c>
      <c r="T354">
        <v>17331039196.389801</v>
      </c>
      <c r="U354">
        <v>7048172168.1112804</v>
      </c>
      <c r="V354">
        <v>133909422574.657</v>
      </c>
      <c r="W354">
        <v>23584227828.361198</v>
      </c>
      <c r="X354">
        <v>0.27445099794736</v>
      </c>
      <c r="Y354">
        <v>208877429670.30801</v>
      </c>
      <c r="Z354">
        <v>97070971343.852005</v>
      </c>
      <c r="AA354">
        <v>0.79041570622146495</v>
      </c>
      <c r="AB354">
        <v>108717957795.207</v>
      </c>
      <c r="AC354">
        <v>62348153561.292702</v>
      </c>
      <c r="AD354">
        <v>85932381389.6539</v>
      </c>
      <c r="AE354">
        <v>-168519117634.133</v>
      </c>
      <c r="AF354">
        <v>-8875216561.8103294</v>
      </c>
      <c r="AG354">
        <v>5.5594999999999999E-2</v>
      </c>
      <c r="AH354">
        <v>-510085083459.18701</v>
      </c>
      <c r="AI354">
        <v>230980393918.509</v>
      </c>
      <c r="AJ354">
        <v>0.06</v>
      </c>
      <c r="AK354">
        <v>0.05</v>
      </c>
      <c r="AL354">
        <v>8.8099999999999998E-2</v>
      </c>
      <c r="AM354">
        <v>3.8100000000000002E-2</v>
      </c>
      <c r="AN354">
        <v>0.89</v>
      </c>
      <c r="AO354">
        <v>0.66</v>
      </c>
      <c r="AP354">
        <v>0.42970000000000003</v>
      </c>
      <c r="AQ354">
        <v>0.57030000000000003</v>
      </c>
      <c r="AR354">
        <v>8.9999999999999993E-3</v>
      </c>
      <c r="AS354">
        <v>0.5</v>
      </c>
      <c r="AT354">
        <v>1.82</v>
      </c>
      <c r="AU354">
        <v>6.3545217126973294E-2</v>
      </c>
      <c r="AV354">
        <v>0.7893</v>
      </c>
      <c r="AW354">
        <v>3</v>
      </c>
      <c r="AX354">
        <v>0.05</v>
      </c>
      <c r="AY354">
        <v>1</v>
      </c>
      <c r="AZ354">
        <v>1</v>
      </c>
      <c r="BA354" s="2">
        <f>modelo_tese_H__2[[#This Row],[Vw]]+modelo_tese_H__2[[#This Row],[Vr]]+modelo_tese_H__2[[#This Row],[K]]-modelo_tese_H__2[[#This Row],[E]]</f>
        <v>-167298231214.22198</v>
      </c>
      <c r="BB354" s="2">
        <f>modelo_tese_H__2[[#This Row],[K]]-modelo_tese_H__2[[#This Row],[Coluna1]]</f>
        <v>376175660884.53003</v>
      </c>
      <c r="BC354">
        <f>modelo_tese_H__2[[#This Row],[Coluna2]]/modelo_tese_H__2[[#This Row],[Coluna1]]</f>
        <v>-2.2485334014251754</v>
      </c>
      <c r="BD354" s="8">
        <f>modelo_tese_H__2[[#This Row],[D]]-modelo_tese_H__2[[#This Row],[Dw]]-modelo_tese_H__2[[#This Row],[Dr]]</f>
        <v>0</v>
      </c>
    </row>
    <row r="355" spans="1:56" x14ac:dyDescent="0.25">
      <c r="A355">
        <v>354</v>
      </c>
      <c r="B355">
        <v>354</v>
      </c>
      <c r="C355">
        <v>51733612722.695099</v>
      </c>
      <c r="D355">
        <v>24070445412.338501</v>
      </c>
      <c r="E355">
        <v>21422696416.981201</v>
      </c>
      <c r="F355">
        <v>2669503483.8030801</v>
      </c>
      <c r="G355">
        <v>74812766093.042892</v>
      </c>
      <c r="H355">
        <v>16786676362.0284</v>
      </c>
      <c r="I355">
        <v>40878876262.812798</v>
      </c>
      <c r="J355">
        <v>30077452211.8536</v>
      </c>
      <c r="K355">
        <v>189123556586.535</v>
      </c>
      <c r="L355">
        <v>-16808430850.4743</v>
      </c>
      <c r="M355">
        <v>219201008798.388</v>
      </c>
      <c r="N355">
        <v>-319236971059.26398</v>
      </c>
      <c r="O355">
        <v>37784225299.516602</v>
      </c>
      <c r="P355">
        <v>24937588697.681</v>
      </c>
      <c r="Q355">
        <v>38979367678.313301</v>
      </c>
      <c r="R355">
        <v>19489683839.156601</v>
      </c>
      <c r="S355">
        <v>19489683839.156601</v>
      </c>
      <c r="T355">
        <v>18294541460.360001</v>
      </c>
      <c r="U355">
        <v>7439805000.4776602</v>
      </c>
      <c r="V355">
        <v>141349227575.13501</v>
      </c>
      <c r="W355">
        <v>24896515440.514599</v>
      </c>
      <c r="X355">
        <v>0.274453725701435</v>
      </c>
      <c r="Y355">
        <v>220500783489.49899</v>
      </c>
      <c r="Z355">
        <v>102477802945.21001</v>
      </c>
      <c r="AA355">
        <v>0.79040432750644696</v>
      </c>
      <c r="AB355">
        <v>114767818500.16901</v>
      </c>
      <c r="AC355">
        <v>65816464960.493698</v>
      </c>
      <c r="AD355">
        <v>90712980401.008301</v>
      </c>
      <c r="AE355">
        <v>-177887743484.129</v>
      </c>
      <c r="AF355">
        <v>-9368625849.9966393</v>
      </c>
      <c r="AG355">
        <v>5.5594999999999999E-2</v>
      </c>
      <c r="AH355">
        <v>-538437979857.65198</v>
      </c>
      <c r="AI355">
        <v>243827030520.345</v>
      </c>
      <c r="AJ355">
        <v>0.06</v>
      </c>
      <c r="AK355">
        <v>0.05</v>
      </c>
      <c r="AL355">
        <v>8.8099999999999998E-2</v>
      </c>
      <c r="AM355">
        <v>3.8100000000000002E-2</v>
      </c>
      <c r="AN355">
        <v>0.89</v>
      </c>
      <c r="AO355">
        <v>0.66</v>
      </c>
      <c r="AP355">
        <v>0.42970000000000003</v>
      </c>
      <c r="AQ355">
        <v>0.57030000000000003</v>
      </c>
      <c r="AR355">
        <v>8.9999999999999993E-3</v>
      </c>
      <c r="AS355">
        <v>0.5</v>
      </c>
      <c r="AT355">
        <v>1.82</v>
      </c>
      <c r="AU355">
        <v>6.3545217126973294E-2</v>
      </c>
      <c r="AV355">
        <v>0.7893</v>
      </c>
      <c r="AW355">
        <v>3</v>
      </c>
      <c r="AX355">
        <v>0.05</v>
      </c>
      <c r="AY355">
        <v>1</v>
      </c>
      <c r="AZ355">
        <v>1</v>
      </c>
      <c r="BA355" s="2">
        <f>modelo_tese_H__2[[#This Row],[Vw]]+modelo_tese_H__2[[#This Row],[Vr]]+modelo_tese_H__2[[#This Row],[K]]-modelo_tese_H__2[[#This Row],[E]]</f>
        <v>-176587968793.01801</v>
      </c>
      <c r="BB355" s="2">
        <f>modelo_tese_H__2[[#This Row],[K]]-modelo_tese_H__2[[#This Row],[Coluna1]]</f>
        <v>397088752282.51697</v>
      </c>
      <c r="BC355">
        <f>modelo_tese_H__2[[#This Row],[Coluna2]]/modelo_tese_H__2[[#This Row],[Coluna1]]</f>
        <v>-2.2486738762364493</v>
      </c>
      <c r="BD355" s="8">
        <f>modelo_tese_H__2[[#This Row],[D]]-modelo_tese_H__2[[#This Row],[Dw]]-modelo_tese_H__2[[#This Row],[Dr]]</f>
        <v>0</v>
      </c>
    </row>
    <row r="356" spans="1:56" x14ac:dyDescent="0.25">
      <c r="A356">
        <v>355</v>
      </c>
      <c r="B356">
        <v>355</v>
      </c>
      <c r="C356">
        <v>54611642855.446602</v>
      </c>
      <c r="D356">
        <v>25410568129.0924</v>
      </c>
      <c r="E356">
        <v>22615405634.8922</v>
      </c>
      <c r="F356">
        <v>2817897926.0221901</v>
      </c>
      <c r="G356">
        <v>78973364155.335999</v>
      </c>
      <c r="H356">
        <v>17719931634.375401</v>
      </c>
      <c r="I356">
        <v>43153235195.289803</v>
      </c>
      <c r="J356">
        <v>31749399208.604198</v>
      </c>
      <c r="K356">
        <v>199637880714.96301</v>
      </c>
      <c r="L356">
        <v>-17742667066.197399</v>
      </c>
      <c r="M356">
        <v>231387279923.56699</v>
      </c>
      <c r="N356">
        <v>-336979638125.461</v>
      </c>
      <c r="O356">
        <v>39885537452.189903</v>
      </c>
      <c r="P356">
        <v>26324454718.445301</v>
      </c>
      <c r="Q356">
        <v>41147857154.103798</v>
      </c>
      <c r="R356">
        <v>20573928577.051899</v>
      </c>
      <c r="S356">
        <v>20573928577.051899</v>
      </c>
      <c r="T356">
        <v>19311608875.138</v>
      </c>
      <c r="U356">
        <v>7853201214.9812603</v>
      </c>
      <c r="V356">
        <v>149202428790.116</v>
      </c>
      <c r="W356">
        <v>26281810095.815201</v>
      </c>
      <c r="X356">
        <v>0.27445642566239697</v>
      </c>
      <c r="Y356">
        <v>232770823421.806</v>
      </c>
      <c r="Z356">
        <v>108185684463.97301</v>
      </c>
      <c r="AA356">
        <v>0.79039306463816505</v>
      </c>
      <c r="AB356">
        <v>121154276642.582</v>
      </c>
      <c r="AC356">
        <v>69477689913.735199</v>
      </c>
      <c r="AD356">
        <v>95759500009.5504</v>
      </c>
      <c r="AE356">
        <v>-187777209335.34601</v>
      </c>
      <c r="AF356">
        <v>-9889465851.2161808</v>
      </c>
      <c r="AG356">
        <v>5.5594999999999999E-2</v>
      </c>
      <c r="AH356">
        <v>-568366918049.02905</v>
      </c>
      <c r="AI356">
        <v>257388113254.08899</v>
      </c>
      <c r="AJ356">
        <v>0.06</v>
      </c>
      <c r="AK356">
        <v>0.05</v>
      </c>
      <c r="AL356">
        <v>8.8099999999999998E-2</v>
      </c>
      <c r="AM356">
        <v>3.8100000000000002E-2</v>
      </c>
      <c r="AN356">
        <v>0.89</v>
      </c>
      <c r="AO356">
        <v>0.66</v>
      </c>
      <c r="AP356">
        <v>0.42970000000000003</v>
      </c>
      <c r="AQ356">
        <v>0.57030000000000003</v>
      </c>
      <c r="AR356">
        <v>8.9999999999999993E-3</v>
      </c>
      <c r="AS356">
        <v>0.5</v>
      </c>
      <c r="AT356">
        <v>1.82</v>
      </c>
      <c r="AU356">
        <v>6.3545217126973294E-2</v>
      </c>
      <c r="AV356">
        <v>0.7893</v>
      </c>
      <c r="AW356">
        <v>3</v>
      </c>
      <c r="AX356">
        <v>0.05</v>
      </c>
      <c r="AY356">
        <v>1</v>
      </c>
      <c r="AZ356">
        <v>1</v>
      </c>
      <c r="BA356" s="2">
        <f>modelo_tese_H__2[[#This Row],[Vw]]+modelo_tese_H__2[[#This Row],[Vr]]+modelo_tese_H__2[[#This Row],[K]]-modelo_tese_H__2[[#This Row],[E]]</f>
        <v>-186393665837.10706</v>
      </c>
      <c r="BB356" s="2">
        <f>modelo_tese_H__2[[#This Row],[K]]-modelo_tese_H__2[[#This Row],[Coluna1]]</f>
        <v>419164489258.91309</v>
      </c>
      <c r="BC356">
        <f>modelo_tese_H__2[[#This Row],[Coluna2]]/modelo_tese_H__2[[#This Row],[Coluna1]]</f>
        <v>-2.2488129485324295</v>
      </c>
      <c r="BD356" s="8">
        <f>modelo_tese_H__2[[#This Row],[D]]-modelo_tese_H__2[[#This Row],[Dw]]-modelo_tese_H__2[[#This Row],[Dr]]</f>
        <v>-1.007080078125E-3</v>
      </c>
    </row>
    <row r="357" spans="1:56" x14ac:dyDescent="0.25">
      <c r="A357">
        <v>356</v>
      </c>
      <c r="B357">
        <v>356</v>
      </c>
      <c r="C357">
        <v>57649762403.4319</v>
      </c>
      <c r="D357">
        <v>26825281483.1035</v>
      </c>
      <c r="E357">
        <v>23874500519.962101</v>
      </c>
      <c r="F357">
        <v>2974541611.4850502</v>
      </c>
      <c r="G357">
        <v>83365332749.663101</v>
      </c>
      <c r="H357">
        <v>18705071233.588501</v>
      </c>
      <c r="I357">
        <v>45554113365.035698</v>
      </c>
      <c r="J357">
        <v>33514288710.241402</v>
      </c>
      <c r="K357">
        <v>210736748693.311</v>
      </c>
      <c r="L357">
        <v>-18728831881.932201</v>
      </c>
      <c r="M357">
        <v>244251037403.55301</v>
      </c>
      <c r="N357">
        <v>-355708470007.39398</v>
      </c>
      <c r="O357">
        <v>42103703408.9207</v>
      </c>
      <c r="P357">
        <v>27788444249.887699</v>
      </c>
      <c r="Q357">
        <v>43436968095.308899</v>
      </c>
      <c r="R357">
        <v>21718484047.654499</v>
      </c>
      <c r="S357">
        <v>21718484047.654499</v>
      </c>
      <c r="T357">
        <v>20385219361.2663</v>
      </c>
      <c r="U357">
        <v>8289570322.87008</v>
      </c>
      <c r="V357">
        <v>157491999112.98599</v>
      </c>
      <c r="W357">
        <v>27744172883.817402</v>
      </c>
      <c r="X357">
        <v>0.274459098112671</v>
      </c>
      <c r="Y357">
        <v>245723523790.461</v>
      </c>
      <c r="Z357">
        <v>114211373300.136</v>
      </c>
      <c r="AA357">
        <v>0.79038191644113498</v>
      </c>
      <c r="AB357">
        <v>127896056825.168</v>
      </c>
      <c r="AC357">
        <v>73342557614.923401</v>
      </c>
      <c r="AD357">
        <v>101086730498.741</v>
      </c>
      <c r="AE357">
        <v>-198216470894.40799</v>
      </c>
      <c r="AF357">
        <v>-10439261559.062099</v>
      </c>
      <c r="AG357">
        <v>5.5594999999999999E-2</v>
      </c>
      <c r="AH357">
        <v>-599959507410.94702</v>
      </c>
      <c r="AI357">
        <v>271703372413.12201</v>
      </c>
      <c r="AJ357">
        <v>0.06</v>
      </c>
      <c r="AK357">
        <v>0.05</v>
      </c>
      <c r="AL357">
        <v>8.8099999999999998E-2</v>
      </c>
      <c r="AM357">
        <v>3.8100000000000002E-2</v>
      </c>
      <c r="AN357">
        <v>0.89</v>
      </c>
      <c r="AO357">
        <v>0.66</v>
      </c>
      <c r="AP357">
        <v>0.42970000000000003</v>
      </c>
      <c r="AQ357">
        <v>0.57030000000000003</v>
      </c>
      <c r="AR357">
        <v>8.9999999999999993E-3</v>
      </c>
      <c r="AS357">
        <v>0.5</v>
      </c>
      <c r="AT357">
        <v>1.82</v>
      </c>
      <c r="AU357">
        <v>6.3545217126973294E-2</v>
      </c>
      <c r="AV357">
        <v>0.7893</v>
      </c>
      <c r="AW357">
        <v>3</v>
      </c>
      <c r="AX357">
        <v>0.05</v>
      </c>
      <c r="AY357">
        <v>1</v>
      </c>
      <c r="AZ357">
        <v>1</v>
      </c>
      <c r="BA357" s="2">
        <f>modelo_tese_H__2[[#This Row],[Vw]]+modelo_tese_H__2[[#This Row],[Vr]]+modelo_tese_H__2[[#This Row],[K]]-modelo_tese_H__2[[#This Row],[E]]</f>
        <v>-196743984507.5</v>
      </c>
      <c r="BB357" s="2">
        <f>modelo_tese_H__2[[#This Row],[K]]-modelo_tese_H__2[[#This Row],[Coluna1]]</f>
        <v>442467508297.961</v>
      </c>
      <c r="BC357">
        <f>modelo_tese_H__2[[#This Row],[Coluna2]]/modelo_tese_H__2[[#This Row],[Coluna1]]</f>
        <v>-2.2489506319879062</v>
      </c>
      <c r="BD357" s="8">
        <f>modelo_tese_H__2[[#This Row],[D]]-modelo_tese_H__2[[#This Row],[Dw]]-modelo_tese_H__2[[#This Row],[Dr]]</f>
        <v>0</v>
      </c>
    </row>
    <row r="358" spans="1:56" x14ac:dyDescent="0.25">
      <c r="A358">
        <v>357</v>
      </c>
      <c r="B358">
        <v>357</v>
      </c>
      <c r="C358">
        <v>60856875367.998802</v>
      </c>
      <c r="D358">
        <v>28318736224.357899</v>
      </c>
      <c r="E358">
        <v>25203675239.678501</v>
      </c>
      <c r="F358">
        <v>3139893123.3916798</v>
      </c>
      <c r="G358">
        <v>88001537707.5121</v>
      </c>
      <c r="H358">
        <v>19744979668.819901</v>
      </c>
      <c r="I358">
        <v>48088548031.890099</v>
      </c>
      <c r="J358">
        <v>35377287433.772903</v>
      </c>
      <c r="K358">
        <v>222452658236.91599</v>
      </c>
      <c r="L358">
        <v>-19769811807.5322</v>
      </c>
      <c r="M358">
        <v>257829945670.689</v>
      </c>
      <c r="N358">
        <v>-375478281814.92603</v>
      </c>
      <c r="O358">
        <v>44445221064.400002</v>
      </c>
      <c r="P358">
        <v>29333845902.504002</v>
      </c>
      <c r="Q358">
        <v>45853409338.294098</v>
      </c>
      <c r="R358">
        <v>22926704669.146999</v>
      </c>
      <c r="S358">
        <v>22926704669.146999</v>
      </c>
      <c r="T358">
        <v>21518516395.252998</v>
      </c>
      <c r="U358">
        <v>8750189059.1442604</v>
      </c>
      <c r="V358">
        <v>166242188172.13</v>
      </c>
      <c r="W358">
        <v>29287890771.8988</v>
      </c>
      <c r="X358">
        <v>0.27446174333182899</v>
      </c>
      <c r="Y358">
        <v>259396859889.89001</v>
      </c>
      <c r="Z358">
        <v>120572559402.888</v>
      </c>
      <c r="AA358">
        <v>0.79037088175191095</v>
      </c>
      <c r="AB358">
        <v>135012925159.59399</v>
      </c>
      <c r="AC358">
        <v>77422393934.394104</v>
      </c>
      <c r="AD358">
        <v>106710284706.293</v>
      </c>
      <c r="AE358">
        <v>-209236093642.79599</v>
      </c>
      <c r="AF358">
        <v>-11019622748.387899</v>
      </c>
      <c r="AG358">
        <v>5.5594999999999999E-2</v>
      </c>
      <c r="AH358">
        <v>-633308227485.61499</v>
      </c>
      <c r="AI358">
        <v>286814747575.01801</v>
      </c>
      <c r="AJ358">
        <v>0.06</v>
      </c>
      <c r="AK358">
        <v>0.05</v>
      </c>
      <c r="AL358">
        <v>8.8099999999999998E-2</v>
      </c>
      <c r="AM358">
        <v>3.8100000000000002E-2</v>
      </c>
      <c r="AN358">
        <v>0.89</v>
      </c>
      <c r="AO358">
        <v>0.66</v>
      </c>
      <c r="AP358">
        <v>0.42970000000000003</v>
      </c>
      <c r="AQ358">
        <v>0.57030000000000003</v>
      </c>
      <c r="AR358">
        <v>8.9999999999999993E-3</v>
      </c>
      <c r="AS358">
        <v>0.5</v>
      </c>
      <c r="AT358">
        <v>1.82</v>
      </c>
      <c r="AU358">
        <v>6.3545217126973294E-2</v>
      </c>
      <c r="AV358">
        <v>0.7893</v>
      </c>
      <c r="AW358">
        <v>3</v>
      </c>
      <c r="AX358">
        <v>0.05</v>
      </c>
      <c r="AY358">
        <v>1</v>
      </c>
      <c r="AZ358">
        <v>1</v>
      </c>
      <c r="BA358" s="2">
        <f>modelo_tese_H__2[[#This Row],[Vw]]+modelo_tese_H__2[[#This Row],[Vr]]+modelo_tese_H__2[[#This Row],[K]]-modelo_tese_H__2[[#This Row],[E]]</f>
        <v>-207669179423.59497</v>
      </c>
      <c r="BB358" s="2">
        <f>modelo_tese_H__2[[#This Row],[K]]-modelo_tese_H__2[[#This Row],[Coluna1]]</f>
        <v>467066039313.48499</v>
      </c>
      <c r="BC358">
        <f>modelo_tese_H__2[[#This Row],[Coluna2]]/modelo_tese_H__2[[#This Row],[Coluna1]]</f>
        <v>-2.2490869401510132</v>
      </c>
      <c r="BD358" s="8">
        <f>modelo_tese_H__2[[#This Row],[D]]-modelo_tese_H__2[[#This Row],[Dw]]-modelo_tese_H__2[[#This Row],[Dr]]</f>
        <v>0</v>
      </c>
    </row>
    <row r="359" spans="1:56" x14ac:dyDescent="0.25">
      <c r="A359">
        <v>358</v>
      </c>
      <c r="B359">
        <v>358</v>
      </c>
      <c r="C359">
        <v>64242380940.2911</v>
      </c>
      <c r="D359">
        <v>29895314038.015499</v>
      </c>
      <c r="E359">
        <v>26606829493.833801</v>
      </c>
      <c r="F359">
        <v>3314436538.3730698</v>
      </c>
      <c r="G359">
        <v>92895560261.295105</v>
      </c>
      <c r="H359">
        <v>20842701813.5079</v>
      </c>
      <c r="I359">
        <v>50763967845.714699</v>
      </c>
      <c r="J359">
        <v>37343849320.919197</v>
      </c>
      <c r="K359">
        <v>234819913771.59799</v>
      </c>
      <c r="L359">
        <v>-20868653807.699299</v>
      </c>
      <c r="M359">
        <v>272163763092.517</v>
      </c>
      <c r="N359">
        <v>-396346935622.625</v>
      </c>
      <c r="O359">
        <v>46916949626.916702</v>
      </c>
      <c r="P359">
        <v>30965186753.764999</v>
      </c>
      <c r="Q359">
        <v>48404262826.657997</v>
      </c>
      <c r="R359">
        <v>24202131413.328999</v>
      </c>
      <c r="S359">
        <v>24202131413.328999</v>
      </c>
      <c r="T359">
        <v>22714818213.5877</v>
      </c>
      <c r="U359">
        <v>9236405119.0113506</v>
      </c>
      <c r="V359">
        <v>175478593291.142</v>
      </c>
      <c r="W359">
        <v>30917489167.469299</v>
      </c>
      <c r="X359">
        <v>0.27446436159661802</v>
      </c>
      <c r="Y359">
        <v>273830919273.60101</v>
      </c>
      <c r="Z359">
        <v>127287917157.028</v>
      </c>
      <c r="AA359">
        <v>0.79035995941845305</v>
      </c>
      <c r="AB359">
        <v>142525747192.24701</v>
      </c>
      <c r="AC359">
        <v>81729154599.479797</v>
      </c>
      <c r="AD359">
        <v>112646643766.94901</v>
      </c>
      <c r="AE359">
        <v>-220868342331.48401</v>
      </c>
      <c r="AF359">
        <v>-11632248688.687901</v>
      </c>
      <c r="AG359">
        <v>5.5594999999999999E-2</v>
      </c>
      <c r="AH359">
        <v>-668510698715.14197</v>
      </c>
      <c r="AI359">
        <v>302766510448.16998</v>
      </c>
      <c r="AJ359">
        <v>0.06</v>
      </c>
      <c r="AK359">
        <v>0.05</v>
      </c>
      <c r="AL359">
        <v>8.8099999999999998E-2</v>
      </c>
      <c r="AM359">
        <v>3.8100000000000002E-2</v>
      </c>
      <c r="AN359">
        <v>0.89</v>
      </c>
      <c r="AO359">
        <v>0.66</v>
      </c>
      <c r="AP359">
        <v>0.42970000000000003</v>
      </c>
      <c r="AQ359">
        <v>0.57030000000000003</v>
      </c>
      <c r="AR359">
        <v>8.9999999999999993E-3</v>
      </c>
      <c r="AS359">
        <v>0.5</v>
      </c>
      <c r="AT359">
        <v>1.82</v>
      </c>
      <c r="AU359">
        <v>6.3545217126973294E-2</v>
      </c>
      <c r="AV359">
        <v>0.7893</v>
      </c>
      <c r="AW359">
        <v>3</v>
      </c>
      <c r="AX359">
        <v>0.05</v>
      </c>
      <c r="AY359">
        <v>1</v>
      </c>
      <c r="AZ359">
        <v>1</v>
      </c>
      <c r="BA359" s="2">
        <f>modelo_tese_H__2[[#This Row],[Vw]]+modelo_tese_H__2[[#This Row],[Vr]]+modelo_tese_H__2[[#This Row],[K]]-modelo_tese_H__2[[#This Row],[E]]</f>
        <v>-219201186150.39899</v>
      </c>
      <c r="BB359" s="2">
        <f>modelo_tese_H__2[[#This Row],[K]]-modelo_tese_H__2[[#This Row],[Coluna1]]</f>
        <v>493032105424</v>
      </c>
      <c r="BC359">
        <f>modelo_tese_H__2[[#This Row],[Coluna2]]/modelo_tese_H__2[[#This Row],[Coluna1]]</f>
        <v>-2.2492218864441695</v>
      </c>
      <c r="BD359" s="8">
        <f>modelo_tese_H__2[[#This Row],[D]]-modelo_tese_H__2[[#This Row],[Dw]]-modelo_tese_H__2[[#This Row],[Dr]]</f>
        <v>-1.007080078125E-3</v>
      </c>
    </row>
    <row r="360" spans="1:56" x14ac:dyDescent="0.25">
      <c r="A360">
        <v>359</v>
      </c>
      <c r="B360">
        <v>359</v>
      </c>
      <c r="C360">
        <v>67816201039.087196</v>
      </c>
      <c r="D360">
        <v>31559640391.120701</v>
      </c>
      <c r="E360">
        <v>28088079948.097401</v>
      </c>
      <c r="F360">
        <v>3498682843.73069</v>
      </c>
      <c r="G360">
        <v>98061736822.711197</v>
      </c>
      <c r="H360">
        <v>22001451820.829899</v>
      </c>
      <c r="I360">
        <v>53588214612.657997</v>
      </c>
      <c r="J360">
        <v>39419731505.522903</v>
      </c>
      <c r="K360">
        <v>247874726877.73001</v>
      </c>
      <c r="L360">
        <v>-22028574221.5373</v>
      </c>
      <c r="M360">
        <v>287294458383.25201</v>
      </c>
      <c r="N360">
        <v>-418375509844.16199</v>
      </c>
      <c r="O360">
        <v>49526129708.440002</v>
      </c>
      <c r="P360">
        <v>32687245607.5704</v>
      </c>
      <c r="Q360">
        <v>51097004359.9785</v>
      </c>
      <c r="R360">
        <v>25548502179.9893</v>
      </c>
      <c r="S360">
        <v>25548502179.9893</v>
      </c>
      <c r="T360">
        <v>23977627528.450699</v>
      </c>
      <c r="U360">
        <v>9749641102.0215702</v>
      </c>
      <c r="V360">
        <v>185228234393.16299</v>
      </c>
      <c r="W360">
        <v>32637745178.837299</v>
      </c>
      <c r="X360">
        <v>0.27446695318098502</v>
      </c>
      <c r="Y360">
        <v>289068019231.11902</v>
      </c>
      <c r="Z360">
        <v>134377160155.87601</v>
      </c>
      <c r="AA360">
        <v>0.79034914830074099</v>
      </c>
      <c r="AB360">
        <v>150456549051.42899</v>
      </c>
      <c r="AC360">
        <v>86275460220.228394</v>
      </c>
      <c r="AD360">
        <v>118913205399.06599</v>
      </c>
      <c r="AE360">
        <v>-233147275450.99899</v>
      </c>
      <c r="AF360">
        <v>-12278933119.515699</v>
      </c>
      <c r="AG360">
        <v>5.5594999999999999E-2</v>
      </c>
      <c r="AH360">
        <v>-705669968227.41504</v>
      </c>
      <c r="AI360">
        <v>319605394549.039</v>
      </c>
      <c r="AJ360">
        <v>0.06</v>
      </c>
      <c r="AK360">
        <v>0.05</v>
      </c>
      <c r="AL360">
        <v>8.8099999999999998E-2</v>
      </c>
      <c r="AM360">
        <v>3.8100000000000002E-2</v>
      </c>
      <c r="AN360">
        <v>0.89</v>
      </c>
      <c r="AO360">
        <v>0.66</v>
      </c>
      <c r="AP360">
        <v>0.42970000000000003</v>
      </c>
      <c r="AQ360">
        <v>0.57030000000000003</v>
      </c>
      <c r="AR360">
        <v>8.9999999999999993E-3</v>
      </c>
      <c r="AS360">
        <v>0.5</v>
      </c>
      <c r="AT360">
        <v>1.82</v>
      </c>
      <c r="AU360">
        <v>6.3545217126973294E-2</v>
      </c>
      <c r="AV360">
        <v>0.7893</v>
      </c>
      <c r="AW360">
        <v>3</v>
      </c>
      <c r="AX360">
        <v>0.05</v>
      </c>
      <c r="AY360">
        <v>1</v>
      </c>
      <c r="AZ360">
        <v>1</v>
      </c>
      <c r="BA360" s="2">
        <f>modelo_tese_H__2[[#This Row],[Vw]]+modelo_tese_H__2[[#This Row],[Vr]]+modelo_tese_H__2[[#This Row],[K]]-modelo_tese_H__2[[#This Row],[E]]</f>
        <v>-231373714603.13303</v>
      </c>
      <c r="BB360" s="2">
        <f>modelo_tese_H__2[[#This Row],[K]]-modelo_tese_H__2[[#This Row],[Coluna1]]</f>
        <v>520441733834.25208</v>
      </c>
      <c r="BC360">
        <f>modelo_tese_H__2[[#This Row],[Coluna2]]/modelo_tese_H__2[[#This Row],[Coluna1]]</f>
        <v>-2.2493554841652905</v>
      </c>
      <c r="BD360" s="8">
        <f>modelo_tese_H__2[[#This Row],[D]]-modelo_tese_H__2[[#This Row],[Dw]]-modelo_tese_H__2[[#This Row],[Dr]]</f>
        <v>0</v>
      </c>
    </row>
    <row r="361" spans="1:56" x14ac:dyDescent="0.25">
      <c r="A361">
        <v>360</v>
      </c>
      <c r="B361">
        <v>360</v>
      </c>
      <c r="C361">
        <v>71588809379.842102</v>
      </c>
      <c r="D361">
        <v>33316598093.766998</v>
      </c>
      <c r="E361">
        <v>29651772303.452599</v>
      </c>
      <c r="F361">
        <v>3693171433.46522</v>
      </c>
      <c r="G361">
        <v>103515200972.757</v>
      </c>
      <c r="H361">
        <v>23224622534.808899</v>
      </c>
      <c r="I361">
        <v>56569566271.726799</v>
      </c>
      <c r="J361">
        <v>41611011168.627701</v>
      </c>
      <c r="K361">
        <v>261655322318.49701</v>
      </c>
      <c r="L361">
        <v>-23252968177.959801</v>
      </c>
      <c r="M361">
        <v>303266333487.125</v>
      </c>
      <c r="N361">
        <v>-441628478022.12201</v>
      </c>
      <c r="O361">
        <v>52280404531.695503</v>
      </c>
      <c r="P361">
        <v>34505066990.918999</v>
      </c>
      <c r="Q361">
        <v>53939525496.261902</v>
      </c>
      <c r="R361">
        <v>26969762748.131001</v>
      </c>
      <c r="S361">
        <v>26969762748.131001</v>
      </c>
      <c r="T361">
        <v>25310641783.564499</v>
      </c>
      <c r="U361">
        <v>10291398675.4492</v>
      </c>
      <c r="V361">
        <v>195519633068.612</v>
      </c>
      <c r="W361">
        <v>34453701613.458199</v>
      </c>
      <c r="X361">
        <v>0.274469518356109</v>
      </c>
      <c r="Y361">
        <v>305152830798.07098</v>
      </c>
      <c r="Z361">
        <v>141861099021.20401</v>
      </c>
      <c r="AA361">
        <v>0.79033844726990499</v>
      </c>
      <c r="AB361">
        <v>158828581995.12</v>
      </c>
      <c r="AC361">
        <v>91074633262.645798</v>
      </c>
      <c r="AD361">
        <v>125528334876.104</v>
      </c>
      <c r="AE361">
        <v>-246108844953.51001</v>
      </c>
      <c r="AF361">
        <v>-12961569502.510599</v>
      </c>
      <c r="AG361">
        <v>5.5594999999999999E-2</v>
      </c>
      <c r="AH361">
        <v>-744894811509.24695</v>
      </c>
      <c r="AI361">
        <v>337380732089.81598</v>
      </c>
      <c r="AJ361">
        <v>0.06</v>
      </c>
      <c r="AK361">
        <v>0.05</v>
      </c>
      <c r="AL361">
        <v>8.8099999999999998E-2</v>
      </c>
      <c r="AM361">
        <v>3.8100000000000002E-2</v>
      </c>
      <c r="AN361">
        <v>0.89</v>
      </c>
      <c r="AO361">
        <v>0.66</v>
      </c>
      <c r="AP361">
        <v>0.42970000000000003</v>
      </c>
      <c r="AQ361">
        <v>0.57030000000000003</v>
      </c>
      <c r="AR361">
        <v>8.9999999999999993E-3</v>
      </c>
      <c r="AS361">
        <v>0.5</v>
      </c>
      <c r="AT361">
        <v>1.82</v>
      </c>
      <c r="AU361">
        <v>6.3545217126973294E-2</v>
      </c>
      <c r="AV361">
        <v>0.7893</v>
      </c>
      <c r="AW361">
        <v>3</v>
      </c>
      <c r="AX361">
        <v>0.05</v>
      </c>
      <c r="AY361">
        <v>1</v>
      </c>
      <c r="AZ361">
        <v>1</v>
      </c>
      <c r="BA361" s="2">
        <f>modelo_tese_H__2[[#This Row],[Vw]]+modelo_tese_H__2[[#This Row],[Vr]]+modelo_tese_H__2[[#This Row],[K]]-modelo_tese_H__2[[#This Row],[E]]</f>
        <v>-244222347642.564</v>
      </c>
      <c r="BB361" s="2">
        <f>modelo_tese_H__2[[#This Row],[K]]-modelo_tese_H__2[[#This Row],[Coluna1]]</f>
        <v>549375178440.63501</v>
      </c>
      <c r="BC361">
        <f>modelo_tese_H__2[[#This Row],[Coluna2]]/modelo_tese_H__2[[#This Row],[Coluna1]]</f>
        <v>-2.2494877464886338</v>
      </c>
      <c r="BD361" s="8">
        <f>modelo_tese_H__2[[#This Row],[D]]-modelo_tese_H__2[[#This Row],[Dw]]-modelo_tese_H__2[[#This Row],[Dr]]</f>
        <v>0</v>
      </c>
    </row>
    <row r="362" spans="1:56" x14ac:dyDescent="0.25">
      <c r="A362">
        <v>361</v>
      </c>
      <c r="B362">
        <v>361</v>
      </c>
      <c r="C362">
        <v>75571262160.280502</v>
      </c>
      <c r="D362">
        <v>35171341614.657204</v>
      </c>
      <c r="E362">
        <v>31302494037.044899</v>
      </c>
      <c r="F362">
        <v>3898471687.4731498</v>
      </c>
      <c r="G362">
        <v>109271927786.508</v>
      </c>
      <c r="H362">
        <v>24515795424.631599</v>
      </c>
      <c r="I362">
        <v>59716761149.149597</v>
      </c>
      <c r="J362">
        <v>43924103330.576103</v>
      </c>
      <c r="K362">
        <v>276202049962.79401</v>
      </c>
      <c r="L362">
        <v>-24545419534.4925</v>
      </c>
      <c r="M362">
        <v>320126153293.37</v>
      </c>
      <c r="N362">
        <v>-466173897556.61499</v>
      </c>
      <c r="O362">
        <v>55187842316.418098</v>
      </c>
      <c r="P362">
        <v>36423975928.835999</v>
      </c>
      <c r="Q362">
        <v>56940156672.4049</v>
      </c>
      <c r="R362">
        <v>28470078336.2024</v>
      </c>
      <c r="S362">
        <v>28470078336.2024</v>
      </c>
      <c r="T362">
        <v>26717763980.215698</v>
      </c>
      <c r="U362">
        <v>10863262969.084801</v>
      </c>
      <c r="V362">
        <v>206382896037.69699</v>
      </c>
      <c r="W362">
        <v>36370681754.699699</v>
      </c>
      <c r="X362">
        <v>0.27447205739042502</v>
      </c>
      <c r="Y362">
        <v>322132509662.797</v>
      </c>
      <c r="Z362">
        <v>149761702439.70099</v>
      </c>
      <c r="AA362">
        <v>0.79032785520864901</v>
      </c>
      <c r="AB362">
        <v>167666390548.39099</v>
      </c>
      <c r="AC362">
        <v>96140737077.985596</v>
      </c>
      <c r="AD362">
        <v>132511418832.685</v>
      </c>
      <c r="AE362">
        <v>-259791001518.918</v>
      </c>
      <c r="AF362">
        <v>-13682156565.4077</v>
      </c>
      <c r="AG362">
        <v>5.5594999999999999E-2</v>
      </c>
      <c r="AH362">
        <v>-786300050849.98499</v>
      </c>
      <c r="AI362">
        <v>356144598477.39801</v>
      </c>
      <c r="AJ362">
        <v>0.06</v>
      </c>
      <c r="AK362">
        <v>0.05</v>
      </c>
      <c r="AL362">
        <v>8.8099999999999998E-2</v>
      </c>
      <c r="AM362">
        <v>3.8100000000000002E-2</v>
      </c>
      <c r="AN362">
        <v>0.89</v>
      </c>
      <c r="AO362">
        <v>0.66</v>
      </c>
      <c r="AP362">
        <v>0.42970000000000003</v>
      </c>
      <c r="AQ362">
        <v>0.57030000000000003</v>
      </c>
      <c r="AR362">
        <v>8.9999999999999993E-3</v>
      </c>
      <c r="AS362">
        <v>0.5</v>
      </c>
      <c r="AT362">
        <v>1.82</v>
      </c>
      <c r="AU362">
        <v>6.3545217126973294E-2</v>
      </c>
      <c r="AV362">
        <v>0.7893</v>
      </c>
      <c r="AW362">
        <v>3</v>
      </c>
      <c r="AX362">
        <v>0.05</v>
      </c>
      <c r="AY362">
        <v>1</v>
      </c>
      <c r="AZ362">
        <v>1</v>
      </c>
      <c r="BA362" s="2">
        <f>modelo_tese_H__2[[#This Row],[Vw]]+modelo_tese_H__2[[#This Row],[Vr]]+modelo_tese_H__2[[#This Row],[K]]-modelo_tese_H__2[[#This Row],[E]]</f>
        <v>-257784645149.49097</v>
      </c>
      <c r="BB362" s="2">
        <f>modelo_tese_H__2[[#This Row],[K]]-modelo_tese_H__2[[#This Row],[Coluna1]]</f>
        <v>579917154812.28796</v>
      </c>
      <c r="BC362">
        <f>modelo_tese_H__2[[#This Row],[Coluna2]]/modelo_tese_H__2[[#This Row],[Coluna1]]</f>
        <v>-2.2496186864659462</v>
      </c>
      <c r="BD362" s="8">
        <f>modelo_tese_H__2[[#This Row],[D]]-modelo_tese_H__2[[#This Row],[Dw]]-modelo_tese_H__2[[#This Row],[Dr]]</f>
        <v>0</v>
      </c>
    </row>
    <row r="363" spans="1:56" x14ac:dyDescent="0.25">
      <c r="A363">
        <v>362</v>
      </c>
      <c r="B363">
        <v>362</v>
      </c>
      <c r="C363">
        <v>79775230452.273804</v>
      </c>
      <c r="D363">
        <v>37129312192.862</v>
      </c>
      <c r="E363">
        <v>33045087851.647202</v>
      </c>
      <c r="F363">
        <v>4115184638.5358901</v>
      </c>
      <c r="G363">
        <v>115348780622.36501</v>
      </c>
      <c r="H363">
        <v>25878751071.264</v>
      </c>
      <c r="I363">
        <v>63039023561.447098</v>
      </c>
      <c r="J363">
        <v>46365779632.217102</v>
      </c>
      <c r="K363">
        <v>291557502930.47498</v>
      </c>
      <c r="L363">
        <v>-25909711368.585098</v>
      </c>
      <c r="M363">
        <v>337923282562.69299</v>
      </c>
      <c r="N363">
        <v>-492083608925.20001</v>
      </c>
      <c r="O363">
        <v>58256959910.285301</v>
      </c>
      <c r="P363">
        <v>38449593540.7883</v>
      </c>
      <c r="Q363">
        <v>60107691610.2789</v>
      </c>
      <c r="R363">
        <v>30053845805.1395</v>
      </c>
      <c r="S363">
        <v>30053845805.1395</v>
      </c>
      <c r="T363">
        <v>28203114105.145901</v>
      </c>
      <c r="U363">
        <v>11466907214.319201</v>
      </c>
      <c r="V363">
        <v>217849803252.01599</v>
      </c>
      <c r="W363">
        <v>38394304960.317299</v>
      </c>
      <c r="X363">
        <v>0.27447457054965602</v>
      </c>
      <c r="Y363">
        <v>340056834352.935</v>
      </c>
      <c r="Z363">
        <v>158102161594.879</v>
      </c>
      <c r="AA363">
        <v>0.79031737101090305</v>
      </c>
      <c r="AB363">
        <v>176995884430.108</v>
      </c>
      <c r="AC363">
        <v>101488617102.235</v>
      </c>
      <c r="AD363">
        <v>139882922062.55301</v>
      </c>
      <c r="AE363">
        <v>-274233805673.18301</v>
      </c>
      <c r="AF363">
        <v>-14442804154.2659</v>
      </c>
      <c r="AG363">
        <v>5.5594999999999999E-2</v>
      </c>
      <c r="AH363">
        <v>-830006891487.89197</v>
      </c>
      <c r="AI363">
        <v>375951964846.89502</v>
      </c>
      <c r="AJ363">
        <v>0.06</v>
      </c>
      <c r="AK363">
        <v>0.05</v>
      </c>
      <c r="AL363">
        <v>8.8099999999999998E-2</v>
      </c>
      <c r="AM363">
        <v>3.8100000000000002E-2</v>
      </c>
      <c r="AN363">
        <v>0.89</v>
      </c>
      <c r="AO363">
        <v>0.66</v>
      </c>
      <c r="AP363">
        <v>0.42970000000000003</v>
      </c>
      <c r="AQ363">
        <v>0.57030000000000003</v>
      </c>
      <c r="AR363">
        <v>8.9999999999999993E-3</v>
      </c>
      <c r="AS363">
        <v>0.5</v>
      </c>
      <c r="AT363">
        <v>1.82</v>
      </c>
      <c r="AU363">
        <v>6.3545217126973294E-2</v>
      </c>
      <c r="AV363">
        <v>0.7893</v>
      </c>
      <c r="AW363">
        <v>3</v>
      </c>
      <c r="AX363">
        <v>0.05</v>
      </c>
      <c r="AY363">
        <v>1</v>
      </c>
      <c r="AZ363">
        <v>1</v>
      </c>
      <c r="BA363" s="2">
        <f>modelo_tese_H__2[[#This Row],[Vw]]+modelo_tese_H__2[[#This Row],[Vr]]+modelo_tese_H__2[[#This Row],[K]]-modelo_tese_H__2[[#This Row],[E]]</f>
        <v>-272100253882.94095</v>
      </c>
      <c r="BB363" s="2">
        <f>modelo_tese_H__2[[#This Row],[K]]-modelo_tese_H__2[[#This Row],[Coluna1]]</f>
        <v>612157088235.87598</v>
      </c>
      <c r="BC363">
        <f>modelo_tese_H__2[[#This Row],[Coluna2]]/modelo_tese_H__2[[#This Row],[Coluna1]]</f>
        <v>-2.2497483170274046</v>
      </c>
      <c r="BD363" s="8">
        <f>modelo_tese_H__2[[#This Row],[D]]-modelo_tese_H__2[[#This Row],[Dw]]-modelo_tese_H__2[[#This Row],[Dr]]</f>
        <v>1.007080078125E-3</v>
      </c>
    </row>
    <row r="364" spans="1:56" x14ac:dyDescent="0.25">
      <c r="A364">
        <v>363</v>
      </c>
      <c r="B364">
        <v>363</v>
      </c>
      <c r="C364">
        <v>84213034394.950195</v>
      </c>
      <c r="D364">
        <v>39196253790.127502</v>
      </c>
      <c r="E364">
        <v>34884665873.213501</v>
      </c>
      <c r="F364">
        <v>4343944731.9816599</v>
      </c>
      <c r="G364">
        <v>121763560512.847</v>
      </c>
      <c r="H364">
        <v>27317480237.0709</v>
      </c>
      <c r="I364">
        <v>66546090842.266098</v>
      </c>
      <c r="J364">
        <v>48943188160.211304</v>
      </c>
      <c r="K364">
        <v>307766642305.89502</v>
      </c>
      <c r="L364">
        <v>-27349837052.138599</v>
      </c>
      <c r="M364">
        <v>356709830466.10699</v>
      </c>
      <c r="N364">
        <v>-519433445977.33801</v>
      </c>
      <c r="O364">
        <v>61496747733.761002</v>
      </c>
      <c r="P364">
        <v>40587853504.282303</v>
      </c>
      <c r="Q364">
        <v>63451413079.975601</v>
      </c>
      <c r="R364">
        <v>31725706539.987801</v>
      </c>
      <c r="S364">
        <v>31725706539.987801</v>
      </c>
      <c r="T364">
        <v>29771041193.773201</v>
      </c>
      <c r="U364">
        <v>12104097641.0891</v>
      </c>
      <c r="V364">
        <v>229953900893.10501</v>
      </c>
      <c r="W364">
        <v>40530503128.377403</v>
      </c>
      <c r="X364">
        <v>0.27447705809683398</v>
      </c>
      <c r="Y364">
        <v>358978352106.84399</v>
      </c>
      <c r="Z364">
        <v>166906958183.26801</v>
      </c>
      <c r="AA364">
        <v>0.79030699358166001</v>
      </c>
      <c r="AB364">
        <v>186844414479.63501</v>
      </c>
      <c r="AC364">
        <v>107133944346.548</v>
      </c>
      <c r="AD364">
        <v>147664447474.92599</v>
      </c>
      <c r="AE364">
        <v>-289479545084.23297</v>
      </c>
      <c r="AF364">
        <v>-15245739411.0494</v>
      </c>
      <c r="AG364">
        <v>5.5594999999999999E-2</v>
      </c>
      <c r="AH364">
        <v>-876143276443.44495</v>
      </c>
      <c r="AI364">
        <v>396860859076.37402</v>
      </c>
      <c r="AJ364">
        <v>0.06</v>
      </c>
      <c r="AK364">
        <v>0.05</v>
      </c>
      <c r="AL364">
        <v>8.8099999999999998E-2</v>
      </c>
      <c r="AM364">
        <v>3.8100000000000002E-2</v>
      </c>
      <c r="AN364">
        <v>0.89</v>
      </c>
      <c r="AO364">
        <v>0.66</v>
      </c>
      <c r="AP364">
        <v>0.42970000000000003</v>
      </c>
      <c r="AQ364">
        <v>0.57030000000000003</v>
      </c>
      <c r="AR364">
        <v>8.9999999999999993E-3</v>
      </c>
      <c r="AS364">
        <v>0.5</v>
      </c>
      <c r="AT364">
        <v>1.82</v>
      </c>
      <c r="AU364">
        <v>6.3545217126973294E-2</v>
      </c>
      <c r="AV364">
        <v>0.7893</v>
      </c>
      <c r="AW364">
        <v>3</v>
      </c>
      <c r="AX364">
        <v>0.05</v>
      </c>
      <c r="AY364">
        <v>1</v>
      </c>
      <c r="AZ364">
        <v>1</v>
      </c>
      <c r="BA364" s="2">
        <f>modelo_tese_H__2[[#This Row],[Vw]]+modelo_tese_H__2[[#This Row],[Vr]]+modelo_tese_H__2[[#This Row],[K]]-modelo_tese_H__2[[#This Row],[E]]</f>
        <v>-287211023443.49493</v>
      </c>
      <c r="BB364" s="2">
        <f>modelo_tese_H__2[[#This Row],[K]]-modelo_tese_H__2[[#This Row],[Coluna1]]</f>
        <v>646189375550.33887</v>
      </c>
      <c r="BC364">
        <f>modelo_tese_H__2[[#This Row],[Coluna2]]/modelo_tese_H__2[[#This Row],[Coluna1]]</f>
        <v>-2.2498766509826122</v>
      </c>
      <c r="BD364" s="8">
        <f>modelo_tese_H__2[[#This Row],[D]]-modelo_tese_H__2[[#This Row],[Dw]]-modelo_tese_H__2[[#This Row],[Dr]]</f>
        <v>0</v>
      </c>
    </row>
    <row r="365" spans="1:56" x14ac:dyDescent="0.25">
      <c r="A365">
        <v>364</v>
      </c>
      <c r="B365">
        <v>364</v>
      </c>
      <c r="C365">
        <v>88897679289.209106</v>
      </c>
      <c r="D365">
        <v>41378229930.496498</v>
      </c>
      <c r="E365">
        <v>36826624638.141899</v>
      </c>
      <c r="F365">
        <v>4585421683.1719904</v>
      </c>
      <c r="G365">
        <v>128535058301.582</v>
      </c>
      <c r="H365">
        <v>28836195550.850899</v>
      </c>
      <c r="I365">
        <v>70248241872.164795</v>
      </c>
      <c r="J365">
        <v>51663874374.479202</v>
      </c>
      <c r="K365">
        <v>324876928784.89203</v>
      </c>
      <c r="L365">
        <v>-28870011941.668301</v>
      </c>
      <c r="M365">
        <v>376540803159.37097</v>
      </c>
      <c r="N365">
        <v>-548303457919.00702</v>
      </c>
      <c r="O365">
        <v>64916696111.910004</v>
      </c>
      <c r="P365">
        <v>42845019433.860603</v>
      </c>
      <c r="Q365">
        <v>66981120095.692001</v>
      </c>
      <c r="R365">
        <v>33490560047.846001</v>
      </c>
      <c r="S365">
        <v>33490560047.846001</v>
      </c>
      <c r="T365">
        <v>31426136064.063999</v>
      </c>
      <c r="U365">
        <v>12776698647.0196</v>
      </c>
      <c r="V365">
        <v>242730599540.125</v>
      </c>
      <c r="W365">
        <v>42785538078.875702</v>
      </c>
      <c r="X365">
        <v>0.27447952029233202</v>
      </c>
      <c r="Y365">
        <v>378952532857.20697</v>
      </c>
      <c r="Z365">
        <v>176201936214.298</v>
      </c>
      <c r="AA365">
        <v>0.79029672183709199</v>
      </c>
      <c r="AB365">
        <v>197240852805.95801</v>
      </c>
      <c r="AC365">
        <v>113093261306.02499</v>
      </c>
      <c r="AD365">
        <v>155878799384.901</v>
      </c>
      <c r="AE365">
        <v>-305572858378.88202</v>
      </c>
      <c r="AF365">
        <v>-16093313294.6486</v>
      </c>
      <c r="AG365">
        <v>5.5594999999999999E-2</v>
      </c>
      <c r="AH365">
        <v>-924844261078.37695</v>
      </c>
      <c r="AI365">
        <v>418932535754.42297</v>
      </c>
      <c r="AJ365">
        <v>0.06</v>
      </c>
      <c r="AK365">
        <v>0.05</v>
      </c>
      <c r="AL365">
        <v>8.8099999999999998E-2</v>
      </c>
      <c r="AM365">
        <v>3.8100000000000002E-2</v>
      </c>
      <c r="AN365">
        <v>0.89</v>
      </c>
      <c r="AO365">
        <v>0.66</v>
      </c>
      <c r="AP365">
        <v>0.42970000000000003</v>
      </c>
      <c r="AQ365">
        <v>0.57030000000000003</v>
      </c>
      <c r="AR365">
        <v>8.9999999999999993E-3</v>
      </c>
      <c r="AS365">
        <v>0.5</v>
      </c>
      <c r="AT365">
        <v>1.82</v>
      </c>
      <c r="AU365">
        <v>6.3545217126973294E-2</v>
      </c>
      <c r="AV365">
        <v>0.7893</v>
      </c>
      <c r="AW365">
        <v>3</v>
      </c>
      <c r="AX365">
        <v>0.05</v>
      </c>
      <c r="AY365">
        <v>1</v>
      </c>
      <c r="AZ365">
        <v>1</v>
      </c>
      <c r="BA365" s="2">
        <f>modelo_tese_H__2[[#This Row],[Vw]]+modelo_tese_H__2[[#This Row],[Vr]]+modelo_tese_H__2[[#This Row],[K]]-modelo_tese_H__2[[#This Row],[E]]</f>
        <v>-303161128681.04504</v>
      </c>
      <c r="BB365" s="2">
        <f>modelo_tese_H__2[[#This Row],[K]]-modelo_tese_H__2[[#This Row],[Coluna1]]</f>
        <v>682113661538.25195</v>
      </c>
      <c r="BC365">
        <f>modelo_tese_H__2[[#This Row],[Coluna2]]/modelo_tese_H__2[[#This Row],[Coluna1]]</f>
        <v>-2.2500037010216496</v>
      </c>
      <c r="BD365" s="8">
        <f>modelo_tese_H__2[[#This Row],[D]]-modelo_tese_H__2[[#This Row],[Dw]]-modelo_tese_H__2[[#This Row],[Dr]]</f>
        <v>0</v>
      </c>
    </row>
    <row r="366" spans="1:56" x14ac:dyDescent="0.25">
      <c r="A366">
        <v>365</v>
      </c>
      <c r="B366">
        <v>365</v>
      </c>
      <c r="C366">
        <v>93842893699.313202</v>
      </c>
      <c r="D366">
        <v>43681641476.536598</v>
      </c>
      <c r="E366">
        <v>38876660914.117599</v>
      </c>
      <c r="F366">
        <v>4840322438.2515602</v>
      </c>
      <c r="G366">
        <v>135683109679.149</v>
      </c>
      <c r="H366">
        <v>30439343842.5005</v>
      </c>
      <c r="I366">
        <v>74156327194.869598</v>
      </c>
      <c r="J366">
        <v>54535803199.063103</v>
      </c>
      <c r="K366">
        <v>342938461640.68799</v>
      </c>
      <c r="L366">
        <v>-30474685718.333</v>
      </c>
      <c r="M366">
        <v>397474264839.75098</v>
      </c>
      <c r="N366">
        <v>-578778143637.33997</v>
      </c>
      <c r="O366">
        <v>68526823070.2771</v>
      </c>
      <c r="P366">
        <v>45227703226.382896</v>
      </c>
      <c r="Q366">
        <v>70707156623.873199</v>
      </c>
      <c r="R366">
        <v>35353578311.9366</v>
      </c>
      <c r="S366">
        <v>35353578311.9366</v>
      </c>
      <c r="T366">
        <v>33173244758.340599</v>
      </c>
      <c r="U366">
        <v>13486678253.896999</v>
      </c>
      <c r="V366">
        <v>256217277794.022</v>
      </c>
      <c r="W366">
        <v>45166019901.9338</v>
      </c>
      <c r="X366">
        <v>0.27448195739388997</v>
      </c>
      <c r="Y366">
        <v>400037931777.91302</v>
      </c>
      <c r="Z366">
        <v>186014377804.29501</v>
      </c>
      <c r="AA366">
        <v>0.79028655470432296</v>
      </c>
      <c r="AB366">
        <v>208215677394.07001</v>
      </c>
      <c r="AC366">
        <v>119384030421.25301</v>
      </c>
      <c r="AD366">
        <v>164550050323.186</v>
      </c>
      <c r="AE366">
        <v>-322560865843.31799</v>
      </c>
      <c r="AF366">
        <v>-16988007464.436001</v>
      </c>
      <c r="AG366">
        <v>5.5594999999999999E-2</v>
      </c>
      <c r="AH366">
        <v>-976252408477.08997</v>
      </c>
      <c r="AI366">
        <v>442231655598.31799</v>
      </c>
      <c r="AJ366">
        <v>0.06</v>
      </c>
      <c r="AK366">
        <v>0.05</v>
      </c>
      <c r="AL366">
        <v>8.8099999999999998E-2</v>
      </c>
      <c r="AM366">
        <v>3.8100000000000002E-2</v>
      </c>
      <c r="AN366">
        <v>0.89</v>
      </c>
      <c r="AO366">
        <v>0.66</v>
      </c>
      <c r="AP366">
        <v>0.42970000000000003</v>
      </c>
      <c r="AQ366">
        <v>0.57030000000000003</v>
      </c>
      <c r="AR366">
        <v>8.9999999999999993E-3</v>
      </c>
      <c r="AS366">
        <v>0.5</v>
      </c>
      <c r="AT366">
        <v>1.82</v>
      </c>
      <c r="AU366">
        <v>6.3545217126973294E-2</v>
      </c>
      <c r="AV366">
        <v>0.7893</v>
      </c>
      <c r="AW366">
        <v>3</v>
      </c>
      <c r="AX366">
        <v>0.05</v>
      </c>
      <c r="AY366">
        <v>1</v>
      </c>
      <c r="AZ366">
        <v>1</v>
      </c>
      <c r="BA366" s="2">
        <f>modelo_tese_H__2[[#This Row],[Vw]]+modelo_tese_H__2[[#This Row],[Vr]]+modelo_tese_H__2[[#This Row],[K]]-modelo_tese_H__2[[#This Row],[E]]</f>
        <v>-319997198905.15393</v>
      </c>
      <c r="BB366" s="2">
        <f>modelo_tese_H__2[[#This Row],[K]]-modelo_tese_H__2[[#This Row],[Coluna1]]</f>
        <v>720035130683.06689</v>
      </c>
      <c r="BC366">
        <f>modelo_tese_H__2[[#This Row],[Coluna2]]/modelo_tese_H__2[[#This Row],[Coluna1]]</f>
        <v>-2.2501294797161111</v>
      </c>
      <c r="BD366" s="8">
        <f>modelo_tese_H__2[[#This Row],[D]]-modelo_tese_H__2[[#This Row],[Dw]]-modelo_tese_H__2[[#This Row],[Dr]]</f>
        <v>0</v>
      </c>
    </row>
    <row r="367" spans="1:56" x14ac:dyDescent="0.25">
      <c r="A367">
        <v>366</v>
      </c>
      <c r="B367">
        <v>366</v>
      </c>
      <c r="C367">
        <v>99063169673.160004</v>
      </c>
      <c r="D367">
        <v>46113245394.266701</v>
      </c>
      <c r="E367">
        <v>41040788400.897301</v>
      </c>
      <c r="F367">
        <v>5109393243.9022398</v>
      </c>
      <c r="G367">
        <v>143228653278.94199</v>
      </c>
      <c r="H367">
        <v>32131619163.424301</v>
      </c>
      <c r="I367">
        <v>78281800808.223801</v>
      </c>
      <c r="J367">
        <v>57567382341.081001</v>
      </c>
      <c r="K367">
        <v>362004125415.60199</v>
      </c>
      <c r="L367">
        <v>-32168555413.957199</v>
      </c>
      <c r="M367">
        <v>419571507756.68298</v>
      </c>
      <c r="N367">
        <v>-610946699051.297</v>
      </c>
      <c r="O367">
        <v>72337703676.233398</v>
      </c>
      <c r="P367">
        <v>47742884426.314102</v>
      </c>
      <c r="Q367">
        <v>74640441887.702698</v>
      </c>
      <c r="R367">
        <v>37320220943.851402</v>
      </c>
      <c r="S367">
        <v>37320220943.851402</v>
      </c>
      <c r="T367">
        <v>35017482732.382004</v>
      </c>
      <c r="U367">
        <v>14236113867.445801</v>
      </c>
      <c r="V367">
        <v>270453391661.46799</v>
      </c>
      <c r="W367">
        <v>47678926326.324898</v>
      </c>
      <c r="X367">
        <v>0.27448436965663803</v>
      </c>
      <c r="Y367">
        <v>422296360870.38501</v>
      </c>
      <c r="Z367">
        <v>196373083186.76901</v>
      </c>
      <c r="AA367">
        <v>0.79027649112104703</v>
      </c>
      <c r="AB367">
        <v>219801061416.436</v>
      </c>
      <c r="AC367">
        <v>126024685234.53799</v>
      </c>
      <c r="AD367">
        <v>173703611560.86301</v>
      </c>
      <c r="AE367">
        <v>-340493307389.82898</v>
      </c>
      <c r="AF367">
        <v>-17932441546.511299</v>
      </c>
      <c r="AG367">
        <v>5.5594999999999999E-2</v>
      </c>
      <c r="AH367">
        <v>-1030518206807.98</v>
      </c>
      <c r="AI367">
        <v>466826474848.237</v>
      </c>
      <c r="AJ367">
        <v>0.06</v>
      </c>
      <c r="AK367">
        <v>0.05</v>
      </c>
      <c r="AL367">
        <v>8.8099999999999998E-2</v>
      </c>
      <c r="AM367">
        <v>3.8100000000000002E-2</v>
      </c>
      <c r="AN367">
        <v>0.89</v>
      </c>
      <c r="AO367">
        <v>0.66</v>
      </c>
      <c r="AP367">
        <v>0.42970000000000003</v>
      </c>
      <c r="AQ367">
        <v>0.57030000000000003</v>
      </c>
      <c r="AR367">
        <v>8.9999999999999993E-3</v>
      </c>
      <c r="AS367">
        <v>0.5</v>
      </c>
      <c r="AT367">
        <v>1.82</v>
      </c>
      <c r="AU367">
        <v>6.3545217126973294E-2</v>
      </c>
      <c r="AV367">
        <v>0.7893</v>
      </c>
      <c r="AW367">
        <v>3</v>
      </c>
      <c r="AX367">
        <v>0.05</v>
      </c>
      <c r="AY367">
        <v>1</v>
      </c>
      <c r="AZ367">
        <v>1</v>
      </c>
      <c r="BA367" s="2">
        <f>modelo_tese_H__2[[#This Row],[Vw]]+modelo_tese_H__2[[#This Row],[Vr]]+modelo_tese_H__2[[#This Row],[K]]-modelo_tese_H__2[[#This Row],[E]]</f>
        <v>-337768454276.12695</v>
      </c>
      <c r="BB367" s="2">
        <f>modelo_tese_H__2[[#This Row],[K]]-modelo_tese_H__2[[#This Row],[Coluna1]]</f>
        <v>760064815146.51196</v>
      </c>
      <c r="BC367">
        <f>modelo_tese_H__2[[#This Row],[Coluna2]]/modelo_tese_H__2[[#This Row],[Coluna1]]</f>
        <v>-2.2502539995199085</v>
      </c>
      <c r="BD367" s="8">
        <f>modelo_tese_H__2[[#This Row],[D]]-modelo_tese_H__2[[#This Row],[Dw]]-modelo_tese_H__2[[#This Row],[Dr]]</f>
        <v>0</v>
      </c>
    </row>
    <row r="368" spans="1:56" x14ac:dyDescent="0.25">
      <c r="A368">
        <v>367</v>
      </c>
      <c r="B368">
        <v>367</v>
      </c>
      <c r="C368">
        <v>104573805199.179</v>
      </c>
      <c r="D368">
        <v>48680174561.904404</v>
      </c>
      <c r="E368">
        <v>43325355360.094902</v>
      </c>
      <c r="F368">
        <v>5393421832.1602402</v>
      </c>
      <c r="G368">
        <v>151193792003.29999</v>
      </c>
      <c r="H368">
        <v>33917976530.8148</v>
      </c>
      <c r="I368">
        <v>82636753723.070007</v>
      </c>
      <c r="J368">
        <v>60767486906.046097</v>
      </c>
      <c r="K368">
        <v>382129744768.08197</v>
      </c>
      <c r="L368">
        <v>-33956579161.1656</v>
      </c>
      <c r="M368">
        <v>442897231674.12799</v>
      </c>
      <c r="N368">
        <v>-644903278212.46204</v>
      </c>
      <c r="O368">
        <v>76360501011.767593</v>
      </c>
      <c r="P368">
        <v>50397930667.766602</v>
      </c>
      <c r="Q368">
        <v>78792502356.807602</v>
      </c>
      <c r="R368">
        <v>39396251178.403801</v>
      </c>
      <c r="S368">
        <v>39396251178.403801</v>
      </c>
      <c r="T368">
        <v>36964249833.363701</v>
      </c>
      <c r="U368">
        <v>15027198357.2544</v>
      </c>
      <c r="V368">
        <v>285480590018.72198</v>
      </c>
      <c r="W368">
        <v>50331623165.150398</v>
      </c>
      <c r="X368">
        <v>0.274486757333127</v>
      </c>
      <c r="Y368">
        <v>445793070092.09698</v>
      </c>
      <c r="Z368">
        <v>207308455173.51599</v>
      </c>
      <c r="AA368">
        <v>0.79026653003606195</v>
      </c>
      <c r="AB368">
        <v>232030967511.20099</v>
      </c>
      <c r="AC368">
        <v>133034684390.83701</v>
      </c>
      <c r="AD368">
        <v>183366307555.987</v>
      </c>
      <c r="AE368">
        <v>-359422688193.73999</v>
      </c>
      <c r="AF368">
        <v>-18929380803.911201</v>
      </c>
      <c r="AG368">
        <v>5.5594999999999999E-2</v>
      </c>
      <c r="AH368">
        <v>-1087800509886.59</v>
      </c>
      <c r="AI368">
        <v>492789045192.23798</v>
      </c>
      <c r="AJ368">
        <v>0.06</v>
      </c>
      <c r="AK368">
        <v>0.05</v>
      </c>
      <c r="AL368">
        <v>8.8099999999999998E-2</v>
      </c>
      <c r="AM368">
        <v>3.8100000000000002E-2</v>
      </c>
      <c r="AN368">
        <v>0.89</v>
      </c>
      <c r="AO368">
        <v>0.66</v>
      </c>
      <c r="AP368">
        <v>0.42970000000000003</v>
      </c>
      <c r="AQ368">
        <v>0.57030000000000003</v>
      </c>
      <c r="AR368">
        <v>8.9999999999999993E-3</v>
      </c>
      <c r="AS368">
        <v>0.5</v>
      </c>
      <c r="AT368">
        <v>1.82</v>
      </c>
      <c r="AU368">
        <v>6.3545217126973294E-2</v>
      </c>
      <c r="AV368">
        <v>0.7893</v>
      </c>
      <c r="AW368">
        <v>3</v>
      </c>
      <c r="AX368">
        <v>0.05</v>
      </c>
      <c r="AY368">
        <v>1</v>
      </c>
      <c r="AZ368">
        <v>1</v>
      </c>
      <c r="BA368" s="2">
        <f>modelo_tese_H__2[[#This Row],[Vw]]+modelo_tese_H__2[[#This Row],[Vr]]+modelo_tese_H__2[[#This Row],[K]]-modelo_tese_H__2[[#This Row],[E]]</f>
        <v>-356526849775.77106</v>
      </c>
      <c r="BB368" s="2">
        <f>modelo_tese_H__2[[#This Row],[K]]-modelo_tese_H__2[[#This Row],[Coluna1]]</f>
        <v>802319919867.86804</v>
      </c>
      <c r="BC368">
        <f>modelo_tese_H__2[[#This Row],[Coluna2]]/modelo_tese_H__2[[#This Row],[Coluna1]]</f>
        <v>-2.2503772727705296</v>
      </c>
      <c r="BD368" s="8">
        <f>modelo_tese_H__2[[#This Row],[D]]-modelo_tese_H__2[[#This Row],[Dw]]-modelo_tese_H__2[[#This Row],[Dr]]</f>
        <v>0</v>
      </c>
    </row>
    <row r="369" spans="1:56" x14ac:dyDescent="0.25">
      <c r="A369">
        <v>368</v>
      </c>
      <c r="B369">
        <v>368</v>
      </c>
      <c r="C369">
        <v>110390949023.961</v>
      </c>
      <c r="D369">
        <v>51389958680.228104</v>
      </c>
      <c r="E369">
        <v>45737063225.403099</v>
      </c>
      <c r="F369">
        <v>5693239726.6948996</v>
      </c>
      <c r="G369">
        <v>159601857759.30099</v>
      </c>
      <c r="H369">
        <v>35803646436.045502</v>
      </c>
      <c r="I369">
        <v>87233949388.143402</v>
      </c>
      <c r="J369">
        <v>64145485381.620598</v>
      </c>
      <c r="K369">
        <v>403374247928.46399</v>
      </c>
      <c r="L369">
        <v>-35843990707.915298</v>
      </c>
      <c r="M369">
        <v>467519733310.08398</v>
      </c>
      <c r="N369">
        <v>-680747268920.37805</v>
      </c>
      <c r="O369">
        <v>80606998868.333893</v>
      </c>
      <c r="P369">
        <v>53200619253.100403</v>
      </c>
      <c r="Q369">
        <v>83175505515.686401</v>
      </c>
      <c r="R369">
        <v>41587752757.843201</v>
      </c>
      <c r="S369">
        <v>41587752757.843201</v>
      </c>
      <c r="T369">
        <v>39019246110.4907</v>
      </c>
      <c r="U369">
        <v>15862246474.673401</v>
      </c>
      <c r="V369">
        <v>301342836493.396</v>
      </c>
      <c r="W369">
        <v>53131885898.403397</v>
      </c>
      <c r="X369">
        <v>0.27448912067335202</v>
      </c>
      <c r="Y369">
        <v>470596938557.79797</v>
      </c>
      <c r="Z369">
        <v>218852588314.07599</v>
      </c>
      <c r="AA369">
        <v>0.79025667040848802</v>
      </c>
      <c r="AB369">
        <v>244941247303.35001</v>
      </c>
      <c r="AC369">
        <v>140434568641.24399</v>
      </c>
      <c r="AD369">
        <v>193566454539.647</v>
      </c>
      <c r="AE369">
        <v>-379404432426.98199</v>
      </c>
      <c r="AF369">
        <v>-19981744233.241901</v>
      </c>
      <c r="AG369">
        <v>5.5594999999999999E-2</v>
      </c>
      <c r="AH369">
        <v>-1148267002230.46</v>
      </c>
      <c r="AI369">
        <v>520195424807.47101</v>
      </c>
      <c r="AJ369">
        <v>0.06</v>
      </c>
      <c r="AK369">
        <v>0.05</v>
      </c>
      <c r="AL369">
        <v>8.8099999999999998E-2</v>
      </c>
      <c r="AM369">
        <v>3.8100000000000002E-2</v>
      </c>
      <c r="AN369">
        <v>0.89</v>
      </c>
      <c r="AO369">
        <v>0.66</v>
      </c>
      <c r="AP369">
        <v>0.42970000000000003</v>
      </c>
      <c r="AQ369">
        <v>0.57030000000000003</v>
      </c>
      <c r="AR369">
        <v>8.9999999999999993E-3</v>
      </c>
      <c r="AS369">
        <v>0.5</v>
      </c>
      <c r="AT369">
        <v>1.82</v>
      </c>
      <c r="AU369">
        <v>6.3545217126973294E-2</v>
      </c>
      <c r="AV369">
        <v>0.7893</v>
      </c>
      <c r="AW369">
        <v>3</v>
      </c>
      <c r="AX369">
        <v>0.05</v>
      </c>
      <c r="AY369">
        <v>1</v>
      </c>
      <c r="AZ369">
        <v>1</v>
      </c>
      <c r="BA369" s="2">
        <f>modelo_tese_H__2[[#This Row],[Vw]]+modelo_tese_H__2[[#This Row],[Vr]]+modelo_tese_H__2[[#This Row],[K]]-modelo_tese_H__2[[#This Row],[E]]</f>
        <v>-376327227179.26703</v>
      </c>
      <c r="BB369" s="2">
        <f>modelo_tese_H__2[[#This Row],[K]]-modelo_tese_H__2[[#This Row],[Coluna1]]</f>
        <v>846924165737.06494</v>
      </c>
      <c r="BC369">
        <f>modelo_tese_H__2[[#This Row],[Coluna2]]/modelo_tese_H__2[[#This Row],[Coluna1]]</f>
        <v>-2.2504993116897829</v>
      </c>
      <c r="BD369" s="8">
        <f>modelo_tese_H__2[[#This Row],[D]]-modelo_tese_H__2[[#This Row],[Dw]]-modelo_tese_H__2[[#This Row],[Dr]]</f>
        <v>0</v>
      </c>
    </row>
    <row r="370" spans="1:56" x14ac:dyDescent="0.25">
      <c r="A370">
        <v>369</v>
      </c>
      <c r="B370">
        <v>369</v>
      </c>
      <c r="C370">
        <v>116531647962.138</v>
      </c>
      <c r="D370">
        <v>54250546346.0774</v>
      </c>
      <c r="E370">
        <v>48282986248.008797</v>
      </c>
      <c r="F370">
        <v>6009724677.29984</v>
      </c>
      <c r="G370">
        <v>168477479794.00601</v>
      </c>
      <c r="H370">
        <v>37794150159.657402</v>
      </c>
      <c r="I370">
        <v>92086861084.966095</v>
      </c>
      <c r="J370">
        <v>67711267065.880699</v>
      </c>
      <c r="K370">
        <v>425799839242.047</v>
      </c>
      <c r="L370">
        <v>-37836314738.888802</v>
      </c>
      <c r="M370">
        <v>493511106307.927</v>
      </c>
      <c r="N370">
        <v>-718583583659.26599</v>
      </c>
      <c r="O370">
        <v>85089636259.598801</v>
      </c>
      <c r="P370">
        <v>56159159931.335197</v>
      </c>
      <c r="Q370">
        <v>87802295509.960693</v>
      </c>
      <c r="R370">
        <v>43901147754.9804</v>
      </c>
      <c r="S370">
        <v>43901147754.9804</v>
      </c>
      <c r="T370">
        <v>41188488504.618401</v>
      </c>
      <c r="U370">
        <v>16743701627.446699</v>
      </c>
      <c r="V370">
        <v>318086538120.84198</v>
      </c>
      <c r="W370">
        <v>56087922455.797203</v>
      </c>
      <c r="X370">
        <v>0.27449145992477503</v>
      </c>
      <c r="Y370">
        <v>496780676373.651</v>
      </c>
      <c r="Z370">
        <v>231039363014.89301</v>
      </c>
      <c r="AA370">
        <v>0.79024691120795498</v>
      </c>
      <c r="AB370">
        <v>258569746460.328</v>
      </c>
      <c r="AC370">
        <v>148246021016.30099</v>
      </c>
      <c r="AD370">
        <v>204333943472.09799</v>
      </c>
      <c r="AE370">
        <v>-400497045538.42401</v>
      </c>
      <c r="AF370">
        <v>-21092613111.442001</v>
      </c>
      <c r="AG370">
        <v>5.5594999999999999E-2</v>
      </c>
      <c r="AH370">
        <v>-1212094689967.1899</v>
      </c>
      <c r="AI370">
        <v>549125901135.73499</v>
      </c>
      <c r="AJ370">
        <v>0.06</v>
      </c>
      <c r="AK370">
        <v>0.05</v>
      </c>
      <c r="AL370">
        <v>8.8099999999999998E-2</v>
      </c>
      <c r="AM370">
        <v>3.8100000000000002E-2</v>
      </c>
      <c r="AN370">
        <v>0.89</v>
      </c>
      <c r="AO370">
        <v>0.66</v>
      </c>
      <c r="AP370">
        <v>0.42970000000000003</v>
      </c>
      <c r="AQ370">
        <v>0.57030000000000003</v>
      </c>
      <c r="AR370">
        <v>8.9999999999999993E-3</v>
      </c>
      <c r="AS370">
        <v>0.5</v>
      </c>
      <c r="AT370">
        <v>1.82</v>
      </c>
      <c r="AU370">
        <v>6.3545217126973294E-2</v>
      </c>
      <c r="AV370">
        <v>0.7893</v>
      </c>
      <c r="AW370">
        <v>3</v>
      </c>
      <c r="AX370">
        <v>0.05</v>
      </c>
      <c r="AY370">
        <v>1</v>
      </c>
      <c r="AZ370">
        <v>1</v>
      </c>
      <c r="BA370" s="2">
        <f>modelo_tese_H__2[[#This Row],[Vw]]+modelo_tese_H__2[[#This Row],[Vr]]+modelo_tese_H__2[[#This Row],[K]]-modelo_tese_H__2[[#This Row],[E]]</f>
        <v>-397227475472.69696</v>
      </c>
      <c r="BB370" s="2">
        <f>modelo_tese_H__2[[#This Row],[K]]-modelo_tese_H__2[[#This Row],[Coluna1]]</f>
        <v>894008151846.3479</v>
      </c>
      <c r="BC370">
        <f>modelo_tese_H__2[[#This Row],[Coluna2]]/modelo_tese_H__2[[#This Row],[Coluna1]]</f>
        <v>-2.2506201283848419</v>
      </c>
      <c r="BD370" s="8">
        <f>modelo_tese_H__2[[#This Row],[D]]-modelo_tese_H__2[[#This Row],[Dw]]-modelo_tese_H__2[[#This Row],[Dr]]</f>
        <v>0</v>
      </c>
    </row>
    <row r="371" spans="1:56" x14ac:dyDescent="0.25">
      <c r="A371">
        <v>370</v>
      </c>
      <c r="B371">
        <v>370</v>
      </c>
      <c r="C371">
        <v>123013896837.011</v>
      </c>
      <c r="D371">
        <v>57270328353.582497</v>
      </c>
      <c r="E371">
        <v>50970592234.688499</v>
      </c>
      <c r="F371">
        <v>6343803229.7248602</v>
      </c>
      <c r="G371">
        <v>177846656829.186</v>
      </c>
      <c r="H371">
        <v>39895315937.7836</v>
      </c>
      <c r="I371">
        <v>97209711402.196899</v>
      </c>
      <c r="J371">
        <v>71475271020.395493</v>
      </c>
      <c r="K371">
        <v>449472181304.70801</v>
      </c>
      <c r="L371">
        <v>-39939383048.614403</v>
      </c>
      <c r="M371">
        <v>520947452325.104</v>
      </c>
      <c r="N371">
        <v>-758522966707.88098</v>
      </c>
      <c r="O371">
        <v>89821543853.123993</v>
      </c>
      <c r="P371">
        <v>59282218943.061897</v>
      </c>
      <c r="Q371">
        <v>92686430774.791306</v>
      </c>
      <c r="R371">
        <v>46343215387.395599</v>
      </c>
      <c r="S371">
        <v>46343215387.395599</v>
      </c>
      <c r="T371">
        <v>43478328465.728401</v>
      </c>
      <c r="U371">
        <v>17674143030.9147</v>
      </c>
      <c r="V371">
        <v>335760681151.75702</v>
      </c>
      <c r="W371">
        <v>59208397266.543098</v>
      </c>
      <c r="X371">
        <v>0.27449377533235803</v>
      </c>
      <c r="Y371">
        <v>524421037695.54498</v>
      </c>
      <c r="Z371">
        <v>243904544894.04001</v>
      </c>
      <c r="AA371">
        <v>0.79023725141476098</v>
      </c>
      <c r="AB371">
        <v>272956415589.918</v>
      </c>
      <c r="AC371">
        <v>156491930345.259</v>
      </c>
      <c r="AD371">
        <v>215700327611.802</v>
      </c>
      <c r="AE371">
        <v>-422762285556.12402</v>
      </c>
      <c r="AF371">
        <v>-22265240017.699699</v>
      </c>
      <c r="AG371">
        <v>5.5594999999999999E-2</v>
      </c>
      <c r="AH371">
        <v>-1279470419032.98</v>
      </c>
      <c r="AI371">
        <v>579665226045.797</v>
      </c>
      <c r="AJ371">
        <v>0.06</v>
      </c>
      <c r="AK371">
        <v>0.05</v>
      </c>
      <c r="AL371">
        <v>8.8099999999999998E-2</v>
      </c>
      <c r="AM371">
        <v>3.8100000000000002E-2</v>
      </c>
      <c r="AN371">
        <v>0.89</v>
      </c>
      <c r="AO371">
        <v>0.66</v>
      </c>
      <c r="AP371">
        <v>0.42970000000000003</v>
      </c>
      <c r="AQ371">
        <v>0.57030000000000003</v>
      </c>
      <c r="AR371">
        <v>8.9999999999999993E-3</v>
      </c>
      <c r="AS371">
        <v>0.5</v>
      </c>
      <c r="AT371">
        <v>1.82</v>
      </c>
      <c r="AU371">
        <v>6.3545217126973294E-2</v>
      </c>
      <c r="AV371">
        <v>0.7893</v>
      </c>
      <c r="AW371">
        <v>3</v>
      </c>
      <c r="AX371">
        <v>0.05</v>
      </c>
      <c r="AY371">
        <v>1</v>
      </c>
      <c r="AZ371">
        <v>1</v>
      </c>
      <c r="BA371" s="2">
        <f>modelo_tese_H__2[[#This Row],[Vw]]+modelo_tese_H__2[[#This Row],[Vr]]+modelo_tese_H__2[[#This Row],[K]]-modelo_tese_H__2[[#This Row],[E]]</f>
        <v>-419288700185.67798</v>
      </c>
      <c r="BB371" s="2">
        <f>modelo_tese_H__2[[#This Row],[K]]-modelo_tese_H__2[[#This Row],[Coluna1]]</f>
        <v>943709737881.2229</v>
      </c>
      <c r="BC371">
        <f>modelo_tese_H__2[[#This Row],[Coluna2]]/modelo_tese_H__2[[#This Row],[Coluna1]]</f>
        <v>-2.2507397348493057</v>
      </c>
      <c r="BD371" s="8">
        <f>modelo_tese_H__2[[#This Row],[D]]-modelo_tese_H__2[[#This Row],[Dw]]-modelo_tese_H__2[[#This Row],[Dr]]</f>
        <v>0</v>
      </c>
    </row>
    <row r="372" spans="1:56" x14ac:dyDescent="0.25">
      <c r="A372">
        <v>371</v>
      </c>
      <c r="B372">
        <v>371</v>
      </c>
      <c r="C372">
        <v>129856691198.049</v>
      </c>
      <c r="D372">
        <v>60458162291.265602</v>
      </c>
      <c r="E372">
        <v>53807764439.226402</v>
      </c>
      <c r="F372">
        <v>6696453438.3737202</v>
      </c>
      <c r="G372">
        <v>187736833206.70099</v>
      </c>
      <c r="H372">
        <v>42113296027.344704</v>
      </c>
      <c r="I372">
        <v>102617513904.94501</v>
      </c>
      <c r="J372">
        <v>75448516632.892197</v>
      </c>
      <c r="K372">
        <v>474460587224.34302</v>
      </c>
      <c r="L372">
        <v>-42159351613.679199</v>
      </c>
      <c r="M372">
        <v>549909103857.23596</v>
      </c>
      <c r="N372">
        <v>-800682318321.56006</v>
      </c>
      <c r="O372">
        <v>94816582427.626602</v>
      </c>
      <c r="P372">
        <v>62578944402.233597</v>
      </c>
      <c r="Q372">
        <v>97842223755.570007</v>
      </c>
      <c r="R372">
        <v>48921111877.785004</v>
      </c>
      <c r="S372">
        <v>48921111877.785004</v>
      </c>
      <c r="T372">
        <v>45895470549.841599</v>
      </c>
      <c r="U372">
        <v>18656293256.737701</v>
      </c>
      <c r="V372">
        <v>354416974408.495</v>
      </c>
      <c r="W372">
        <v>62502456646.440399</v>
      </c>
      <c r="X372">
        <v>0.27449606713857899</v>
      </c>
      <c r="Y372">
        <v>553599045635.67004</v>
      </c>
      <c r="Z372">
        <v>257485889662.69501</v>
      </c>
      <c r="AA372">
        <v>0.79022769001912996</v>
      </c>
      <c r="AB372">
        <v>288143427305.245</v>
      </c>
      <c r="AC372">
        <v>165196458307.17801</v>
      </c>
      <c r="AD372">
        <v>227698914953.61899</v>
      </c>
      <c r="AE372">
        <v>-446265343913.065</v>
      </c>
      <c r="AF372">
        <v>-23503058356.941502</v>
      </c>
      <c r="AG372">
        <v>5.5594999999999999E-2</v>
      </c>
      <c r="AH372">
        <v>-1350591422178.8</v>
      </c>
      <c r="AI372">
        <v>611902864071.18994</v>
      </c>
      <c r="AJ372">
        <v>0.06</v>
      </c>
      <c r="AK372">
        <v>0.05</v>
      </c>
      <c r="AL372">
        <v>8.8099999999999998E-2</v>
      </c>
      <c r="AM372">
        <v>3.8100000000000002E-2</v>
      </c>
      <c r="AN372">
        <v>0.89</v>
      </c>
      <c r="AO372">
        <v>0.66</v>
      </c>
      <c r="AP372">
        <v>0.42970000000000003</v>
      </c>
      <c r="AQ372">
        <v>0.57030000000000003</v>
      </c>
      <c r="AR372">
        <v>8.9999999999999993E-3</v>
      </c>
      <c r="AS372">
        <v>0.5</v>
      </c>
      <c r="AT372">
        <v>1.82</v>
      </c>
      <c r="AU372">
        <v>6.3545217126973294E-2</v>
      </c>
      <c r="AV372">
        <v>0.7893</v>
      </c>
      <c r="AW372">
        <v>3</v>
      </c>
      <c r="AX372">
        <v>0.05</v>
      </c>
      <c r="AY372">
        <v>1</v>
      </c>
      <c r="AZ372">
        <v>1</v>
      </c>
      <c r="BA372" s="2">
        <f>modelo_tese_H__2[[#This Row],[Vw]]+modelo_tese_H__2[[#This Row],[Vr]]+modelo_tese_H__2[[#This Row],[K]]-modelo_tese_H__2[[#This Row],[E]]</f>
        <v>-442575402134.63507</v>
      </c>
      <c r="BB372" s="2">
        <f>modelo_tese_H__2[[#This Row],[K]]-modelo_tese_H__2[[#This Row],[Coluna1]]</f>
        <v>996174447770.30518</v>
      </c>
      <c r="BC372">
        <f>modelo_tese_H__2[[#This Row],[Coluna2]]/modelo_tese_H__2[[#This Row],[Coluna1]]</f>
        <v>-2.2508581429639887</v>
      </c>
      <c r="BD372" s="8">
        <f>modelo_tese_H__2[[#This Row],[D]]-modelo_tese_H__2[[#This Row],[Dw]]-modelo_tese_H__2[[#This Row],[Dr]]</f>
        <v>0</v>
      </c>
    </row>
    <row r="373" spans="1:56" x14ac:dyDescent="0.25">
      <c r="A373">
        <v>372</v>
      </c>
      <c r="B373">
        <v>372</v>
      </c>
      <c r="C373">
        <v>137080082969.99899</v>
      </c>
      <c r="D373">
        <v>63823398507.400597</v>
      </c>
      <c r="E373">
        <v>56802824671.586601</v>
      </c>
      <c r="F373">
        <v>7068707729.8078203</v>
      </c>
      <c r="G373">
        <v>198176979267.74301</v>
      </c>
      <c r="H373">
        <v>44454584719.984901</v>
      </c>
      <c r="I373">
        <v>108326117121.379</v>
      </c>
      <c r="J373">
        <v>79642635878.986801</v>
      </c>
      <c r="K373">
        <v>500838223571.08099</v>
      </c>
      <c r="L373">
        <v>-44502718613.9786</v>
      </c>
      <c r="M373">
        <v>580480859450.06799</v>
      </c>
      <c r="N373">
        <v>-845185036935.53894</v>
      </c>
      <c r="O373">
        <v>100089383468.55701</v>
      </c>
      <c r="P373">
        <v>66058993089.247597</v>
      </c>
      <c r="Q373">
        <v>103284782837.46899</v>
      </c>
      <c r="R373">
        <v>51642391418.734596</v>
      </c>
      <c r="S373">
        <v>51642391418.734596</v>
      </c>
      <c r="T373">
        <v>48446992049.822502</v>
      </c>
      <c r="U373">
        <v>19693026201.202499</v>
      </c>
      <c r="V373">
        <v>374110000609.69702</v>
      </c>
      <c r="W373">
        <v>65979755596.8414</v>
      </c>
      <c r="X373">
        <v>0.27449833558346398</v>
      </c>
      <c r="Y373">
        <v>584400229676.30701</v>
      </c>
      <c r="Z373">
        <v>271823253840.802</v>
      </c>
      <c r="AA373">
        <v>0.79021822602182101</v>
      </c>
      <c r="AB373">
        <v>304175299799.81897</v>
      </c>
      <c r="AC373">
        <v>174385110210.62701</v>
      </c>
      <c r="AD373">
        <v>240364865807.46799</v>
      </c>
      <c r="AE373">
        <v>-471075036325.841</v>
      </c>
      <c r="AF373">
        <v>-24809692412.7761</v>
      </c>
      <c r="AG373">
        <v>5.5594999999999999E-2</v>
      </c>
      <c r="AH373">
        <v>-1425665896385.6101</v>
      </c>
      <c r="AI373">
        <v>645933254450.5</v>
      </c>
      <c r="AJ373">
        <v>0.06</v>
      </c>
      <c r="AK373">
        <v>0.05</v>
      </c>
      <c r="AL373">
        <v>8.8099999999999998E-2</v>
      </c>
      <c r="AM373">
        <v>3.8100000000000002E-2</v>
      </c>
      <c r="AN373">
        <v>0.89</v>
      </c>
      <c r="AO373">
        <v>0.66</v>
      </c>
      <c r="AP373">
        <v>0.42970000000000003</v>
      </c>
      <c r="AQ373">
        <v>0.57030000000000003</v>
      </c>
      <c r="AR373">
        <v>8.9999999999999993E-3</v>
      </c>
      <c r="AS373">
        <v>0.5</v>
      </c>
      <c r="AT373">
        <v>1.82</v>
      </c>
      <c r="AU373">
        <v>6.3545217126973294E-2</v>
      </c>
      <c r="AV373">
        <v>0.7893</v>
      </c>
      <c r="AW373">
        <v>3</v>
      </c>
      <c r="AX373">
        <v>0.05</v>
      </c>
      <c r="AY373">
        <v>1</v>
      </c>
      <c r="AZ373">
        <v>1</v>
      </c>
      <c r="BA373" s="2">
        <f>modelo_tese_H__2[[#This Row],[Vw]]+modelo_tese_H__2[[#This Row],[Vr]]+modelo_tese_H__2[[#This Row],[K]]-modelo_tese_H__2[[#This Row],[E]]</f>
        <v>-467155666099.6051</v>
      </c>
      <c r="BB373" s="2">
        <f>modelo_tese_H__2[[#This Row],[K]]-modelo_tese_H__2[[#This Row],[Coluna1]]</f>
        <v>1051555895775.9121</v>
      </c>
      <c r="BC373">
        <f>modelo_tese_H__2[[#This Row],[Coluna2]]/modelo_tese_H__2[[#This Row],[Coluna1]]</f>
        <v>-2.2509753644981019</v>
      </c>
      <c r="BD373" s="8">
        <f>modelo_tese_H__2[[#This Row],[D]]-modelo_tese_H__2[[#This Row],[Dw]]-modelo_tese_H__2[[#This Row],[Dr]]</f>
        <v>9.1552734375E-4</v>
      </c>
    </row>
    <row r="374" spans="1:56" x14ac:dyDescent="0.25">
      <c r="A374">
        <v>373</v>
      </c>
      <c r="B374">
        <v>373</v>
      </c>
      <c r="C374">
        <v>144705239196.23199</v>
      </c>
      <c r="D374">
        <v>67375907519.352203</v>
      </c>
      <c r="E374">
        <v>59964557692.223396</v>
      </c>
      <c r="F374">
        <v>7461655925.4423904</v>
      </c>
      <c r="G374">
        <v>209197676201.07101</v>
      </c>
      <c r="H374">
        <v>46926037357.4925</v>
      </c>
      <c r="I374">
        <v>114352250975.158</v>
      </c>
      <c r="J374">
        <v>84069907377.439804</v>
      </c>
      <c r="K374">
        <v>528682324610.51501</v>
      </c>
      <c r="L374">
        <v>-46976343455.806099</v>
      </c>
      <c r="M374">
        <v>612752231987.95496</v>
      </c>
      <c r="N374">
        <v>-892161380391.34497</v>
      </c>
      <c r="O374">
        <v>105655392020.743</v>
      </c>
      <c r="P374">
        <v>69732558733.690399</v>
      </c>
      <c r="Q374">
        <v>109030056606.384</v>
      </c>
      <c r="R374">
        <v>54515028303.192101</v>
      </c>
      <c r="S374">
        <v>54515028303.192101</v>
      </c>
      <c r="T374">
        <v>51140363717.551003</v>
      </c>
      <c r="U374">
        <v>20787375496.4771</v>
      </c>
      <c r="V374">
        <v>394897376106.17401</v>
      </c>
      <c r="W374">
        <v>69650486093.767593</v>
      </c>
      <c r="X374">
        <v>0.27450058090460999</v>
      </c>
      <c r="Y374">
        <v>616914876286.24097</v>
      </c>
      <c r="Z374">
        <v>286958711631.37799</v>
      </c>
      <c r="AA374">
        <v>0.79020885843345201</v>
      </c>
      <c r="AB374">
        <v>321099027294.67401</v>
      </c>
      <c r="AC374">
        <v>184084809708.849</v>
      </c>
      <c r="AD374">
        <v>253735295802.616</v>
      </c>
      <c r="AE374">
        <v>-497264004285.17102</v>
      </c>
      <c r="AF374">
        <v>-26188967959.328999</v>
      </c>
      <c r="AG374">
        <v>5.5594999999999999E-2</v>
      </c>
      <c r="AH374">
        <v>-1504913612379.3</v>
      </c>
      <c r="AI374">
        <v>681856087737.552</v>
      </c>
      <c r="AJ374">
        <v>0.06</v>
      </c>
      <c r="AK374">
        <v>0.05</v>
      </c>
      <c r="AL374">
        <v>8.8099999999999998E-2</v>
      </c>
      <c r="AM374">
        <v>3.8100000000000002E-2</v>
      </c>
      <c r="AN374">
        <v>0.89</v>
      </c>
      <c r="AO374">
        <v>0.66</v>
      </c>
      <c r="AP374">
        <v>0.42970000000000003</v>
      </c>
      <c r="AQ374">
        <v>0.57030000000000003</v>
      </c>
      <c r="AR374">
        <v>8.9999999999999993E-3</v>
      </c>
      <c r="AS374">
        <v>0.5</v>
      </c>
      <c r="AT374">
        <v>1.82</v>
      </c>
      <c r="AU374">
        <v>6.3545217126973294E-2</v>
      </c>
      <c r="AV374">
        <v>0.7893</v>
      </c>
      <c r="AW374">
        <v>3</v>
      </c>
      <c r="AX374">
        <v>0.05</v>
      </c>
      <c r="AY374">
        <v>1</v>
      </c>
      <c r="AZ374">
        <v>1</v>
      </c>
      <c r="BA374" s="2">
        <f>modelo_tese_H__2[[#This Row],[Vw]]+modelo_tese_H__2[[#This Row],[Vr]]+modelo_tese_H__2[[#This Row],[K]]-modelo_tese_H__2[[#This Row],[E]]</f>
        <v>-493101359986.88507</v>
      </c>
      <c r="BB374" s="2">
        <f>modelo_tese_H__2[[#This Row],[K]]-modelo_tese_H__2[[#This Row],[Coluna1]]</f>
        <v>1110016236273.126</v>
      </c>
      <c r="BC374">
        <f>modelo_tese_H__2[[#This Row],[Coluna2]]/modelo_tese_H__2[[#This Row],[Coluna1]]</f>
        <v>-2.2510914111099773</v>
      </c>
      <c r="BD374" s="8">
        <f>modelo_tese_H__2[[#This Row],[D]]-modelo_tese_H__2[[#This Row],[Dw]]-modelo_tese_H__2[[#This Row],[Dr]]</f>
        <v>0</v>
      </c>
    </row>
    <row r="375" spans="1:56" x14ac:dyDescent="0.25">
      <c r="A375">
        <v>374</v>
      </c>
      <c r="B375">
        <v>374</v>
      </c>
      <c r="C375">
        <v>152754504048.694</v>
      </c>
      <c r="D375">
        <v>71126108947.516403</v>
      </c>
      <c r="E375">
        <v>63302236963.289597</v>
      </c>
      <c r="F375">
        <v>7876448432.2829399</v>
      </c>
      <c r="G375">
        <v>220831205608.948</v>
      </c>
      <c r="H375">
        <v>49534890404.382202</v>
      </c>
      <c r="I375">
        <v>120713575799.955</v>
      </c>
      <c r="J375">
        <v>88743292338.642303</v>
      </c>
      <c r="K375">
        <v>558074418447.23706</v>
      </c>
      <c r="L375">
        <v>-49587466852.4384</v>
      </c>
      <c r="M375">
        <v>646817710785.87903</v>
      </c>
      <c r="N375">
        <v>-941748847243.78296</v>
      </c>
      <c r="O375">
        <v>111530911923.711</v>
      </c>
      <c r="P375">
        <v>73610401869.649506</v>
      </c>
      <c r="Q375">
        <v>115094880571.145</v>
      </c>
      <c r="R375">
        <v>57547440285.572502</v>
      </c>
      <c r="S375">
        <v>57547440285.572502</v>
      </c>
      <c r="T375">
        <v>53983471638.138802</v>
      </c>
      <c r="U375">
        <v>21942543389.3993</v>
      </c>
      <c r="V375">
        <v>416839919495.57397</v>
      </c>
      <c r="W375">
        <v>73525406950.235001</v>
      </c>
      <c r="X375">
        <v>0.274502803337205</v>
      </c>
      <c r="Y375">
        <v>651238293474.00696</v>
      </c>
      <c r="Z375">
        <v>302936678296.03998</v>
      </c>
      <c r="AA375">
        <v>0.79019958627471998</v>
      </c>
      <c r="AB375">
        <v>338964217739.69299</v>
      </c>
      <c r="AC375">
        <v>194323977669.604</v>
      </c>
      <c r="AD375">
        <v>267849384619.83899</v>
      </c>
      <c r="AE375">
        <v>-524908927748.21002</v>
      </c>
      <c r="AF375">
        <v>-27644923463.039101</v>
      </c>
      <c r="AG375">
        <v>5.5594999999999999E-2</v>
      </c>
      <c r="AH375">
        <v>-1588566558029.6599</v>
      </c>
      <c r="AI375">
        <v>719776597791.61401</v>
      </c>
      <c r="AJ375">
        <v>0.06</v>
      </c>
      <c r="AK375">
        <v>0.05</v>
      </c>
      <c r="AL375">
        <v>8.8099999999999998E-2</v>
      </c>
      <c r="AM375">
        <v>3.8100000000000002E-2</v>
      </c>
      <c r="AN375">
        <v>0.89</v>
      </c>
      <c r="AO375">
        <v>0.66</v>
      </c>
      <c r="AP375">
        <v>0.42970000000000003</v>
      </c>
      <c r="AQ375">
        <v>0.57030000000000003</v>
      </c>
      <c r="AR375">
        <v>8.9999999999999993E-3</v>
      </c>
      <c r="AS375">
        <v>0.5</v>
      </c>
      <c r="AT375">
        <v>1.82</v>
      </c>
      <c r="AU375">
        <v>6.3545217126973294E-2</v>
      </c>
      <c r="AV375">
        <v>0.7893</v>
      </c>
      <c r="AW375">
        <v>3</v>
      </c>
      <c r="AX375">
        <v>0.05</v>
      </c>
      <c r="AY375">
        <v>1</v>
      </c>
      <c r="AZ375">
        <v>1</v>
      </c>
      <c r="BA375" s="2">
        <f>modelo_tese_H__2[[#This Row],[Vw]]+modelo_tese_H__2[[#This Row],[Vr]]+modelo_tese_H__2[[#This Row],[K]]-modelo_tese_H__2[[#This Row],[E]]</f>
        <v>-520488345060.07892</v>
      </c>
      <c r="BB375" s="2">
        <f>modelo_tese_H__2[[#This Row],[K]]-modelo_tese_H__2[[#This Row],[Coluna1]]</f>
        <v>1171726638534.0859</v>
      </c>
      <c r="BC375">
        <f>modelo_tese_H__2[[#This Row],[Coluna2]]/modelo_tese_H__2[[#This Row],[Coluna1]]</f>
        <v>-2.2512062943481199</v>
      </c>
      <c r="BD375" s="8">
        <f>modelo_tese_H__2[[#This Row],[D]]-modelo_tese_H__2[[#This Row],[Dw]]-modelo_tese_H__2[[#This Row],[Dr]]</f>
        <v>-1.03759765625E-3</v>
      </c>
    </row>
    <row r="376" spans="1:56" x14ac:dyDescent="0.25">
      <c r="A376">
        <v>375</v>
      </c>
      <c r="B376">
        <v>375</v>
      </c>
      <c r="C376">
        <v>161251464285.905</v>
      </c>
      <c r="D376">
        <v>75085002058.452194</v>
      </c>
      <c r="E376">
        <v>66825651832.022499</v>
      </c>
      <c r="F376">
        <v>8314299611.04531</v>
      </c>
      <c r="G376">
        <v>233111644052.92899</v>
      </c>
      <c r="H376">
        <v>52288782636.413902</v>
      </c>
      <c r="I376">
        <v>127428734079.48199</v>
      </c>
      <c r="J376">
        <v>93676472511.585297</v>
      </c>
      <c r="K376">
        <v>589100565740.81104</v>
      </c>
      <c r="L376">
        <v>-52343732021.029404</v>
      </c>
      <c r="M376">
        <v>682777038252.396</v>
      </c>
      <c r="N376">
        <v>-994092579264.81299</v>
      </c>
      <c r="O376">
        <v>117733153562.08501</v>
      </c>
      <c r="P376">
        <v>77703881350.976196</v>
      </c>
      <c r="Q376">
        <v>121497026483.698</v>
      </c>
      <c r="R376">
        <v>60748513241.849197</v>
      </c>
      <c r="S376">
        <v>60748513241.849197</v>
      </c>
      <c r="T376">
        <v>56984640320.235901</v>
      </c>
      <c r="U376">
        <v>23161910113.813</v>
      </c>
      <c r="V376">
        <v>440001829609.38702</v>
      </c>
      <c r="W376">
        <v>77615875339.145203</v>
      </c>
      <c r="X376">
        <v>0.27450500311405701</v>
      </c>
      <c r="Y376">
        <v>687471090052.94702</v>
      </c>
      <c r="Z376">
        <v>319804040393.336</v>
      </c>
      <c r="AA376">
        <v>0.79019040857617695</v>
      </c>
      <c r="AB376">
        <v>357823238172.53101</v>
      </c>
      <c r="AC376">
        <v>205132615430.45801</v>
      </c>
      <c r="AD376">
        <v>282748490769.60303</v>
      </c>
      <c r="AE376">
        <v>-554090749655.42603</v>
      </c>
      <c r="AF376">
        <v>-29181821907.2164</v>
      </c>
      <c r="AG376">
        <v>5.5594999999999999E-2</v>
      </c>
      <c r="AH376">
        <v>-1676869617517.21</v>
      </c>
      <c r="AI376">
        <v>759805870002.72302</v>
      </c>
      <c r="AJ376">
        <v>0.06</v>
      </c>
      <c r="AK376">
        <v>0.05</v>
      </c>
      <c r="AL376">
        <v>8.8099999999999998E-2</v>
      </c>
      <c r="AM376">
        <v>3.8100000000000002E-2</v>
      </c>
      <c r="AN376">
        <v>0.89</v>
      </c>
      <c r="AO376">
        <v>0.66</v>
      </c>
      <c r="AP376">
        <v>0.42970000000000003</v>
      </c>
      <c r="AQ376">
        <v>0.57030000000000003</v>
      </c>
      <c r="AR376">
        <v>8.9999999999999993E-3</v>
      </c>
      <c r="AS376">
        <v>0.5</v>
      </c>
      <c r="AT376">
        <v>1.82</v>
      </c>
      <c r="AU376">
        <v>6.3545217126973294E-2</v>
      </c>
      <c r="AV376">
        <v>0.7893</v>
      </c>
      <c r="AW376">
        <v>3</v>
      </c>
      <c r="AX376">
        <v>0.05</v>
      </c>
      <c r="AY376">
        <v>1</v>
      </c>
      <c r="AZ376">
        <v>1</v>
      </c>
      <c r="BA376" s="2">
        <f>modelo_tese_H__2[[#This Row],[Vw]]+modelo_tese_H__2[[#This Row],[Vr]]+modelo_tese_H__2[[#This Row],[K]]-modelo_tese_H__2[[#This Row],[E]]</f>
        <v>-549396697854.87592</v>
      </c>
      <c r="BB376" s="2">
        <f>modelo_tese_H__2[[#This Row],[K]]-modelo_tese_H__2[[#This Row],[Coluna1]]</f>
        <v>1236867787907.823</v>
      </c>
      <c r="BC376">
        <f>modelo_tese_H__2[[#This Row],[Coluna2]]/modelo_tese_H__2[[#This Row],[Coluna1]]</f>
        <v>-2.2513200256521086</v>
      </c>
      <c r="BD376" s="8">
        <f>modelo_tese_H__2[[#This Row],[D]]-modelo_tese_H__2[[#This Row],[Dw]]-modelo_tese_H__2[[#This Row],[Dr]]</f>
        <v>0</v>
      </c>
    </row>
    <row r="377" spans="1:56" x14ac:dyDescent="0.25">
      <c r="A377">
        <v>376</v>
      </c>
      <c r="B377">
        <v>376</v>
      </c>
      <c r="C377">
        <v>170221018350.85199</v>
      </c>
      <c r="D377">
        <v>79264198006.833099</v>
      </c>
      <c r="E377">
        <v>70545136226.081497</v>
      </c>
      <c r="F377">
        <v>8776491331.5198498</v>
      </c>
      <c r="G377">
        <v>246074962856.478</v>
      </c>
      <c r="H377">
        <v>55195777507.085297</v>
      </c>
      <c r="I377">
        <v>134517405064.687</v>
      </c>
      <c r="J377">
        <v>98883890240.413803</v>
      </c>
      <c r="K377">
        <v>621851611693.17102</v>
      </c>
      <c r="L377">
        <v>-55253207057.8535</v>
      </c>
      <c r="M377">
        <v>720735501933.58496</v>
      </c>
      <c r="N377">
        <v>-1049345786322.67</v>
      </c>
      <c r="O377">
        <v>124280284270.94901</v>
      </c>
      <c r="P377">
        <v>82024987618.826202</v>
      </c>
      <c r="Q377">
        <v>128255254401.825</v>
      </c>
      <c r="R377">
        <v>64127627200.912598</v>
      </c>
      <c r="S377">
        <v>64127627200.912598</v>
      </c>
      <c r="T377">
        <v>60152657070.036102</v>
      </c>
      <c r="U377">
        <v>24449043783.871201</v>
      </c>
      <c r="V377">
        <v>464450873393.258</v>
      </c>
      <c r="W377">
        <v>81933880069.164001</v>
      </c>
      <c r="X377">
        <v>0.27450718046561801</v>
      </c>
      <c r="Y377">
        <v>725719470436.17896</v>
      </c>
      <c r="Z377">
        <v>337610293261.58801</v>
      </c>
      <c r="AA377">
        <v>0.79018132437835897</v>
      </c>
      <c r="AB377">
        <v>377731368160.96002</v>
      </c>
      <c r="AC377">
        <v>216542392683.513</v>
      </c>
      <c r="AD377">
        <v>298476272752.677</v>
      </c>
      <c r="AE377">
        <v>-584894912929.40796</v>
      </c>
      <c r="AF377">
        <v>-30804163273.9823</v>
      </c>
      <c r="AG377">
        <v>5.5594999999999999E-2</v>
      </c>
      <c r="AH377">
        <v>-1770081288256.25</v>
      </c>
      <c r="AI377">
        <v>802061166654.84497</v>
      </c>
      <c r="AJ377">
        <v>0.06</v>
      </c>
      <c r="AK377">
        <v>0.05</v>
      </c>
      <c r="AL377">
        <v>8.8099999999999998E-2</v>
      </c>
      <c r="AM377">
        <v>3.8100000000000002E-2</v>
      </c>
      <c r="AN377">
        <v>0.89</v>
      </c>
      <c r="AO377">
        <v>0.66</v>
      </c>
      <c r="AP377">
        <v>0.42970000000000003</v>
      </c>
      <c r="AQ377">
        <v>0.57030000000000003</v>
      </c>
      <c r="AR377">
        <v>8.9999999999999993E-3</v>
      </c>
      <c r="AS377">
        <v>0.5</v>
      </c>
      <c r="AT377">
        <v>1.82</v>
      </c>
      <c r="AU377">
        <v>6.3545217126973294E-2</v>
      </c>
      <c r="AV377">
        <v>0.7893</v>
      </c>
      <c r="AW377">
        <v>3</v>
      </c>
      <c r="AX377">
        <v>0.05</v>
      </c>
      <c r="AY377">
        <v>1</v>
      </c>
      <c r="AZ377">
        <v>1</v>
      </c>
      <c r="BA377" s="2">
        <f>modelo_tese_H__2[[#This Row],[Vw]]+modelo_tese_H__2[[#This Row],[Vr]]+modelo_tese_H__2[[#This Row],[K]]-modelo_tese_H__2[[#This Row],[E]]</f>
        <v>-579910944426.81409</v>
      </c>
      <c r="BB377" s="2">
        <f>modelo_tese_H__2[[#This Row],[K]]-modelo_tese_H__2[[#This Row],[Coluna1]]</f>
        <v>1305630414862.9932</v>
      </c>
      <c r="BC377">
        <f>modelo_tese_H__2[[#This Row],[Coluna2]]/modelo_tese_H__2[[#This Row],[Coluna1]]</f>
        <v>-2.251432616353676</v>
      </c>
      <c r="BD377" s="8">
        <f>modelo_tese_H__2[[#This Row],[D]]-modelo_tese_H__2[[#This Row],[Dw]]-modelo_tese_H__2[[#This Row],[Dr]]</f>
        <v>4.08935546875E-3</v>
      </c>
    </row>
    <row r="378" spans="1:56" x14ac:dyDescent="0.25">
      <c r="A378">
        <v>377</v>
      </c>
      <c r="B378">
        <v>377</v>
      </c>
      <c r="C378">
        <v>179689449310.952</v>
      </c>
      <c r="D378">
        <v>83675953870.463303</v>
      </c>
      <c r="E378">
        <v>74471598944.712402</v>
      </c>
      <c r="F378">
        <v>9264376725.5908508</v>
      </c>
      <c r="G378">
        <v>259759133456.52899</v>
      </c>
      <c r="H378">
        <v>58264386757.591698</v>
      </c>
      <c r="I378">
        <v>142000362427.89499</v>
      </c>
      <c r="J378">
        <v>104380790747.845</v>
      </c>
      <c r="K378">
        <v>656423452045.25305</v>
      </c>
      <c r="L378">
        <v>-58324408557.431602</v>
      </c>
      <c r="M378">
        <v>760804242793.09802</v>
      </c>
      <c r="N378">
        <v>-1107670194880.1001</v>
      </c>
      <c r="O378">
        <v>131191481543.702</v>
      </c>
      <c r="P378">
        <v>86586377818.843094</v>
      </c>
      <c r="Q378">
        <v>135389367646.70599</v>
      </c>
      <c r="R378">
        <v>67694683823.352798</v>
      </c>
      <c r="S378">
        <v>67694683823.352798</v>
      </c>
      <c r="T378">
        <v>63496797720.3489</v>
      </c>
      <c r="U378">
        <v>25807710837.2915</v>
      </c>
      <c r="V378">
        <v>490258584230.54901</v>
      </c>
      <c r="W378">
        <v>86492076710.919907</v>
      </c>
      <c r="X378">
        <v>0.27450933562000401</v>
      </c>
      <c r="Y378">
        <v>766095545824.95996</v>
      </c>
      <c r="Z378">
        <v>356407686149.15503</v>
      </c>
      <c r="AA378">
        <v>0.79017233273110399</v>
      </c>
      <c r="AB378">
        <v>398746961778.12</v>
      </c>
      <c r="AC378">
        <v>228586740246.73801</v>
      </c>
      <c r="AD378">
        <v>315078816957.65802</v>
      </c>
      <c r="AE378">
        <v>-617411610649.54797</v>
      </c>
      <c r="AF378">
        <v>-32516697720.140099</v>
      </c>
      <c r="AG378">
        <v>5.5594999999999999E-2</v>
      </c>
      <c r="AH378">
        <v>-1868474437673.2</v>
      </c>
      <c r="AI378">
        <v>846666270379.70398</v>
      </c>
      <c r="AJ378">
        <v>0.06</v>
      </c>
      <c r="AK378">
        <v>0.05</v>
      </c>
      <c r="AL378">
        <v>8.8099999999999998E-2</v>
      </c>
      <c r="AM378">
        <v>3.8100000000000002E-2</v>
      </c>
      <c r="AN378">
        <v>0.89</v>
      </c>
      <c r="AO378">
        <v>0.66</v>
      </c>
      <c r="AP378">
        <v>0.42970000000000003</v>
      </c>
      <c r="AQ378">
        <v>0.57030000000000003</v>
      </c>
      <c r="AR378">
        <v>8.9999999999999993E-3</v>
      </c>
      <c r="AS378">
        <v>0.5</v>
      </c>
      <c r="AT378">
        <v>1.82</v>
      </c>
      <c r="AU378">
        <v>6.3545217126973294E-2</v>
      </c>
      <c r="AV378">
        <v>0.7893</v>
      </c>
      <c r="AW378">
        <v>3</v>
      </c>
      <c r="AX378">
        <v>0.05</v>
      </c>
      <c r="AY378">
        <v>1</v>
      </c>
      <c r="AZ378">
        <v>1</v>
      </c>
      <c r="BA378" s="2">
        <f>modelo_tese_H__2[[#This Row],[Vw]]+modelo_tese_H__2[[#This Row],[Vr]]+modelo_tese_H__2[[#This Row],[K]]-modelo_tese_H__2[[#This Row],[E]]</f>
        <v>-612120307617.69104</v>
      </c>
      <c r="BB378" s="2">
        <f>modelo_tese_H__2[[#This Row],[K]]-modelo_tese_H__2[[#This Row],[Coluna1]]</f>
        <v>1378215853442.6509</v>
      </c>
      <c r="BC378">
        <f>modelo_tese_H__2[[#This Row],[Coluna2]]/modelo_tese_H__2[[#This Row],[Coluna1]]</f>
        <v>-2.2515440776773517</v>
      </c>
      <c r="BD378" s="8">
        <f>modelo_tese_H__2[[#This Row],[D]]-modelo_tese_H__2[[#This Row],[Dw]]-modelo_tese_H__2[[#This Row],[Dr]]</f>
        <v>3.11279296875E-3</v>
      </c>
    </row>
    <row r="379" spans="1:56" x14ac:dyDescent="0.25">
      <c r="A379">
        <v>378</v>
      </c>
      <c r="B379">
        <v>378</v>
      </c>
      <c r="C379">
        <v>189684501854.14499</v>
      </c>
      <c r="D379">
        <v>88333208578.517807</v>
      </c>
      <c r="E379">
        <v>78616555634.880798</v>
      </c>
      <c r="F379">
        <v>9779384148.8964291</v>
      </c>
      <c r="G379">
        <v>274204238612.80899</v>
      </c>
      <c r="H379">
        <v>61503595339.379997</v>
      </c>
      <c r="I379">
        <v>149899535123.15701</v>
      </c>
      <c r="J379">
        <v>110183266769.248</v>
      </c>
      <c r="K379">
        <v>692917313861.70898</v>
      </c>
      <c r="L379">
        <v>-61566326544.639503</v>
      </c>
      <c r="M379">
        <v>803100580630.95703</v>
      </c>
      <c r="N379">
        <v>-1169236521424.74</v>
      </c>
      <c r="O379">
        <v>138486989198.38901</v>
      </c>
      <c r="P379">
        <v>91401412870.936493</v>
      </c>
      <c r="Q379">
        <v>142920270816.633</v>
      </c>
      <c r="R379">
        <v>71460135408.316605</v>
      </c>
      <c r="S379">
        <v>71460135408.316605</v>
      </c>
      <c r="T379">
        <v>67026853790.071899</v>
      </c>
      <c r="U379">
        <v>27241887059.084702</v>
      </c>
      <c r="V379">
        <v>517500471289.63397</v>
      </c>
      <c r="W379">
        <v>91303824676.684097</v>
      </c>
      <c r="X379">
        <v>0.27451146880302102</v>
      </c>
      <c r="Y379">
        <v>808717662702.18994</v>
      </c>
      <c r="Z379">
        <v>376251375417.52197</v>
      </c>
      <c r="AA379">
        <v>0.79016343269423706</v>
      </c>
      <c r="AB379">
        <v>420931618585.14301</v>
      </c>
      <c r="AC379">
        <v>241300947994.09399</v>
      </c>
      <c r="AD379">
        <v>332604772670.77802</v>
      </c>
      <c r="AE379">
        <v>-651736050135.10303</v>
      </c>
      <c r="AF379">
        <v>-34324439485.554798</v>
      </c>
      <c r="AG379">
        <v>5.5594999999999999E-2</v>
      </c>
      <c r="AH379">
        <v>-1972337102055.6899</v>
      </c>
      <c r="AI379">
        <v>893751846707.15601</v>
      </c>
      <c r="AJ379">
        <v>0.06</v>
      </c>
      <c r="AK379">
        <v>0.05</v>
      </c>
      <c r="AL379">
        <v>8.8099999999999998E-2</v>
      </c>
      <c r="AM379">
        <v>3.8100000000000002E-2</v>
      </c>
      <c r="AN379">
        <v>0.89</v>
      </c>
      <c r="AO379">
        <v>0.66</v>
      </c>
      <c r="AP379">
        <v>0.42970000000000003</v>
      </c>
      <c r="AQ379">
        <v>0.57030000000000003</v>
      </c>
      <c r="AR379">
        <v>8.9999999999999993E-3</v>
      </c>
      <c r="AS379">
        <v>0.5</v>
      </c>
      <c r="AT379">
        <v>1.82</v>
      </c>
      <c r="AU379">
        <v>6.3545217126973294E-2</v>
      </c>
      <c r="AV379">
        <v>0.7893</v>
      </c>
      <c r="AW379">
        <v>3</v>
      </c>
      <c r="AX379">
        <v>0.05</v>
      </c>
      <c r="AY379">
        <v>1</v>
      </c>
      <c r="AZ379">
        <v>1</v>
      </c>
      <c r="BA379" s="2">
        <f>modelo_tese_H__2[[#This Row],[Vw]]+modelo_tese_H__2[[#This Row],[Vr]]+modelo_tese_H__2[[#This Row],[K]]-modelo_tese_H__2[[#This Row],[E]]</f>
        <v>-646118968063.86597</v>
      </c>
      <c r="BB379" s="2">
        <f>modelo_tese_H__2[[#This Row],[K]]-modelo_tese_H__2[[#This Row],[Coluna1]]</f>
        <v>1454836630766.0559</v>
      </c>
      <c r="BC379">
        <f>modelo_tese_H__2[[#This Row],[Coluna2]]/modelo_tese_H__2[[#This Row],[Coluna1]]</f>
        <v>-2.2516544207416795</v>
      </c>
      <c r="BD379" s="8">
        <f>modelo_tese_H__2[[#This Row],[D]]-modelo_tese_H__2[[#This Row],[Dw]]-modelo_tese_H__2[[#This Row],[Dr]]</f>
        <v>2.99072265625E-3</v>
      </c>
    </row>
    <row r="380" spans="1:56" x14ac:dyDescent="0.25">
      <c r="A380">
        <v>379</v>
      </c>
      <c r="B380">
        <v>379</v>
      </c>
      <c r="C380">
        <v>200235463566.095</v>
      </c>
      <c r="D380">
        <v>93249620837.742203</v>
      </c>
      <c r="E380">
        <v>82992162545.590607</v>
      </c>
      <c r="F380">
        <v>10323021362.732</v>
      </c>
      <c r="G380">
        <v>289452589800.23102</v>
      </c>
      <c r="H380">
        <v>64922887722.272903</v>
      </c>
      <c r="I380">
        <v>158238071630.595</v>
      </c>
      <c r="J380">
        <v>116308305668.07201</v>
      </c>
      <c r="K380">
        <v>731440051925.85095</v>
      </c>
      <c r="L380">
        <v>-64988450792.853203</v>
      </c>
      <c r="M380">
        <v>847748357593.92297</v>
      </c>
      <c r="N380">
        <v>-1234224972217.5901</v>
      </c>
      <c r="O380">
        <v>146188176666.78299</v>
      </c>
      <c r="P380">
        <v>96484196600.076904</v>
      </c>
      <c r="Q380">
        <v>150870031026.392</v>
      </c>
      <c r="R380">
        <v>75435015513.195801</v>
      </c>
      <c r="S380">
        <v>75435015513.195801</v>
      </c>
      <c r="T380">
        <v>70753161153.587296</v>
      </c>
      <c r="U380">
        <v>28755769218.087601</v>
      </c>
      <c r="V380">
        <v>546256240507.72198</v>
      </c>
      <c r="W380">
        <v>96383226361.814499</v>
      </c>
      <c r="X380">
        <v>0.274513580238189</v>
      </c>
      <c r="Y380">
        <v>853710749593.17603</v>
      </c>
      <c r="Z380">
        <v>397199586266.14099</v>
      </c>
      <c r="AA380">
        <v>0.79015462333687403</v>
      </c>
      <c r="AB380">
        <v>444350364122.08197</v>
      </c>
      <c r="AC380">
        <v>254722268230.672</v>
      </c>
      <c r="AD380">
        <v>351105494592.487</v>
      </c>
      <c r="AE380">
        <v>-687968731709.86902</v>
      </c>
      <c r="AF380">
        <v>-36232681574.765701</v>
      </c>
      <c r="AG380">
        <v>5.5594999999999999E-2</v>
      </c>
      <c r="AH380">
        <v>-2081973329811.51</v>
      </c>
      <c r="AI380">
        <v>943455826773.86206</v>
      </c>
      <c r="AJ380">
        <v>0.06</v>
      </c>
      <c r="AK380">
        <v>0.05</v>
      </c>
      <c r="AL380">
        <v>8.8099999999999998E-2</v>
      </c>
      <c r="AM380">
        <v>3.8100000000000002E-2</v>
      </c>
      <c r="AN380">
        <v>0.89</v>
      </c>
      <c r="AO380">
        <v>0.66</v>
      </c>
      <c r="AP380">
        <v>0.42970000000000003</v>
      </c>
      <c r="AQ380">
        <v>0.57030000000000003</v>
      </c>
      <c r="AR380">
        <v>8.9999999999999993E-3</v>
      </c>
      <c r="AS380">
        <v>0.5</v>
      </c>
      <c r="AT380">
        <v>1.82</v>
      </c>
      <c r="AU380">
        <v>6.3545217126973294E-2</v>
      </c>
      <c r="AV380">
        <v>0.7893</v>
      </c>
      <c r="AW380">
        <v>3</v>
      </c>
      <c r="AX380">
        <v>0.05</v>
      </c>
      <c r="AY380">
        <v>1</v>
      </c>
      <c r="AZ380">
        <v>1</v>
      </c>
      <c r="BA380" s="2">
        <f>modelo_tese_H__2[[#This Row],[Vw]]+modelo_tese_H__2[[#This Row],[Vr]]+modelo_tese_H__2[[#This Row],[K]]-modelo_tese_H__2[[#This Row],[E]]</f>
        <v>-682006339710.61292</v>
      </c>
      <c r="BB380" s="2">
        <f>modelo_tese_H__2[[#This Row],[K]]-modelo_tese_H__2[[#This Row],[Coluna1]]</f>
        <v>1535717089303.7891</v>
      </c>
      <c r="BC380">
        <f>modelo_tese_H__2[[#This Row],[Coluna2]]/modelo_tese_H__2[[#This Row],[Coluna1]]</f>
        <v>-2.2517636565598793</v>
      </c>
      <c r="BD380" s="8">
        <f>modelo_tese_H__2[[#This Row],[D]]-modelo_tese_H__2[[#This Row],[Dw]]-modelo_tese_H__2[[#This Row],[Dr]]</f>
        <v>-9.1552734375E-4</v>
      </c>
    </row>
    <row r="381" spans="1:56" x14ac:dyDescent="0.25">
      <c r="A381">
        <v>380</v>
      </c>
      <c r="B381">
        <v>380</v>
      </c>
      <c r="C381">
        <v>211373250727.02301</v>
      </c>
      <c r="D381">
        <v>98439609168.179703</v>
      </c>
      <c r="E381">
        <v>87611252159.679993</v>
      </c>
      <c r="F381">
        <v>10896879948.438101</v>
      </c>
      <c r="G381">
        <v>305548851128.44202</v>
      </c>
      <c r="H381">
        <v>68532275665.192596</v>
      </c>
      <c r="I381">
        <v>167040407773.311</v>
      </c>
      <c r="J381">
        <v>122773839170.55701</v>
      </c>
      <c r="K381">
        <v>772104461612.66797</v>
      </c>
      <c r="L381">
        <v>-68600798605.130997</v>
      </c>
      <c r="M381">
        <v>894878300783.22498</v>
      </c>
      <c r="N381">
        <v>-1302825770822.72</v>
      </c>
      <c r="O381">
        <v>154317601580.021</v>
      </c>
      <c r="P381">
        <v>101849617042.814</v>
      </c>
      <c r="Q381">
        <v>159261942551.99301</v>
      </c>
      <c r="R381">
        <v>79630971275.996597</v>
      </c>
      <c r="S381">
        <v>79630971275.996597</v>
      </c>
      <c r="T381">
        <v>74686630304.024597</v>
      </c>
      <c r="U381">
        <v>30353787350.312599</v>
      </c>
      <c r="V381">
        <v>576610027858.03406</v>
      </c>
      <c r="W381">
        <v>101745168462.89101</v>
      </c>
      <c r="X381">
        <v>0.27451567014676098</v>
      </c>
      <c r="Y381">
        <v>901206683109.53699</v>
      </c>
      <c r="Z381">
        <v>419313783453.03497</v>
      </c>
      <c r="AA381">
        <v>0.79014590373760596</v>
      </c>
      <c r="AB381">
        <v>469071840435.81097</v>
      </c>
      <c r="AC381">
        <v>268890024816.125</v>
      </c>
      <c r="AD381">
        <v>370635193279.01599</v>
      </c>
      <c r="AE381">
        <v>-726215742964.68701</v>
      </c>
      <c r="AF381">
        <v>-38247011254.818398</v>
      </c>
      <c r="AG381">
        <v>5.5594999999999999E-2</v>
      </c>
      <c r="AH381">
        <v>-2197704071605.95</v>
      </c>
      <c r="AI381">
        <v>995923811311.06995</v>
      </c>
      <c r="AJ381">
        <v>0.06</v>
      </c>
      <c r="AK381">
        <v>0.05</v>
      </c>
      <c r="AL381">
        <v>8.8099999999999998E-2</v>
      </c>
      <c r="AM381">
        <v>3.8100000000000002E-2</v>
      </c>
      <c r="AN381">
        <v>0.89</v>
      </c>
      <c r="AO381">
        <v>0.66</v>
      </c>
      <c r="AP381">
        <v>0.42970000000000003</v>
      </c>
      <c r="AQ381">
        <v>0.57030000000000003</v>
      </c>
      <c r="AR381">
        <v>8.9999999999999993E-3</v>
      </c>
      <c r="AS381">
        <v>0.5</v>
      </c>
      <c r="AT381">
        <v>1.82</v>
      </c>
      <c r="AU381">
        <v>6.3545217126973294E-2</v>
      </c>
      <c r="AV381">
        <v>0.7893</v>
      </c>
      <c r="AW381">
        <v>3</v>
      </c>
      <c r="AX381">
        <v>0.05</v>
      </c>
      <c r="AY381">
        <v>1</v>
      </c>
      <c r="AZ381">
        <v>1</v>
      </c>
      <c r="BA381" s="2">
        <f>modelo_tese_H__2[[#This Row],[Vw]]+modelo_tese_H__2[[#This Row],[Vr]]+modelo_tese_H__2[[#This Row],[K]]-modelo_tese_H__2[[#This Row],[E]]</f>
        <v>-719887360638.37793</v>
      </c>
      <c r="BB381" s="2">
        <f>modelo_tese_H__2[[#This Row],[K]]-modelo_tese_H__2[[#This Row],[Coluna1]]</f>
        <v>1621094043747.915</v>
      </c>
      <c r="BC381">
        <f>modelo_tese_H__2[[#This Row],[Coluna2]]/modelo_tese_H__2[[#This Row],[Coluna1]]</f>
        <v>-2.2518717960409385</v>
      </c>
      <c r="BD381" s="8">
        <f>modelo_tese_H__2[[#This Row],[D]]-modelo_tese_H__2[[#This Row],[Dw]]-modelo_tese_H__2[[#This Row],[Dr]]</f>
        <v>-1.0986328125E-3</v>
      </c>
    </row>
    <row r="382" spans="1:56" x14ac:dyDescent="0.25">
      <c r="A382">
        <v>381</v>
      </c>
      <c r="B382">
        <v>381</v>
      </c>
      <c r="C382">
        <v>223130498879.19101</v>
      </c>
      <c r="D382">
        <v>103918394165.492</v>
      </c>
      <c r="E382">
        <v>92487370807.288101</v>
      </c>
      <c r="F382">
        <v>11502639967.198999</v>
      </c>
      <c r="G382">
        <v>322540170151.26703</v>
      </c>
      <c r="H382">
        <v>72342327530.798996</v>
      </c>
      <c r="I382">
        <v>176332338305.28601</v>
      </c>
      <c r="J382">
        <v>129598795865.35699</v>
      </c>
      <c r="K382">
        <v>815029609156.02502</v>
      </c>
      <c r="L382">
        <v>-72413944139.7939</v>
      </c>
      <c r="M382">
        <v>944628405021.38196</v>
      </c>
      <c r="N382">
        <v>-1375239714962.52</v>
      </c>
      <c r="O382">
        <v>162899075833.97299</v>
      </c>
      <c r="P382">
        <v>107513390050.422</v>
      </c>
      <c r="Q382">
        <v>168120595069.94299</v>
      </c>
      <c r="R382">
        <v>84060297534.971298</v>
      </c>
      <c r="S382">
        <v>84060297534.971298</v>
      </c>
      <c r="T382">
        <v>78838778299.002106</v>
      </c>
      <c r="U382">
        <v>32040617725.097599</v>
      </c>
      <c r="V382">
        <v>608650645583.13196</v>
      </c>
      <c r="W382">
        <v>107405365593.425</v>
      </c>
      <c r="X382">
        <v>0.27451773874774998</v>
      </c>
      <c r="Y382">
        <v>951344674348.48706</v>
      </c>
      <c r="Z382">
        <v>442658851511.48901</v>
      </c>
      <c r="AA382">
        <v>0.79013727298432901</v>
      </c>
      <c r="AB382">
        <v>495168507203.04199</v>
      </c>
      <c r="AC382">
        <v>283845728355.70801</v>
      </c>
      <c r="AD382">
        <v>391251093949.133</v>
      </c>
      <c r="AE382">
        <v>-766589069379.38403</v>
      </c>
      <c r="AF382">
        <v>-40373326414.696297</v>
      </c>
      <c r="AG382">
        <v>5.5594999999999999E-2</v>
      </c>
      <c r="AH382">
        <v>-2319868119983.8999</v>
      </c>
      <c r="AI382">
        <v>1051309497094.62</v>
      </c>
      <c r="AJ382">
        <v>0.06</v>
      </c>
      <c r="AK382">
        <v>0.05</v>
      </c>
      <c r="AL382">
        <v>8.8099999999999998E-2</v>
      </c>
      <c r="AM382">
        <v>3.8100000000000002E-2</v>
      </c>
      <c r="AN382">
        <v>0.89</v>
      </c>
      <c r="AO382">
        <v>0.66</v>
      </c>
      <c r="AP382">
        <v>0.42970000000000003</v>
      </c>
      <c r="AQ382">
        <v>0.57030000000000003</v>
      </c>
      <c r="AR382">
        <v>8.9999999999999993E-3</v>
      </c>
      <c r="AS382">
        <v>0.5</v>
      </c>
      <c r="AT382">
        <v>1.82</v>
      </c>
      <c r="AU382">
        <v>6.3545217126973294E-2</v>
      </c>
      <c r="AV382">
        <v>0.7893</v>
      </c>
      <c r="AW382">
        <v>3</v>
      </c>
      <c r="AX382">
        <v>0.05</v>
      </c>
      <c r="AY382">
        <v>1</v>
      </c>
      <c r="AZ382">
        <v>1</v>
      </c>
      <c r="BA382" s="2">
        <f>modelo_tese_H__2[[#This Row],[Vw]]+modelo_tese_H__2[[#This Row],[Vr]]+modelo_tese_H__2[[#This Row],[K]]-modelo_tese_H__2[[#This Row],[E]]</f>
        <v>-759872800052.28174</v>
      </c>
      <c r="BB382" s="2">
        <f>modelo_tese_H__2[[#This Row],[K]]-modelo_tese_H__2[[#This Row],[Coluna1]]</f>
        <v>1711217474400.7688</v>
      </c>
      <c r="BC382">
        <f>modelo_tese_H__2[[#This Row],[Coluna2]]/modelo_tese_H__2[[#This Row],[Coluna1]]</f>
        <v>-2.2519788499904609</v>
      </c>
      <c r="BD382" s="8">
        <f>modelo_tese_H__2[[#This Row],[D]]-modelo_tese_H__2[[#This Row],[Dw]]-modelo_tese_H__2[[#This Row],[Dr]]</f>
        <v>4.0283203125E-3</v>
      </c>
    </row>
    <row r="383" spans="1:56" x14ac:dyDescent="0.25">
      <c r="A383">
        <v>382</v>
      </c>
      <c r="B383">
        <v>382</v>
      </c>
      <c r="C383">
        <v>235541658430.41501</v>
      </c>
      <c r="D383">
        <v>109702043113.782</v>
      </c>
      <c r="E383">
        <v>97634818371.265701</v>
      </c>
      <c r="F383">
        <v>12142074878.8948</v>
      </c>
      <c r="G383">
        <v>340476315949.16101</v>
      </c>
      <c r="H383">
        <v>76364199229.873795</v>
      </c>
      <c r="I383">
        <v>186141092480.034</v>
      </c>
      <c r="J383">
        <v>136803156621.782</v>
      </c>
      <c r="K383">
        <v>860341180277.05396</v>
      </c>
      <c r="L383">
        <v>-76439049366.252502</v>
      </c>
      <c r="M383">
        <v>997144336898.83606</v>
      </c>
      <c r="N383">
        <v>-1451678764328.77</v>
      </c>
      <c r="O383">
        <v>171957735327.85901</v>
      </c>
      <c r="P383">
        <v>113492105316.38699</v>
      </c>
      <c r="Q383">
        <v>177471945690.95099</v>
      </c>
      <c r="R383">
        <v>88735972845.475403</v>
      </c>
      <c r="S383">
        <v>88735972845.475403</v>
      </c>
      <c r="T383">
        <v>83221762482.383804</v>
      </c>
      <c r="U383">
        <v>33821196532.003201</v>
      </c>
      <c r="V383">
        <v>642471842115.13501</v>
      </c>
      <c r="W383">
        <v>113380406324.944</v>
      </c>
      <c r="X383">
        <v>0.27451978625795098</v>
      </c>
      <c r="Y383">
        <v>1004271676779.37</v>
      </c>
      <c r="Z383">
        <v>467303284990.95801</v>
      </c>
      <c r="AA383">
        <v>0.79012873017412399</v>
      </c>
      <c r="AB383">
        <v>522716854037.63</v>
      </c>
      <c r="AC383">
        <v>299633197796.42102</v>
      </c>
      <c r="AD383">
        <v>413013604121.36603</v>
      </c>
      <c r="AE383">
        <v>-809206922213.63306</v>
      </c>
      <c r="AF383">
        <v>-42617852834.249298</v>
      </c>
      <c r="AG383">
        <v>5.5594999999999999E-2</v>
      </c>
      <c r="AH383">
        <v>-2448823101227.6001</v>
      </c>
      <c r="AI383">
        <v>1109775127106.0901</v>
      </c>
      <c r="AJ383">
        <v>0.06</v>
      </c>
      <c r="AK383">
        <v>0.05</v>
      </c>
      <c r="AL383">
        <v>8.8099999999999998E-2</v>
      </c>
      <c r="AM383">
        <v>3.8100000000000002E-2</v>
      </c>
      <c r="AN383">
        <v>0.89</v>
      </c>
      <c r="AO383">
        <v>0.66</v>
      </c>
      <c r="AP383">
        <v>0.42970000000000003</v>
      </c>
      <c r="AQ383">
        <v>0.57030000000000003</v>
      </c>
      <c r="AR383">
        <v>8.9999999999999993E-3</v>
      </c>
      <c r="AS383">
        <v>0.5</v>
      </c>
      <c r="AT383">
        <v>1.82</v>
      </c>
      <c r="AU383">
        <v>6.3545217126973294E-2</v>
      </c>
      <c r="AV383">
        <v>0.7893</v>
      </c>
      <c r="AW383">
        <v>3</v>
      </c>
      <c r="AX383">
        <v>0.05</v>
      </c>
      <c r="AY383">
        <v>1</v>
      </c>
      <c r="AZ383">
        <v>1</v>
      </c>
      <c r="BA383" s="2">
        <f>modelo_tese_H__2[[#This Row],[Vw]]+modelo_tese_H__2[[#This Row],[Vr]]+modelo_tese_H__2[[#This Row],[K]]-modelo_tese_H__2[[#This Row],[E]]</f>
        <v>-802079582333.09802</v>
      </c>
      <c r="BB383" s="2">
        <f>modelo_tese_H__2[[#This Row],[K]]-modelo_tese_H__2[[#This Row],[Coluna1]]</f>
        <v>1806351259112.468</v>
      </c>
      <c r="BC383">
        <f>modelo_tese_H__2[[#This Row],[Coluna2]]/modelo_tese_H__2[[#This Row],[Coluna1]]</f>
        <v>-2.2520848291115119</v>
      </c>
      <c r="BD383" s="8">
        <f>modelo_tese_H__2[[#This Row],[D]]-modelo_tese_H__2[[#This Row],[Dw]]-modelo_tese_H__2[[#This Row],[Dr]]</f>
        <v>1.953125E-3</v>
      </c>
    </row>
    <row r="384" spans="1:56" x14ac:dyDescent="0.25">
      <c r="A384">
        <v>383</v>
      </c>
      <c r="B384">
        <v>383</v>
      </c>
      <c r="C384">
        <v>248643095573.63199</v>
      </c>
      <c r="D384">
        <v>115807517079.659</v>
      </c>
      <c r="E384">
        <v>103068690200.897</v>
      </c>
      <c r="F384">
        <v>12817056734.4088</v>
      </c>
      <c r="G384">
        <v>359409824889.073</v>
      </c>
      <c r="H384">
        <v>80609666886.058594</v>
      </c>
      <c r="I384">
        <v>196495413821.36401</v>
      </c>
      <c r="J384">
        <v>144408013088.901</v>
      </c>
      <c r="K384">
        <v>908171848194.55701</v>
      </c>
      <c r="L384">
        <v>-80687896741.704895</v>
      </c>
      <c r="M384">
        <v>1052579861283.46</v>
      </c>
      <c r="N384">
        <v>-1532366661070.47</v>
      </c>
      <c r="O384">
        <v>181520113580.34</v>
      </c>
      <c r="P384">
        <v>119803274963.024</v>
      </c>
      <c r="Q384">
        <v>187343394999.10501</v>
      </c>
      <c r="R384">
        <v>93671697499.552505</v>
      </c>
      <c r="S384">
        <v>93671697499.552505</v>
      </c>
      <c r="T384">
        <v>87848416080.787506</v>
      </c>
      <c r="U384">
        <v>35700734328.520103</v>
      </c>
      <c r="V384">
        <v>678172576443.65503</v>
      </c>
      <c r="W384">
        <v>119687801788.34801</v>
      </c>
      <c r="X384">
        <v>0.27452181289195998</v>
      </c>
      <c r="Y384">
        <v>1060142816812.3</v>
      </c>
      <c r="Z384">
        <v>493319389279.75299</v>
      </c>
      <c r="AA384">
        <v>0.79012027441326205</v>
      </c>
      <c r="AB384">
        <v>551797624604.04797</v>
      </c>
      <c r="AC384">
        <v>316298688784.38898</v>
      </c>
      <c r="AD384">
        <v>435986490572.737</v>
      </c>
      <c r="AE384">
        <v>-854194084626.81799</v>
      </c>
      <c r="AF384">
        <v>-44987162413.184898</v>
      </c>
      <c r="AG384">
        <v>5.5594999999999999E-2</v>
      </c>
      <c r="AH384">
        <v>-2584946522353.9302</v>
      </c>
      <c r="AI384">
        <v>1171491965723.4099</v>
      </c>
      <c r="AJ384">
        <v>0.06</v>
      </c>
      <c r="AK384">
        <v>0.05</v>
      </c>
      <c r="AL384">
        <v>8.8099999999999998E-2</v>
      </c>
      <c r="AM384">
        <v>3.8100000000000002E-2</v>
      </c>
      <c r="AN384">
        <v>0.89</v>
      </c>
      <c r="AO384">
        <v>0.66</v>
      </c>
      <c r="AP384">
        <v>0.42970000000000003</v>
      </c>
      <c r="AQ384">
        <v>0.57030000000000003</v>
      </c>
      <c r="AR384">
        <v>8.9999999999999993E-3</v>
      </c>
      <c r="AS384">
        <v>0.5</v>
      </c>
      <c r="AT384">
        <v>1.82</v>
      </c>
      <c r="AU384">
        <v>6.3545217126973294E-2</v>
      </c>
      <c r="AV384">
        <v>0.7893</v>
      </c>
      <c r="AW384">
        <v>3</v>
      </c>
      <c r="AX384">
        <v>0.05</v>
      </c>
      <c r="AY384">
        <v>1</v>
      </c>
      <c r="AZ384">
        <v>1</v>
      </c>
      <c r="BA384" s="2">
        <f>modelo_tese_H__2[[#This Row],[Vw]]+modelo_tese_H__2[[#This Row],[Vr]]+modelo_tese_H__2[[#This Row],[K]]-modelo_tese_H__2[[#This Row],[E]]</f>
        <v>-846631129097.97314</v>
      </c>
      <c r="BB384" s="2">
        <f>modelo_tese_H__2[[#This Row],[K]]-modelo_tese_H__2[[#This Row],[Coluna1]]</f>
        <v>1906773945910.2732</v>
      </c>
      <c r="BC384">
        <f>modelo_tese_H__2[[#This Row],[Coluna2]]/modelo_tese_H__2[[#This Row],[Coluna1]]</f>
        <v>-2.2521897440055256</v>
      </c>
      <c r="BD384" s="8">
        <f>modelo_tese_H__2[[#This Row],[D]]-modelo_tese_H__2[[#This Row],[Dw]]-modelo_tese_H__2[[#This Row],[Dr]]</f>
        <v>-3.0517578125E-3</v>
      </c>
    </row>
    <row r="385" spans="1:56" x14ac:dyDescent="0.25">
      <c r="A385">
        <v>384</v>
      </c>
      <c r="B385">
        <v>384</v>
      </c>
      <c r="C385">
        <v>262473198818.04099</v>
      </c>
      <c r="D385">
        <v>122252720625.47301</v>
      </c>
      <c r="E385">
        <v>108804921356.67101</v>
      </c>
      <c r="F385">
        <v>13529561656.5926</v>
      </c>
      <c r="G385">
        <v>379396154488.52399</v>
      </c>
      <c r="H385">
        <v>85091161316.589005</v>
      </c>
      <c r="I385">
        <v>207425644329.853</v>
      </c>
      <c r="J385">
        <v>152435629446.806</v>
      </c>
      <c r="K385">
        <v>958661662094.93298</v>
      </c>
      <c r="L385">
        <v>-85172923704.379593</v>
      </c>
      <c r="M385">
        <v>1111097291541.74</v>
      </c>
      <c r="N385">
        <v>-1617539584774.8501</v>
      </c>
      <c r="O385">
        <v>191614219438.64801</v>
      </c>
      <c r="P385">
        <v>126465384829.508</v>
      </c>
      <c r="Q385">
        <v>197763867319.15201</v>
      </c>
      <c r="R385">
        <v>98881933659.575806</v>
      </c>
      <c r="S385">
        <v>98881933659.575806</v>
      </c>
      <c r="T385">
        <v>92732285779.072601</v>
      </c>
      <c r="U385">
        <v>37684731290.884804</v>
      </c>
      <c r="V385">
        <v>715857307734.54004</v>
      </c>
      <c r="W385">
        <v>126346036977.832</v>
      </c>
      <c r="X385">
        <v>0.27452381886220101</v>
      </c>
      <c r="Y385">
        <v>1119121848310.1899</v>
      </c>
      <c r="Z385">
        <v>520783492598.00897</v>
      </c>
      <c r="AA385">
        <v>0.79011190481705995</v>
      </c>
      <c r="AB385">
        <v>582496053193.57202</v>
      </c>
      <c r="AC385">
        <v>333891029159.36102</v>
      </c>
      <c r="AD385">
        <v>460237066137.19299</v>
      </c>
      <c r="AE385">
        <v>-901682277040.31201</v>
      </c>
      <c r="AF385">
        <v>-47488192413.494904</v>
      </c>
      <c r="AG385">
        <v>5.5594999999999999E-2</v>
      </c>
      <c r="AH385">
        <v>-2728636876316.5898</v>
      </c>
      <c r="AI385">
        <v>1236640800332.55</v>
      </c>
      <c r="AJ385">
        <v>0.06</v>
      </c>
      <c r="AK385">
        <v>0.05</v>
      </c>
      <c r="AL385">
        <v>8.8099999999999998E-2</v>
      </c>
      <c r="AM385">
        <v>3.8100000000000002E-2</v>
      </c>
      <c r="AN385">
        <v>0.89</v>
      </c>
      <c r="AO385">
        <v>0.66</v>
      </c>
      <c r="AP385">
        <v>0.42970000000000003</v>
      </c>
      <c r="AQ385">
        <v>0.57030000000000003</v>
      </c>
      <c r="AR385">
        <v>8.9999999999999993E-3</v>
      </c>
      <c r="AS385">
        <v>0.5</v>
      </c>
      <c r="AT385">
        <v>1.82</v>
      </c>
      <c r="AU385">
        <v>6.3545217126973294E-2</v>
      </c>
      <c r="AV385">
        <v>0.7893</v>
      </c>
      <c r="AW385">
        <v>3</v>
      </c>
      <c r="AX385">
        <v>0.05</v>
      </c>
      <c r="AY385">
        <v>1</v>
      </c>
      <c r="AZ385">
        <v>1</v>
      </c>
      <c r="BA385" s="2">
        <f>modelo_tese_H__2[[#This Row],[Vw]]+modelo_tese_H__2[[#This Row],[Vr]]+modelo_tese_H__2[[#This Row],[K]]-modelo_tese_H__2[[#This Row],[E]]</f>
        <v>-893657720271.85889</v>
      </c>
      <c r="BB385" s="2">
        <f>modelo_tese_H__2[[#This Row],[K]]-modelo_tese_H__2[[#This Row],[Coluna1]]</f>
        <v>2012779568582.0488</v>
      </c>
      <c r="BC385">
        <f>modelo_tese_H__2[[#This Row],[Coluna2]]/modelo_tese_H__2[[#This Row],[Coluna1]]</f>
        <v>-2.2522936051732905</v>
      </c>
      <c r="BD385" s="8">
        <f>modelo_tese_H__2[[#This Row],[D]]-modelo_tese_H__2[[#This Row],[Dw]]-modelo_tese_H__2[[#This Row],[Dr]]</f>
        <v>-1.953125E-3</v>
      </c>
    </row>
    <row r="386" spans="1:56" x14ac:dyDescent="0.25">
      <c r="A386">
        <v>385</v>
      </c>
      <c r="B386">
        <v>385</v>
      </c>
      <c r="C386">
        <v>277072491443.84802</v>
      </c>
      <c r="D386">
        <v>129056554287.36</v>
      </c>
      <c r="E386">
        <v>114860333315.75</v>
      </c>
      <c r="F386">
        <v>14281675625.936701</v>
      </c>
      <c r="G386">
        <v>400493845834.48297</v>
      </c>
      <c r="H386">
        <v>89821804429.984802</v>
      </c>
      <c r="I386">
        <v>218963813371.67099</v>
      </c>
      <c r="J386">
        <v>160909507590.82001</v>
      </c>
      <c r="K386">
        <v>1011958457199.1</v>
      </c>
      <c r="L386">
        <v>-89907259084.311996</v>
      </c>
      <c r="M386">
        <v>1172867964789.9199</v>
      </c>
      <c r="N386">
        <v>-1707446843859.1599</v>
      </c>
      <c r="O386">
        <v>202269619108.32501</v>
      </c>
      <c r="P386">
        <v>133497948611.494</v>
      </c>
      <c r="Q386">
        <v>208763895446.995</v>
      </c>
      <c r="R386">
        <v>104381947723.498</v>
      </c>
      <c r="S386">
        <v>104381947723.498</v>
      </c>
      <c r="T386">
        <v>97887671384.827301</v>
      </c>
      <c r="U386">
        <v>39778993312.651199</v>
      </c>
      <c r="V386">
        <v>755636301047.19104</v>
      </c>
      <c r="W386">
        <v>133374624907.677</v>
      </c>
      <c r="X386">
        <v>0.27452580437894197</v>
      </c>
      <c r="Y386">
        <v>1181381632375.46</v>
      </c>
      <c r="Z386">
        <v>549776169782.18799</v>
      </c>
      <c r="AA386">
        <v>0.790103620509649</v>
      </c>
      <c r="AB386">
        <v>614902114456.15002</v>
      </c>
      <c r="AC386">
        <v>352461761983.16602</v>
      </c>
      <c r="AD386">
        <v>485836386890.84302</v>
      </c>
      <c r="AE386">
        <v>-951810542811.97302</v>
      </c>
      <c r="AF386">
        <v>-50128265771.660698</v>
      </c>
      <c r="AG386">
        <v>5.5594999999999999E-2</v>
      </c>
      <c r="AH386">
        <v>-2880314808649.0801</v>
      </c>
      <c r="AI386">
        <v>1305412470829.3799</v>
      </c>
      <c r="AJ386">
        <v>0.06</v>
      </c>
      <c r="AK386">
        <v>0.05</v>
      </c>
      <c r="AL386">
        <v>8.8099999999999998E-2</v>
      </c>
      <c r="AM386">
        <v>3.8100000000000002E-2</v>
      </c>
      <c r="AN386">
        <v>0.89</v>
      </c>
      <c r="AO386">
        <v>0.66</v>
      </c>
      <c r="AP386">
        <v>0.42970000000000003</v>
      </c>
      <c r="AQ386">
        <v>0.57030000000000003</v>
      </c>
      <c r="AR386">
        <v>8.9999999999999993E-3</v>
      </c>
      <c r="AS386">
        <v>0.5</v>
      </c>
      <c r="AT386">
        <v>1.82</v>
      </c>
      <c r="AU386">
        <v>6.3545217126973294E-2</v>
      </c>
      <c r="AV386">
        <v>0.7893</v>
      </c>
      <c r="AW386">
        <v>3</v>
      </c>
      <c r="AX386">
        <v>0.05</v>
      </c>
      <c r="AY386">
        <v>1</v>
      </c>
      <c r="AZ386">
        <v>1</v>
      </c>
      <c r="BA386" s="2">
        <f>modelo_tese_H__2[[#This Row],[Vw]]+modelo_tese_H__2[[#This Row],[Vr]]+modelo_tese_H__2[[#This Row],[K]]-modelo_tese_H__2[[#This Row],[E]]</f>
        <v>-943296875226.42822</v>
      </c>
      <c r="BB386" s="2">
        <f>modelo_tese_H__2[[#This Row],[K]]-modelo_tese_H__2[[#This Row],[Coluna1]]</f>
        <v>2124678507601.8882</v>
      </c>
      <c r="BC386">
        <f>modelo_tese_H__2[[#This Row],[Coluna2]]/modelo_tese_H__2[[#This Row],[Coluna1]]</f>
        <v>-2.2523964230156936</v>
      </c>
      <c r="BD386" s="8">
        <f>modelo_tese_H__2[[#This Row],[D]]-modelo_tese_H__2[[#This Row],[Dw]]-modelo_tese_H__2[[#This Row],[Dr]]</f>
        <v>-4.150390625E-3</v>
      </c>
    </row>
    <row r="387" spans="1:56" x14ac:dyDescent="0.25">
      <c r="A387">
        <v>386</v>
      </c>
      <c r="B387">
        <v>386</v>
      </c>
      <c r="C387">
        <v>292483750210.13898</v>
      </c>
      <c r="D387">
        <v>136238969972.037</v>
      </c>
      <c r="E387">
        <v>121252683275.11301</v>
      </c>
      <c r="F387">
        <v>15075600587.884701</v>
      </c>
      <c r="G387">
        <v>422764695032.80798</v>
      </c>
      <c r="H387">
        <v>94815447647.269806</v>
      </c>
      <c r="I387">
        <v>231143731510.267</v>
      </c>
      <c r="J387">
        <v>169854455939.49399</v>
      </c>
      <c r="K387">
        <v>1068218287627.09</v>
      </c>
      <c r="L387">
        <v>-94904761538.230499</v>
      </c>
      <c r="M387">
        <v>1238072743566.5801</v>
      </c>
      <c r="N387">
        <v>-1802351605397.3899</v>
      </c>
      <c r="O387">
        <v>213517522743.84201</v>
      </c>
      <c r="P387">
        <v>140921565010.936</v>
      </c>
      <c r="Q387">
        <v>220375710091.70099</v>
      </c>
      <c r="R387">
        <v>110187855045.85001</v>
      </c>
      <c r="S387">
        <v>110187855045.85001</v>
      </c>
      <c r="T387">
        <v>103329667697.992</v>
      </c>
      <c r="U387">
        <v>41989648998.1203</v>
      </c>
      <c r="V387">
        <v>797625950045.31104</v>
      </c>
      <c r="W387">
        <v>140794163780.63599</v>
      </c>
      <c r="X387">
        <v>0.274527769650322</v>
      </c>
      <c r="Y387">
        <v>1247104643816.98</v>
      </c>
      <c r="Z387">
        <v>580382478516.974</v>
      </c>
      <c r="AA387">
        <v>0.79009542062416305</v>
      </c>
      <c r="AB387">
        <v>649110787019.48303</v>
      </c>
      <c r="AC387">
        <v>372065296521.203</v>
      </c>
      <c r="AD387">
        <v>512859460301.84003</v>
      </c>
      <c r="AE387">
        <v>-1004725655352.08</v>
      </c>
      <c r="AF387">
        <v>-52915112540.110199</v>
      </c>
      <c r="AG387">
        <v>5.5594999999999999E-2</v>
      </c>
      <c r="AH387">
        <v>-3040424348963.9702</v>
      </c>
      <c r="AI387">
        <v>1378008428562.29</v>
      </c>
      <c r="AJ387">
        <v>0.06</v>
      </c>
      <c r="AK387">
        <v>0.05</v>
      </c>
      <c r="AL387">
        <v>8.8099999999999998E-2</v>
      </c>
      <c r="AM387">
        <v>3.8100000000000002E-2</v>
      </c>
      <c r="AN387">
        <v>0.89</v>
      </c>
      <c r="AO387">
        <v>0.66</v>
      </c>
      <c r="AP387">
        <v>0.42970000000000003</v>
      </c>
      <c r="AQ387">
        <v>0.57030000000000003</v>
      </c>
      <c r="AR387">
        <v>8.9999999999999993E-3</v>
      </c>
      <c r="AS387">
        <v>0.5</v>
      </c>
      <c r="AT387">
        <v>1.82</v>
      </c>
      <c r="AU387">
        <v>6.3545217126973294E-2</v>
      </c>
      <c r="AV387">
        <v>0.7893</v>
      </c>
      <c r="AW387">
        <v>3</v>
      </c>
      <c r="AX387">
        <v>0.05</v>
      </c>
      <c r="AY387">
        <v>1</v>
      </c>
      <c r="AZ387">
        <v>1</v>
      </c>
      <c r="BA387" s="2">
        <f>modelo_tese_H__2[[#This Row],[Vw]]+modelo_tese_H__2[[#This Row],[Vr]]+modelo_tese_H__2[[#This Row],[K]]-modelo_tese_H__2[[#This Row],[E]]</f>
        <v>-995693755101.67419</v>
      </c>
      <c r="BB387" s="2">
        <f>modelo_tese_H__2[[#This Row],[K]]-modelo_tese_H__2[[#This Row],[Coluna1]]</f>
        <v>2242798398918.6543</v>
      </c>
      <c r="BC387">
        <f>modelo_tese_H__2[[#This Row],[Coluna2]]/modelo_tese_H__2[[#This Row],[Coluna1]]</f>
        <v>-2.2524982078346301</v>
      </c>
      <c r="BD387" s="8">
        <f>modelo_tese_H__2[[#This Row],[D]]-modelo_tese_H__2[[#This Row],[Dw]]-modelo_tese_H__2[[#This Row],[Dr]]</f>
        <v>-1.0986328125E-3</v>
      </c>
    </row>
    <row r="388" spans="1:56" x14ac:dyDescent="0.25">
      <c r="A388">
        <v>387</v>
      </c>
      <c r="B388">
        <v>387</v>
      </c>
      <c r="C388">
        <v>308752130663.31799</v>
      </c>
      <c r="D388">
        <v>143821029434.39499</v>
      </c>
      <c r="E388">
        <v>128000716196.61099</v>
      </c>
      <c r="F388">
        <v>15913660899.676001</v>
      </c>
      <c r="G388">
        <v>446273934190.13202</v>
      </c>
      <c r="H388">
        <v>100086712459.22</v>
      </c>
      <c r="I388">
        <v>244001089555.50699</v>
      </c>
      <c r="J388">
        <v>179296662067.87601</v>
      </c>
      <c r="K388">
        <v>1127605883327.71</v>
      </c>
      <c r="L388">
        <v>-100180060121.112</v>
      </c>
      <c r="M388">
        <v>1306902545395.5901</v>
      </c>
      <c r="N388">
        <v>-1902531665518.51</v>
      </c>
      <c r="O388">
        <v>225390875853.60199</v>
      </c>
      <c r="P388">
        <v>148757978063.37701</v>
      </c>
      <c r="Q388">
        <v>232633334290.77301</v>
      </c>
      <c r="R388">
        <v>116316667145.386</v>
      </c>
      <c r="S388">
        <v>116316667145.386</v>
      </c>
      <c r="T388">
        <v>109074208708.216</v>
      </c>
      <c r="U388">
        <v>44323167600.404701</v>
      </c>
      <c r="V388">
        <v>841949117645.71594</v>
      </c>
      <c r="W388">
        <v>148626397335.20599</v>
      </c>
      <c r="X388">
        <v>0.27452971488236999</v>
      </c>
      <c r="Y388">
        <v>1316483505780.78</v>
      </c>
      <c r="Z388">
        <v>612692208706.79395</v>
      </c>
      <c r="AA388">
        <v>0.79008730430246699</v>
      </c>
      <c r="AB388">
        <v>685222331767.57104</v>
      </c>
      <c r="AC388">
        <v>392759067618.88397</v>
      </c>
      <c r="AD388">
        <v>541385464954.091</v>
      </c>
      <c r="AE388">
        <v>-1060582547872.79</v>
      </c>
      <c r="AF388">
        <v>-55856892520.707603</v>
      </c>
      <c r="AG388">
        <v>5.5594999999999999E-2</v>
      </c>
      <c r="AH388">
        <v>-3209434210914.1001</v>
      </c>
      <c r="AI388">
        <v>1454641326352.51</v>
      </c>
      <c r="AJ388">
        <v>0.06</v>
      </c>
      <c r="AK388">
        <v>0.05</v>
      </c>
      <c r="AL388">
        <v>8.8099999999999998E-2</v>
      </c>
      <c r="AM388">
        <v>3.8100000000000002E-2</v>
      </c>
      <c r="AN388">
        <v>0.89</v>
      </c>
      <c r="AO388">
        <v>0.66</v>
      </c>
      <c r="AP388">
        <v>0.42970000000000003</v>
      </c>
      <c r="AQ388">
        <v>0.57030000000000003</v>
      </c>
      <c r="AR388">
        <v>8.9999999999999993E-3</v>
      </c>
      <c r="AS388">
        <v>0.5</v>
      </c>
      <c r="AT388">
        <v>1.82</v>
      </c>
      <c r="AU388">
        <v>6.3545217126973294E-2</v>
      </c>
      <c r="AV388">
        <v>0.7893</v>
      </c>
      <c r="AW388">
        <v>3</v>
      </c>
      <c r="AX388">
        <v>0.05</v>
      </c>
      <c r="AY388">
        <v>1</v>
      </c>
      <c r="AZ388">
        <v>1</v>
      </c>
      <c r="BA388" s="2">
        <f>modelo_tese_H__2[[#This Row],[Vw]]+modelo_tese_H__2[[#This Row],[Vr]]+modelo_tese_H__2[[#This Row],[K]]-modelo_tese_H__2[[#This Row],[E]]</f>
        <v>-1051001587487.604</v>
      </c>
      <c r="BB388" s="2">
        <f>modelo_tese_H__2[[#This Row],[K]]-modelo_tese_H__2[[#This Row],[Coluna1]]</f>
        <v>2367485093268.3838</v>
      </c>
      <c r="BC388">
        <f>modelo_tese_H__2[[#This Row],[Coluna2]]/modelo_tese_H__2[[#This Row],[Coluna1]]</f>
        <v>-2.2525989698339126</v>
      </c>
      <c r="BD388" s="8">
        <f>modelo_tese_H__2[[#This Row],[D]]-modelo_tese_H__2[[#This Row],[Dw]]-modelo_tese_H__2[[#This Row],[Dr]]</f>
        <v>4.0283203125E-3</v>
      </c>
    </row>
    <row r="389" spans="1:56" x14ac:dyDescent="0.25">
      <c r="A389">
        <v>388</v>
      </c>
      <c r="B389">
        <v>388</v>
      </c>
      <c r="C389">
        <v>325925299413.27802</v>
      </c>
      <c r="D389">
        <v>151824966007.38101</v>
      </c>
      <c r="E389">
        <v>135124219746.569</v>
      </c>
      <c r="F389">
        <v>16798310135.588301</v>
      </c>
      <c r="G389">
        <v>471090422458.336</v>
      </c>
      <c r="H389">
        <v>105651033238.39</v>
      </c>
      <c r="I389">
        <v>257573563120.547</v>
      </c>
      <c r="J389">
        <v>189263769378.67801</v>
      </c>
      <c r="K389">
        <v>1190295132411.3201</v>
      </c>
      <c r="L389">
        <v>-105748597113.16701</v>
      </c>
      <c r="M389">
        <v>1379558901789.99</v>
      </c>
      <c r="N389">
        <v>-2008280262631.6699</v>
      </c>
      <c r="O389">
        <v>237924455787.03799</v>
      </c>
      <c r="P389">
        <v>157030140819.44501</v>
      </c>
      <c r="Q389">
        <v>245572683075.37399</v>
      </c>
      <c r="R389">
        <v>122786341537.687</v>
      </c>
      <c r="S389">
        <v>122786341537.687</v>
      </c>
      <c r="T389">
        <v>115138114249.351</v>
      </c>
      <c r="U389">
        <v>46786377956.620598</v>
      </c>
      <c r="V389">
        <v>888735495602.33704</v>
      </c>
      <c r="W389">
        <v>156894278548.659</v>
      </c>
      <c r="X389">
        <v>0.27453164027902499</v>
      </c>
      <c r="Y389">
        <v>1389721554110.52</v>
      </c>
      <c r="Z389">
        <v>646800145717.76697</v>
      </c>
      <c r="AA389">
        <v>0.79007927069505501</v>
      </c>
      <c r="AB389">
        <v>723342585593.83398</v>
      </c>
      <c r="AC389">
        <v>414603703939.99298</v>
      </c>
      <c r="AD389">
        <v>571497982488.65198</v>
      </c>
      <c r="AE389">
        <v>-1119544767029.3401</v>
      </c>
      <c r="AF389">
        <v>-58962219156.545998</v>
      </c>
      <c r="AG389">
        <v>5.5594999999999999E-2</v>
      </c>
      <c r="AH389">
        <v>-3387839164421.6699</v>
      </c>
      <c r="AI389">
        <v>1535535641320.1001</v>
      </c>
      <c r="AJ389">
        <v>0.06</v>
      </c>
      <c r="AK389">
        <v>0.05</v>
      </c>
      <c r="AL389">
        <v>8.8099999999999998E-2</v>
      </c>
      <c r="AM389">
        <v>3.8100000000000002E-2</v>
      </c>
      <c r="AN389">
        <v>0.89</v>
      </c>
      <c r="AO389">
        <v>0.66</v>
      </c>
      <c r="AP389">
        <v>0.42970000000000003</v>
      </c>
      <c r="AQ389">
        <v>0.57030000000000003</v>
      </c>
      <c r="AR389">
        <v>8.9999999999999993E-3</v>
      </c>
      <c r="AS389">
        <v>0.5</v>
      </c>
      <c r="AT389">
        <v>1.82</v>
      </c>
      <c r="AU389">
        <v>6.3545217126973294E-2</v>
      </c>
      <c r="AV389">
        <v>0.7893</v>
      </c>
      <c r="AW389">
        <v>3</v>
      </c>
      <c r="AX389">
        <v>0.05</v>
      </c>
      <c r="AY389">
        <v>1</v>
      </c>
      <c r="AZ389">
        <v>1</v>
      </c>
      <c r="BA389" s="2">
        <f>modelo_tese_H__2[[#This Row],[Vw]]+modelo_tese_H__2[[#This Row],[Vr]]+modelo_tese_H__2[[#This Row],[K]]-modelo_tese_H__2[[#This Row],[E]]</f>
        <v>-1109382114708.8169</v>
      </c>
      <c r="BB389" s="2">
        <f>modelo_tese_H__2[[#This Row],[K]]-modelo_tese_H__2[[#This Row],[Coluna1]]</f>
        <v>2499103668819.3369</v>
      </c>
      <c r="BC389">
        <f>modelo_tese_H__2[[#This Row],[Coluna2]]/modelo_tese_H__2[[#This Row],[Coluna1]]</f>
        <v>-2.2526987191201338</v>
      </c>
      <c r="BD389" s="8">
        <f>modelo_tese_H__2[[#This Row],[D]]-modelo_tese_H__2[[#This Row],[Dw]]-modelo_tese_H__2[[#This Row],[Dr]]</f>
        <v>-7.2021484375E-3</v>
      </c>
    </row>
    <row r="390" spans="1:56" x14ac:dyDescent="0.25">
      <c r="A390">
        <v>389</v>
      </c>
      <c r="B390">
        <v>389</v>
      </c>
      <c r="C390">
        <v>344053573764.75403</v>
      </c>
      <c r="D390">
        <v>160274249765.056</v>
      </c>
      <c r="E390">
        <v>142644082290.89999</v>
      </c>
      <c r="F390">
        <v>17732138270.5079</v>
      </c>
      <c r="G390">
        <v>497286847701.05798</v>
      </c>
      <c r="H390">
        <v>111524702431.278</v>
      </c>
      <c r="I390">
        <v>271900922992.686</v>
      </c>
      <c r="J390">
        <v>199784958035.858</v>
      </c>
      <c r="K390">
        <v>1256469590297.72</v>
      </c>
      <c r="L390">
        <v>-111626673227.63</v>
      </c>
      <c r="M390">
        <v>1456254548333.5801</v>
      </c>
      <c r="N390">
        <v>-2119906935859.3</v>
      </c>
      <c r="O390">
        <v>251154973586.39301</v>
      </c>
      <c r="P390">
        <v>165762282567.01901</v>
      </c>
      <c r="Q390">
        <v>259231668677.38901</v>
      </c>
      <c r="R390">
        <v>129615834338.694</v>
      </c>
      <c r="S390">
        <v>129615834338.694</v>
      </c>
      <c r="T390">
        <v>121539139247.69901</v>
      </c>
      <c r="U390">
        <v>49386488475.6306</v>
      </c>
      <c r="V390">
        <v>938121984077.96704</v>
      </c>
      <c r="W390">
        <v>165622036882.43799</v>
      </c>
      <c r="X390">
        <v>0.27453354604216101</v>
      </c>
      <c r="Y390">
        <v>1467033433090.97</v>
      </c>
      <c r="Z390">
        <v>682806348261.51001</v>
      </c>
      <c r="AA390">
        <v>0.79007131896105198</v>
      </c>
      <c r="AB390">
        <v>763583271489.29602</v>
      </c>
      <c r="AC390">
        <v>437663205559.70599</v>
      </c>
      <c r="AD390">
        <v>603285242442.14294</v>
      </c>
      <c r="AE390">
        <v>-1181784951781.3401</v>
      </c>
      <c r="AF390">
        <v>-62240184751.999603</v>
      </c>
      <c r="AG390">
        <v>5.5594999999999999E-2</v>
      </c>
      <c r="AH390">
        <v>-3576161484192.8901</v>
      </c>
      <c r="AI390">
        <v>1620928332339.48</v>
      </c>
      <c r="AJ390">
        <v>0.06</v>
      </c>
      <c r="AK390">
        <v>0.05</v>
      </c>
      <c r="AL390">
        <v>8.8099999999999998E-2</v>
      </c>
      <c r="AM390">
        <v>3.8100000000000002E-2</v>
      </c>
      <c r="AN390">
        <v>0.89</v>
      </c>
      <c r="AO390">
        <v>0.66</v>
      </c>
      <c r="AP390">
        <v>0.42970000000000003</v>
      </c>
      <c r="AQ390">
        <v>0.57030000000000003</v>
      </c>
      <c r="AR390">
        <v>8.9999999999999993E-3</v>
      </c>
      <c r="AS390">
        <v>0.5</v>
      </c>
      <c r="AT390">
        <v>1.82</v>
      </c>
      <c r="AU390">
        <v>6.3545217126973294E-2</v>
      </c>
      <c r="AV390">
        <v>0.7893</v>
      </c>
      <c r="AW390">
        <v>3</v>
      </c>
      <c r="AX390">
        <v>0.05</v>
      </c>
      <c r="AY390">
        <v>1</v>
      </c>
      <c r="AZ390">
        <v>1</v>
      </c>
      <c r="BA390" s="2">
        <f>modelo_tese_H__2[[#This Row],[Vw]]+modelo_tese_H__2[[#This Row],[Vr]]+modelo_tese_H__2[[#This Row],[K]]-modelo_tese_H__2[[#This Row],[E]]</f>
        <v>-1171006067023.9502</v>
      </c>
      <c r="BB390" s="2">
        <f>modelo_tese_H__2[[#This Row],[K]]-modelo_tese_H__2[[#This Row],[Coluna1]]</f>
        <v>2638039500114.9199</v>
      </c>
      <c r="BC390">
        <f>modelo_tese_H__2[[#This Row],[Coluna2]]/modelo_tese_H__2[[#This Row],[Coluna1]]</f>
        <v>-2.2527974657034506</v>
      </c>
      <c r="BD390" s="8">
        <f>modelo_tese_H__2[[#This Row],[D]]-modelo_tese_H__2[[#This Row],[Dw]]-modelo_tese_H__2[[#This Row],[Dr]]</f>
        <v>-7.080078125E-3</v>
      </c>
    </row>
    <row r="391" spans="1:56" x14ac:dyDescent="0.25">
      <c r="A391">
        <v>390</v>
      </c>
      <c r="B391">
        <v>390</v>
      </c>
      <c r="C391">
        <v>363190069112.73401</v>
      </c>
      <c r="D391">
        <v>169193656309.668</v>
      </c>
      <c r="E391">
        <v>150582354115.604</v>
      </c>
      <c r="F391">
        <v>18717879262.858799</v>
      </c>
      <c r="G391">
        <v>524939939372.78003</v>
      </c>
      <c r="H391">
        <v>117724918262.94501</v>
      </c>
      <c r="I391">
        <v>287025151641.40802</v>
      </c>
      <c r="J391">
        <v>210891030397.55099</v>
      </c>
      <c r="K391">
        <v>1326323017170.3301</v>
      </c>
      <c r="L391">
        <v>-117831495331.741</v>
      </c>
      <c r="M391">
        <v>1537214047567.8799</v>
      </c>
      <c r="N391">
        <v>-2237738431191.04</v>
      </c>
      <c r="O391">
        <v>265121181501.40399</v>
      </c>
      <c r="P391">
        <v>174979979790.927</v>
      </c>
      <c r="Q391">
        <v>273650311586.431</v>
      </c>
      <c r="R391">
        <v>136825155793.216</v>
      </c>
      <c r="S391">
        <v>136825155793.216</v>
      </c>
      <c r="T391">
        <v>128296025708.189</v>
      </c>
      <c r="U391">
        <v>52131108236.863297</v>
      </c>
      <c r="V391">
        <v>990253092314.83105</v>
      </c>
      <c r="W391">
        <v>174835249266.82999</v>
      </c>
      <c r="X391">
        <v>0.27453543237160399</v>
      </c>
      <c r="Y391">
        <v>1548645724319.5</v>
      </c>
      <c r="Z391">
        <v>720816441735.12402</v>
      </c>
      <c r="AA391">
        <v>0.79006344826812702</v>
      </c>
      <c r="AB391">
        <v>806062325874.15906</v>
      </c>
      <c r="AC391">
        <v>462005131432.33502</v>
      </c>
      <c r="AD391">
        <v>636840380699.16504</v>
      </c>
      <c r="AE391">
        <v>-1247485338876.21</v>
      </c>
      <c r="AF391">
        <v>-65700387094.877403</v>
      </c>
      <c r="AG391">
        <v>5.5594999999999999E-2</v>
      </c>
      <c r="AH391">
        <v>-3774952478758.9199</v>
      </c>
      <c r="AI391">
        <v>1711069534049.95</v>
      </c>
      <c r="AJ391">
        <v>0.06</v>
      </c>
      <c r="AK391">
        <v>0.05</v>
      </c>
      <c r="AL391">
        <v>8.8099999999999998E-2</v>
      </c>
      <c r="AM391">
        <v>3.8100000000000002E-2</v>
      </c>
      <c r="AN391">
        <v>0.89</v>
      </c>
      <c r="AO391">
        <v>0.66</v>
      </c>
      <c r="AP391">
        <v>0.42970000000000003</v>
      </c>
      <c r="AQ391">
        <v>0.57030000000000003</v>
      </c>
      <c r="AR391">
        <v>8.9999999999999993E-3</v>
      </c>
      <c r="AS391">
        <v>0.5</v>
      </c>
      <c r="AT391">
        <v>1.82</v>
      </c>
      <c r="AU391">
        <v>6.3545217126973294E-2</v>
      </c>
      <c r="AV391">
        <v>0.7893</v>
      </c>
      <c r="AW391">
        <v>3</v>
      </c>
      <c r="AX391">
        <v>0.05</v>
      </c>
      <c r="AY391">
        <v>1</v>
      </c>
      <c r="AZ391">
        <v>1</v>
      </c>
      <c r="BA391" s="2">
        <f>modelo_tese_H__2[[#This Row],[Vw]]+modelo_tese_H__2[[#This Row],[Vr]]+modelo_tese_H__2[[#This Row],[K]]-modelo_tese_H__2[[#This Row],[E]]</f>
        <v>-1236053662124.594</v>
      </c>
      <c r="BB391" s="2">
        <f>modelo_tese_H__2[[#This Row],[K]]-modelo_tese_H__2[[#This Row],[Coluna1]]</f>
        <v>2784699386444.0938</v>
      </c>
      <c r="BC391">
        <f>modelo_tese_H__2[[#This Row],[Coluna2]]/modelo_tese_H__2[[#This Row],[Coluna1]]</f>
        <v>-2.2528952194984853</v>
      </c>
      <c r="BD391" s="8">
        <f>modelo_tese_H__2[[#This Row],[D]]-modelo_tese_H__2[[#This Row],[Dw]]-modelo_tese_H__2[[#This Row],[Dr]]</f>
        <v>-9.765625E-4</v>
      </c>
    </row>
    <row r="392" spans="1:56" x14ac:dyDescent="0.25">
      <c r="A392">
        <v>391</v>
      </c>
      <c r="B392">
        <v>391</v>
      </c>
      <c r="C392">
        <v>383390854533.61102</v>
      </c>
      <c r="D392">
        <v>178609339384.25</v>
      </c>
      <c r="E392">
        <v>158962312051.98199</v>
      </c>
      <c r="F392">
        <v>19758419059.0937</v>
      </c>
      <c r="G392">
        <v>554130693233.85596</v>
      </c>
      <c r="H392">
        <v>124269835093.774</v>
      </c>
      <c r="I392">
        <v>302990566204.84998</v>
      </c>
      <c r="J392">
        <v>222614501198.49799</v>
      </c>
      <c r="K392">
        <v>1400059945309.9099</v>
      </c>
      <c r="L392">
        <v>-124381226820.60001</v>
      </c>
      <c r="M392">
        <v>1622674446508.4099</v>
      </c>
      <c r="N392">
        <v>-2362119658011.6401</v>
      </c>
      <c r="O392">
        <v>279863986481.74597</v>
      </c>
      <c r="P392">
        <v>184710231077.952</v>
      </c>
      <c r="Q392">
        <v>288870857782.03101</v>
      </c>
      <c r="R392">
        <v>144435428891.01599</v>
      </c>
      <c r="S392">
        <v>144435428891.01599</v>
      </c>
      <c r="T392">
        <v>135428557590.73</v>
      </c>
      <c r="U392">
        <v>55028269261.968803</v>
      </c>
      <c r="V392">
        <v>1045281361576.8</v>
      </c>
      <c r="W392">
        <v>184560915032.84</v>
      </c>
      <c r="X392">
        <v>0.27453729946515198</v>
      </c>
      <c r="Y392">
        <v>1634797610547.7</v>
      </c>
      <c r="Z392">
        <v>760941927876.948</v>
      </c>
      <c r="AA392">
        <v>0.79005565779229403</v>
      </c>
      <c r="AB392">
        <v>850904244131.59595</v>
      </c>
      <c r="AC392">
        <v>487700797282.802</v>
      </c>
      <c r="AD392">
        <v>672261712315.64197</v>
      </c>
      <c r="AE392">
        <v>-1316838296434.8501</v>
      </c>
      <c r="AF392">
        <v>-69352957558.631195</v>
      </c>
      <c r="AG392">
        <v>5.5594999999999999E-2</v>
      </c>
      <c r="AH392">
        <v>-3984794104520.0498</v>
      </c>
      <c r="AI392">
        <v>1806223289453.75</v>
      </c>
      <c r="AJ392">
        <v>0.06</v>
      </c>
      <c r="AK392">
        <v>0.05</v>
      </c>
      <c r="AL392">
        <v>8.8099999999999998E-2</v>
      </c>
      <c r="AM392">
        <v>3.8100000000000002E-2</v>
      </c>
      <c r="AN392">
        <v>0.89</v>
      </c>
      <c r="AO392">
        <v>0.66</v>
      </c>
      <c r="AP392">
        <v>0.42970000000000003</v>
      </c>
      <c r="AQ392">
        <v>0.57030000000000003</v>
      </c>
      <c r="AR392">
        <v>8.9999999999999993E-3</v>
      </c>
      <c r="AS392">
        <v>0.5</v>
      </c>
      <c r="AT392">
        <v>1.82</v>
      </c>
      <c r="AU392">
        <v>6.3545217126973294E-2</v>
      </c>
      <c r="AV392">
        <v>0.7893</v>
      </c>
      <c r="AW392">
        <v>3</v>
      </c>
      <c r="AX392">
        <v>0.05</v>
      </c>
      <c r="AY392">
        <v>1</v>
      </c>
      <c r="AZ392">
        <v>1</v>
      </c>
      <c r="BA392" s="2">
        <f>modelo_tese_H__2[[#This Row],[Vw]]+modelo_tese_H__2[[#This Row],[Vr]]+modelo_tese_H__2[[#This Row],[K]]-modelo_tese_H__2[[#This Row],[E]]</f>
        <v>-1304715132395.5479</v>
      </c>
      <c r="BB392" s="2">
        <f>modelo_tese_H__2[[#This Row],[K]]-modelo_tese_H__2[[#This Row],[Coluna1]]</f>
        <v>2939512742943.248</v>
      </c>
      <c r="BC392">
        <f>modelo_tese_H__2[[#This Row],[Coluna2]]/modelo_tese_H__2[[#This Row],[Coluna1]]</f>
        <v>-2.2529919903251967</v>
      </c>
      <c r="BD392" s="8">
        <f>modelo_tese_H__2[[#This Row],[D]]-modelo_tese_H__2[[#This Row],[Dw]]-modelo_tese_H__2[[#This Row],[Dr]]</f>
        <v>-1.0009765625E-2</v>
      </c>
    </row>
    <row r="393" spans="1:56" x14ac:dyDescent="0.25">
      <c r="A393">
        <v>392</v>
      </c>
      <c r="B393">
        <v>392</v>
      </c>
      <c r="C393">
        <v>404715117027.88702</v>
      </c>
      <c r="D393">
        <v>188548907523.599</v>
      </c>
      <c r="E393">
        <v>167808527696.00299</v>
      </c>
      <c r="F393">
        <v>20856804043.1819</v>
      </c>
      <c r="G393">
        <v>584944608559.64099</v>
      </c>
      <c r="H393">
        <v>131178616575.812</v>
      </c>
      <c r="I393">
        <v>319843948314.99701</v>
      </c>
      <c r="J393">
        <v>234989692746.017</v>
      </c>
      <c r="K393">
        <v>1477896277969.4199</v>
      </c>
      <c r="L393">
        <v>-131295040791.39799</v>
      </c>
      <c r="M393">
        <v>1712885970715.4299</v>
      </c>
      <c r="N393">
        <v>-2493414698803.04</v>
      </c>
      <c r="O393">
        <v>295426569979.617</v>
      </c>
      <c r="P393">
        <v>194981536186.547</v>
      </c>
      <c r="Q393">
        <v>304937902484.45203</v>
      </c>
      <c r="R393">
        <v>152468951242.22601</v>
      </c>
      <c r="S393">
        <v>152468951242.22601</v>
      </c>
      <c r="T393">
        <v>142957618737.39099</v>
      </c>
      <c r="U393">
        <v>58086450024.501404</v>
      </c>
      <c r="V393">
        <v>1103367811601.3</v>
      </c>
      <c r="W393">
        <v>194827535010.79401</v>
      </c>
      <c r="X393">
        <v>0.27453914751860098</v>
      </c>
      <c r="Y393">
        <v>1725741576437.5901</v>
      </c>
      <c r="Z393">
        <v>803300511645.51697</v>
      </c>
      <c r="AA393">
        <v>0.79004794671784795</v>
      </c>
      <c r="AB393">
        <v>898240445355.88</v>
      </c>
      <c r="AC393">
        <v>514825484501.54401</v>
      </c>
      <c r="AD393">
        <v>709653019512.33899</v>
      </c>
      <c r="AE393">
        <v>-1390046887201.74</v>
      </c>
      <c r="AF393">
        <v>-73208590766.896698</v>
      </c>
      <c r="AG393">
        <v>5.5594999999999999E-2</v>
      </c>
      <c r="AH393">
        <v>-4206300669518.4702</v>
      </c>
      <c r="AI393">
        <v>1906668323246.8201</v>
      </c>
      <c r="AJ393">
        <v>0.06</v>
      </c>
      <c r="AK393">
        <v>0.05</v>
      </c>
      <c r="AL393">
        <v>8.8099999999999998E-2</v>
      </c>
      <c r="AM393">
        <v>3.8100000000000002E-2</v>
      </c>
      <c r="AN393">
        <v>0.89</v>
      </c>
      <c r="AO393">
        <v>0.66</v>
      </c>
      <c r="AP393">
        <v>0.42970000000000003</v>
      </c>
      <c r="AQ393">
        <v>0.57030000000000003</v>
      </c>
      <c r="AR393">
        <v>8.9999999999999993E-3</v>
      </c>
      <c r="AS393">
        <v>0.5</v>
      </c>
      <c r="AT393">
        <v>1.82</v>
      </c>
      <c r="AU393">
        <v>6.3545217126973294E-2</v>
      </c>
      <c r="AV393">
        <v>0.7893</v>
      </c>
      <c r="AW393">
        <v>3</v>
      </c>
      <c r="AX393">
        <v>0.05</v>
      </c>
      <c r="AY393">
        <v>1</v>
      </c>
      <c r="AZ393">
        <v>1</v>
      </c>
      <c r="BA393" s="2">
        <f>modelo_tese_H__2[[#This Row],[Vw]]+modelo_tese_H__2[[#This Row],[Vr]]+modelo_tese_H__2[[#This Row],[K]]-modelo_tese_H__2[[#This Row],[E]]</f>
        <v>-1377191281479.5771</v>
      </c>
      <c r="BB393" s="2">
        <f>modelo_tese_H__2[[#This Row],[K]]-modelo_tese_H__2[[#This Row],[Coluna1]]</f>
        <v>3102932857917.167</v>
      </c>
      <c r="BC393">
        <f>modelo_tese_H__2[[#This Row],[Coluna2]]/modelo_tese_H__2[[#This Row],[Coluna1]]</f>
        <v>-2.2530877879095703</v>
      </c>
      <c r="BD393" s="8">
        <f>modelo_tese_H__2[[#This Row],[D]]-modelo_tese_H__2[[#This Row],[Dw]]-modelo_tese_H__2[[#This Row],[Dr]]</f>
        <v>0</v>
      </c>
    </row>
    <row r="394" spans="1:56" x14ac:dyDescent="0.25">
      <c r="A394">
        <v>393</v>
      </c>
      <c r="B394">
        <v>393</v>
      </c>
      <c r="C394">
        <v>427225334895.55603</v>
      </c>
      <c r="D394">
        <v>199041504968.29599</v>
      </c>
      <c r="E394">
        <v>177146939421.78299</v>
      </c>
      <c r="F394">
        <v>22016249955.832401</v>
      </c>
      <c r="G394">
        <v>617471938538.43201</v>
      </c>
      <c r="H394">
        <v>138471491764.34399</v>
      </c>
      <c r="I394">
        <v>337634681141.96002</v>
      </c>
      <c r="J394">
        <v>248052835408.22601</v>
      </c>
      <c r="K394">
        <v>1560059921543.1201</v>
      </c>
      <c r="L394">
        <v>-138593176173.664</v>
      </c>
      <c r="M394">
        <v>1808112756951.3501</v>
      </c>
      <c r="N394">
        <v>-2632007874976.71</v>
      </c>
      <c r="O394">
        <v>311854514413.349</v>
      </c>
      <c r="P394">
        <v>205823979512.811</v>
      </c>
      <c r="Q394">
        <v>321898520786.64001</v>
      </c>
      <c r="R394">
        <v>160949260393.32001</v>
      </c>
      <c r="S394">
        <v>160949260393.32001</v>
      </c>
      <c r="T394">
        <v>150905254020.03</v>
      </c>
      <c r="U394">
        <v>61314600266.433296</v>
      </c>
      <c r="V394">
        <v>1164682411867.73</v>
      </c>
      <c r="W394">
        <v>205665195027.42499</v>
      </c>
      <c r="X394">
        <v>0.274540976725758</v>
      </c>
      <c r="Y394">
        <v>1821744148285.24</v>
      </c>
      <c r="Z394">
        <v>848016446279.62195</v>
      </c>
      <c r="AA394">
        <v>0.79004031423757404</v>
      </c>
      <c r="AB394">
        <v>948209657383.28894</v>
      </c>
      <c r="AC394">
        <v>543458660654.771</v>
      </c>
      <c r="AD394">
        <v>749123855682.19604</v>
      </c>
      <c r="AE394">
        <v>-1467325463108.97</v>
      </c>
      <c r="AF394">
        <v>-77278575907.230896</v>
      </c>
      <c r="AG394">
        <v>5.5594999999999999E-2</v>
      </c>
      <c r="AH394">
        <v>-4440120631928.0596</v>
      </c>
      <c r="AI394">
        <v>2012698858147.3601</v>
      </c>
      <c r="AJ394">
        <v>0.06</v>
      </c>
      <c r="AK394">
        <v>0.05</v>
      </c>
      <c r="AL394">
        <v>8.8099999999999998E-2</v>
      </c>
      <c r="AM394">
        <v>3.8100000000000002E-2</v>
      </c>
      <c r="AN394">
        <v>0.89</v>
      </c>
      <c r="AO394">
        <v>0.66</v>
      </c>
      <c r="AP394">
        <v>0.42970000000000003</v>
      </c>
      <c r="AQ394">
        <v>0.57030000000000003</v>
      </c>
      <c r="AR394">
        <v>8.9999999999999993E-3</v>
      </c>
      <c r="AS394">
        <v>0.5</v>
      </c>
      <c r="AT394">
        <v>1.82</v>
      </c>
      <c r="AU394">
        <v>6.3545217126973294E-2</v>
      </c>
      <c r="AV394">
        <v>0.7893</v>
      </c>
      <c r="AW394">
        <v>3</v>
      </c>
      <c r="AX394">
        <v>0.05</v>
      </c>
      <c r="AY394">
        <v>1</v>
      </c>
      <c r="AZ394">
        <v>1</v>
      </c>
      <c r="BA394" s="2">
        <f>modelo_tese_H__2[[#This Row],[Vw]]+modelo_tese_H__2[[#This Row],[Vr]]+modelo_tese_H__2[[#This Row],[K]]-modelo_tese_H__2[[#This Row],[E]]</f>
        <v>-1453694071775.0811</v>
      </c>
      <c r="BB394" s="2">
        <f>modelo_tese_H__2[[#This Row],[K]]-modelo_tese_H__2[[#This Row],[Coluna1]]</f>
        <v>3275438220060.3213</v>
      </c>
      <c r="BC394">
        <f>modelo_tese_H__2[[#This Row],[Coluna2]]/modelo_tese_H__2[[#This Row],[Coluna1]]</f>
        <v>-2.2531826218846303</v>
      </c>
      <c r="BD394" s="8">
        <f>modelo_tese_H__2[[#This Row],[D]]-modelo_tese_H__2[[#This Row],[Dw]]-modelo_tese_H__2[[#This Row],[Dr]]</f>
        <v>1.0009765625E-2</v>
      </c>
    </row>
    <row r="395" spans="1:56" x14ac:dyDescent="0.25">
      <c r="A395">
        <v>394</v>
      </c>
      <c r="B395">
        <v>394</v>
      </c>
      <c r="C395">
        <v>450987460751.52698</v>
      </c>
      <c r="D395">
        <v>210117897078.38501</v>
      </c>
      <c r="E395">
        <v>187004928399.763</v>
      </c>
      <c r="F395">
        <v>23240151309.570499</v>
      </c>
      <c r="G395">
        <v>651807954591.17395</v>
      </c>
      <c r="H395">
        <v>146169814348.983</v>
      </c>
      <c r="I395">
        <v>356414894058.31702</v>
      </c>
      <c r="J395">
        <v>261842173688.74301</v>
      </c>
      <c r="K395">
        <v>1646791452881.3101</v>
      </c>
      <c r="L395">
        <v>-146296996979.931</v>
      </c>
      <c r="M395">
        <v>1908633626570.0601</v>
      </c>
      <c r="N395">
        <v>-2778304871956.6401</v>
      </c>
      <c r="O395">
        <v>329195936662.20898</v>
      </c>
      <c r="P395">
        <v>217269318197.05801</v>
      </c>
      <c r="Q395">
        <v>339802405549.59003</v>
      </c>
      <c r="R395">
        <v>169901202774.79501</v>
      </c>
      <c r="S395">
        <v>169901202774.79501</v>
      </c>
      <c r="T395">
        <v>159294733887.414</v>
      </c>
      <c r="U395">
        <v>64722167194.204002</v>
      </c>
      <c r="V395">
        <v>1229404579061.9399</v>
      </c>
      <c r="W395">
        <v>217105654045.742</v>
      </c>
      <c r="X395">
        <v>0.27454278727846698</v>
      </c>
      <c r="Y395">
        <v>1923086674878.3999</v>
      </c>
      <c r="Z395">
        <v>895220897550.56897</v>
      </c>
      <c r="AA395">
        <v>0.79003275955229402</v>
      </c>
      <c r="AB395">
        <v>1000958323233.65</v>
      </c>
      <c r="AC395">
        <v>573684212255.375</v>
      </c>
      <c r="AD395">
        <v>790789866301.11694</v>
      </c>
      <c r="AE395">
        <v>-1548900292894.7</v>
      </c>
      <c r="AF395">
        <v>-81574829785.727295</v>
      </c>
      <c r="AG395">
        <v>5.5594999999999999E-2</v>
      </c>
      <c r="AH395">
        <v>-4686938498526.7002</v>
      </c>
      <c r="AI395">
        <v>2124625476612.51</v>
      </c>
      <c r="AJ395">
        <v>0.06</v>
      </c>
      <c r="AK395">
        <v>0.05</v>
      </c>
      <c r="AL395">
        <v>8.8099999999999998E-2</v>
      </c>
      <c r="AM395">
        <v>3.8100000000000002E-2</v>
      </c>
      <c r="AN395">
        <v>0.89</v>
      </c>
      <c r="AO395">
        <v>0.66</v>
      </c>
      <c r="AP395">
        <v>0.42970000000000003</v>
      </c>
      <c r="AQ395">
        <v>0.57030000000000003</v>
      </c>
      <c r="AR395">
        <v>8.9999999999999993E-3</v>
      </c>
      <c r="AS395">
        <v>0.5</v>
      </c>
      <c r="AT395">
        <v>1.82</v>
      </c>
      <c r="AU395">
        <v>6.3545217126973294E-2</v>
      </c>
      <c r="AV395">
        <v>0.7893</v>
      </c>
      <c r="AW395">
        <v>3</v>
      </c>
      <c r="AX395">
        <v>0.05</v>
      </c>
      <c r="AY395">
        <v>1</v>
      </c>
      <c r="AZ395">
        <v>1</v>
      </c>
      <c r="BA395" s="2">
        <f>modelo_tese_H__2[[#This Row],[Vw]]+modelo_tese_H__2[[#This Row],[Vr]]+modelo_tese_H__2[[#This Row],[K]]-modelo_tese_H__2[[#This Row],[E]]</f>
        <v>-1534447244586.3594</v>
      </c>
      <c r="BB395" s="2">
        <f>modelo_tese_H__2[[#This Row],[K]]-modelo_tese_H__2[[#This Row],[Coluna1]]</f>
        <v>3457533919464.7593</v>
      </c>
      <c r="BC395">
        <f>modelo_tese_H__2[[#This Row],[Coluna2]]/modelo_tese_H__2[[#This Row],[Coluna1]]</f>
        <v>-2.2532765017912402</v>
      </c>
      <c r="BD395" s="8">
        <f>modelo_tese_H__2[[#This Row],[D]]-modelo_tese_H__2[[#This Row],[Dw]]-modelo_tese_H__2[[#This Row],[Dr]]</f>
        <v>0</v>
      </c>
    </row>
    <row r="396" spans="1:56" x14ac:dyDescent="0.25">
      <c r="A396">
        <v>395</v>
      </c>
      <c r="B396">
        <v>395</v>
      </c>
      <c r="C396">
        <v>476071114717.521</v>
      </c>
      <c r="D396">
        <v>221810560497.40302</v>
      </c>
      <c r="E396">
        <v>197411398842.68799</v>
      </c>
      <c r="F396">
        <v>24532091327.23</v>
      </c>
      <c r="G396">
        <v>688053225387.28894</v>
      </c>
      <c r="H396">
        <v>154296125177.715</v>
      </c>
      <c r="I396">
        <v>376239615347.633</v>
      </c>
      <c r="J396">
        <v>276398078198.43201</v>
      </c>
      <c r="K396">
        <v>1738344823704.25</v>
      </c>
      <c r="L396">
        <v>-154429054850.23099</v>
      </c>
      <c r="M396">
        <v>2014742901902.6799</v>
      </c>
      <c r="N396">
        <v>-2932733926806.8701</v>
      </c>
      <c r="O396">
        <v>347501628983.479</v>
      </c>
      <c r="P396">
        <v>229351075129.09601</v>
      </c>
      <c r="Q396">
        <v>358702012965.315</v>
      </c>
      <c r="R396">
        <v>179351006482.65701</v>
      </c>
      <c r="S396">
        <v>179351006482.65701</v>
      </c>
      <c r="T396">
        <v>168150622500.82199</v>
      </c>
      <c r="U396">
        <v>68319123130.934196</v>
      </c>
      <c r="V396">
        <v>1297723702192.8701</v>
      </c>
      <c r="W396">
        <v>229182437206.10599</v>
      </c>
      <c r="X396">
        <v>0.27454457936662402</v>
      </c>
      <c r="Y396">
        <v>2030066151775.3701</v>
      </c>
      <c r="Z396">
        <v>945052328274.01794</v>
      </c>
      <c r="AA396">
        <v>0.79002528187078502</v>
      </c>
      <c r="AB396">
        <v>1056641030152.97</v>
      </c>
      <c r="AC396">
        <v>605590690476.72998</v>
      </c>
      <c r="AD396">
        <v>834773127682.83606</v>
      </c>
      <c r="AE396">
        <v>-1635010224614</v>
      </c>
      <c r="AF396">
        <v>-86109931719.296402</v>
      </c>
      <c r="AG396">
        <v>5.5594999999999999E-2</v>
      </c>
      <c r="AH396">
        <v>-4947476828709.5498</v>
      </c>
      <c r="AI396">
        <v>2242776030466.8901</v>
      </c>
      <c r="AJ396">
        <v>0.06</v>
      </c>
      <c r="AK396">
        <v>0.05</v>
      </c>
      <c r="AL396">
        <v>8.8099999999999998E-2</v>
      </c>
      <c r="AM396">
        <v>3.8100000000000002E-2</v>
      </c>
      <c r="AN396">
        <v>0.89</v>
      </c>
      <c r="AO396">
        <v>0.66</v>
      </c>
      <c r="AP396">
        <v>0.42970000000000003</v>
      </c>
      <c r="AQ396">
        <v>0.57030000000000003</v>
      </c>
      <c r="AR396">
        <v>8.9999999999999993E-3</v>
      </c>
      <c r="AS396">
        <v>0.5</v>
      </c>
      <c r="AT396">
        <v>1.82</v>
      </c>
      <c r="AU396">
        <v>6.3545217126973294E-2</v>
      </c>
      <c r="AV396">
        <v>0.7893</v>
      </c>
      <c r="AW396">
        <v>3</v>
      </c>
      <c r="AX396">
        <v>0.05</v>
      </c>
      <c r="AY396">
        <v>1</v>
      </c>
      <c r="AZ396">
        <v>1</v>
      </c>
      <c r="BA396" s="2">
        <f>modelo_tese_H__2[[#This Row],[Vw]]+modelo_tese_H__2[[#This Row],[Vr]]+modelo_tese_H__2[[#This Row],[K]]-modelo_tese_H__2[[#This Row],[E]]</f>
        <v>-1619686974741.3076</v>
      </c>
      <c r="BB396" s="2">
        <f>modelo_tese_H__2[[#This Row],[K]]-modelo_tese_H__2[[#This Row],[Coluna1]]</f>
        <v>3649753126516.6777</v>
      </c>
      <c r="BC396">
        <f>modelo_tese_H__2[[#This Row],[Coluna2]]/modelo_tese_H__2[[#This Row],[Coluna1]]</f>
        <v>-2.2533694370787956</v>
      </c>
      <c r="BD396" s="8">
        <f>modelo_tese_H__2[[#This Row],[D]]-modelo_tese_H__2[[#This Row],[Dw]]-modelo_tese_H__2[[#This Row],[Dr]]</f>
        <v>0</v>
      </c>
    </row>
    <row r="397" spans="1:56" x14ac:dyDescent="0.25">
      <c r="A397">
        <v>396</v>
      </c>
      <c r="B397">
        <v>396</v>
      </c>
      <c r="C397">
        <v>502549788356.35303</v>
      </c>
      <c r="D397">
        <v>234153778330.95099</v>
      </c>
      <c r="E397">
        <v>208396862714.547</v>
      </c>
      <c r="F397">
        <v>25895852432.9603</v>
      </c>
      <c r="G397">
        <v>726313911373.75305</v>
      </c>
      <c r="H397">
        <v>162874218256.97</v>
      </c>
      <c r="I397">
        <v>397166933404.47699</v>
      </c>
      <c r="J397">
        <v>291763163852.03198</v>
      </c>
      <c r="K397">
        <v>1834988104178.0901</v>
      </c>
      <c r="L397">
        <v>-163013155073.526</v>
      </c>
      <c r="M397">
        <v>2126751268030.1201</v>
      </c>
      <c r="N397">
        <v>-3095747081880.3901</v>
      </c>
      <c r="O397">
        <v>366825207764.52197</v>
      </c>
      <c r="P397">
        <v>242104637124.58401</v>
      </c>
      <c r="Q397">
        <v>378652716213.79102</v>
      </c>
      <c r="R397">
        <v>189326358106.89499</v>
      </c>
      <c r="S397">
        <v>189326358106.89499</v>
      </c>
      <c r="T397">
        <v>177498849657.62601</v>
      </c>
      <c r="U397">
        <v>72115994705.750595</v>
      </c>
      <c r="V397">
        <v>1369839696898.6201</v>
      </c>
      <c r="W397">
        <v>241930934041.082</v>
      </c>
      <c r="X397">
        <v>0.27454635317820097</v>
      </c>
      <c r="Y397">
        <v>2142996091419.77</v>
      </c>
      <c r="Z397">
        <v>997656904208.20496</v>
      </c>
      <c r="AA397">
        <v>0.79001788040999799</v>
      </c>
      <c r="AB397">
        <v>1115420962513.9399</v>
      </c>
      <c r="AC397">
        <v>639271570529.06104</v>
      </c>
      <c r="AD397">
        <v>881202504570.14294</v>
      </c>
      <c r="AE397">
        <v>-1725907384981.77</v>
      </c>
      <c r="AF397">
        <v>-90897160367.774902</v>
      </c>
      <c r="AG397">
        <v>5.5594999999999999E-2</v>
      </c>
      <c r="AH397">
        <v>-5222498349910.5195</v>
      </c>
      <c r="AI397">
        <v>2367496601106.8301</v>
      </c>
      <c r="AJ397">
        <v>0.06</v>
      </c>
      <c r="AK397">
        <v>0.05</v>
      </c>
      <c r="AL397">
        <v>8.8099999999999998E-2</v>
      </c>
      <c r="AM397">
        <v>3.8100000000000002E-2</v>
      </c>
      <c r="AN397">
        <v>0.89</v>
      </c>
      <c r="AO397">
        <v>0.66</v>
      </c>
      <c r="AP397">
        <v>0.42970000000000003</v>
      </c>
      <c r="AQ397">
        <v>0.57030000000000003</v>
      </c>
      <c r="AR397">
        <v>8.9999999999999993E-3</v>
      </c>
      <c r="AS397">
        <v>0.5</v>
      </c>
      <c r="AT397">
        <v>1.82</v>
      </c>
      <c r="AU397">
        <v>6.3545217126973294E-2</v>
      </c>
      <c r="AV397">
        <v>0.7893</v>
      </c>
      <c r="AW397">
        <v>3</v>
      </c>
      <c r="AX397">
        <v>0.05</v>
      </c>
      <c r="AY397">
        <v>1</v>
      </c>
      <c r="AZ397">
        <v>1</v>
      </c>
      <c r="BA397" s="2">
        <f>modelo_tese_H__2[[#This Row],[Vw]]+modelo_tese_H__2[[#This Row],[Vr]]+modelo_tese_H__2[[#This Row],[K]]-modelo_tese_H__2[[#This Row],[E]]</f>
        <v>-1709662561592.1245</v>
      </c>
      <c r="BB397" s="2">
        <f>modelo_tese_H__2[[#This Row],[K]]-modelo_tese_H__2[[#This Row],[Coluna1]]</f>
        <v>3852658653011.8945</v>
      </c>
      <c r="BC397">
        <f>modelo_tese_H__2[[#This Row],[Coluna2]]/modelo_tese_H__2[[#This Row],[Coluna1]]</f>
        <v>-2.2534614371061057</v>
      </c>
      <c r="BD397" s="8">
        <f>modelo_tese_H__2[[#This Row],[D]]-modelo_tese_H__2[[#This Row],[Dw]]-modelo_tese_H__2[[#This Row],[Dr]]</f>
        <v>0</v>
      </c>
    </row>
    <row r="398" spans="1:56" x14ac:dyDescent="0.25">
      <c r="A398">
        <v>397</v>
      </c>
      <c r="B398">
        <v>397</v>
      </c>
      <c r="C398">
        <v>530501059945.44702</v>
      </c>
      <c r="D398">
        <v>247183740618.28699</v>
      </c>
      <c r="E398">
        <v>219993529150.27499</v>
      </c>
      <c r="F398">
        <v>27335427326.466999</v>
      </c>
      <c r="G398">
        <v>766702075679.61499</v>
      </c>
      <c r="H398">
        <v>171929210420.966</v>
      </c>
      <c r="I398">
        <v>419258166897.70898</v>
      </c>
      <c r="J398">
        <v>307982414635.737</v>
      </c>
      <c r="K398">
        <v>1937004267829.8701</v>
      </c>
      <c r="L398">
        <v>-172074426279.422</v>
      </c>
      <c r="M398">
        <v>2244986682465.6099</v>
      </c>
      <c r="N398">
        <v>-3267821508159.8101</v>
      </c>
      <c r="O398">
        <v>387223270545.26001</v>
      </c>
      <c r="P398">
        <v>255567358559.87201</v>
      </c>
      <c r="Q398">
        <v>399712967663.61298</v>
      </c>
      <c r="R398">
        <v>199856483831.806</v>
      </c>
      <c r="S398">
        <v>199856483831.806</v>
      </c>
      <c r="T398">
        <v>187366786713.45401</v>
      </c>
      <c r="U398">
        <v>76123893665.715805</v>
      </c>
      <c r="V398">
        <v>1445963590564.3401</v>
      </c>
      <c r="W398">
        <v>255388502151.479</v>
      </c>
      <c r="X398">
        <v>0.27454810889926101</v>
      </c>
      <c r="Y398">
        <v>2262207441639.7202</v>
      </c>
      <c r="Z398">
        <v>1053188922527.88</v>
      </c>
      <c r="AA398">
        <v>0.79001055439483103</v>
      </c>
      <c r="AB398">
        <v>1177470379900.97</v>
      </c>
      <c r="AC398">
        <v>674825525457.57996</v>
      </c>
      <c r="AD398">
        <v>930214027609.05896</v>
      </c>
      <c r="AE398">
        <v>-1821857917595.48</v>
      </c>
      <c r="AF398">
        <v>-95950532613.705795</v>
      </c>
      <c r="AG398">
        <v>5.5594999999999999E-2</v>
      </c>
      <c r="AH398">
        <v>-5512808190625.4199</v>
      </c>
      <c r="AI398">
        <v>2499152513092.2202</v>
      </c>
      <c r="AJ398">
        <v>0.06</v>
      </c>
      <c r="AK398">
        <v>0.05</v>
      </c>
      <c r="AL398">
        <v>8.8099999999999998E-2</v>
      </c>
      <c r="AM398">
        <v>3.8100000000000002E-2</v>
      </c>
      <c r="AN398">
        <v>0.89</v>
      </c>
      <c r="AO398">
        <v>0.66</v>
      </c>
      <c r="AP398">
        <v>0.42970000000000003</v>
      </c>
      <c r="AQ398">
        <v>0.57030000000000003</v>
      </c>
      <c r="AR398">
        <v>8.9999999999999993E-3</v>
      </c>
      <c r="AS398">
        <v>0.5</v>
      </c>
      <c r="AT398">
        <v>1.82</v>
      </c>
      <c r="AU398">
        <v>6.3545217126973294E-2</v>
      </c>
      <c r="AV398">
        <v>0.7893</v>
      </c>
      <c r="AW398">
        <v>3</v>
      </c>
      <c r="AX398">
        <v>0.05</v>
      </c>
      <c r="AY398">
        <v>1</v>
      </c>
      <c r="AZ398">
        <v>1</v>
      </c>
      <c r="BA398" s="2">
        <f>modelo_tese_H__2[[#This Row],[Vw]]+modelo_tese_H__2[[#This Row],[Vr]]+modelo_tese_H__2[[#This Row],[K]]-modelo_tese_H__2[[#This Row],[E]]</f>
        <v>-1804637158421.3594</v>
      </c>
      <c r="BB398" s="2">
        <f>modelo_tese_H__2[[#This Row],[K]]-modelo_tese_H__2[[#This Row],[Coluna1]]</f>
        <v>4066844600061.0796</v>
      </c>
      <c r="BC398">
        <f>modelo_tese_H__2[[#This Row],[Coluna2]]/modelo_tese_H__2[[#This Row],[Coluna1]]</f>
        <v>-2.2535525111422561</v>
      </c>
      <c r="BD398" s="8">
        <f>modelo_tese_H__2[[#This Row],[D]]-modelo_tese_H__2[[#This Row],[Dw]]-modelo_tese_H__2[[#This Row],[Dr]]</f>
        <v>-1.0009765625E-2</v>
      </c>
    </row>
    <row r="399" spans="1:56" x14ac:dyDescent="0.25">
      <c r="A399">
        <v>398</v>
      </c>
      <c r="B399">
        <v>398</v>
      </c>
      <c r="C399">
        <v>560006821720.31006</v>
      </c>
      <c r="D399">
        <v>260938650391.45499</v>
      </c>
      <c r="E399">
        <v>232235398848.39499</v>
      </c>
      <c r="F399">
        <v>28855030672.909302</v>
      </c>
      <c r="G399">
        <v>809336012306.58105</v>
      </c>
      <c r="H399">
        <v>181487614874.32001</v>
      </c>
      <c r="I399">
        <v>442578044395.62402</v>
      </c>
      <c r="J399">
        <v>325103315311.02399</v>
      </c>
      <c r="K399">
        <v>2044692020099.8701</v>
      </c>
      <c r="L399">
        <v>-181639394004.16901</v>
      </c>
      <c r="M399">
        <v>2369795335410.8999</v>
      </c>
      <c r="N399">
        <v>-3449460902163.98</v>
      </c>
      <c r="O399">
        <v>408755561771</v>
      </c>
      <c r="P399">
        <v>269778670768.85999</v>
      </c>
      <c r="Q399">
        <v>421944470091.56097</v>
      </c>
      <c r="R399">
        <v>210972235045.78</v>
      </c>
      <c r="S399">
        <v>210972235045.78</v>
      </c>
      <c r="T399">
        <v>197783326725.22</v>
      </c>
      <c r="U399">
        <v>80354549400.533905</v>
      </c>
      <c r="V399">
        <v>1526318139964.8701</v>
      </c>
      <c r="W399">
        <v>269594576647.38699</v>
      </c>
      <c r="X399">
        <v>0.27454984671398203</v>
      </c>
      <c r="Y399">
        <v>2388049555221.8599</v>
      </c>
      <c r="Z399">
        <v>1111811264129.48</v>
      </c>
      <c r="AA399">
        <v>0.79000330305792699</v>
      </c>
      <c r="AB399">
        <v>1242971121780.0701</v>
      </c>
      <c r="AC399">
        <v>712356715164.48401</v>
      </c>
      <c r="AD399">
        <v>981951291811.87097</v>
      </c>
      <c r="AE399">
        <v>-1923142762199.1101</v>
      </c>
      <c r="AF399">
        <v>-101284844603.63499</v>
      </c>
      <c r="AG399">
        <v>5.5594999999999999E-2</v>
      </c>
      <c r="AH399">
        <v>-5819256237574.8799</v>
      </c>
      <c r="AI399">
        <v>2638129404094.3599</v>
      </c>
      <c r="AJ399">
        <v>0.06</v>
      </c>
      <c r="AK399">
        <v>0.05</v>
      </c>
      <c r="AL399">
        <v>8.8099999999999998E-2</v>
      </c>
      <c r="AM399">
        <v>3.8100000000000002E-2</v>
      </c>
      <c r="AN399">
        <v>0.89</v>
      </c>
      <c r="AO399">
        <v>0.66</v>
      </c>
      <c r="AP399">
        <v>0.42970000000000003</v>
      </c>
      <c r="AQ399">
        <v>0.57030000000000003</v>
      </c>
      <c r="AR399">
        <v>8.9999999999999993E-3</v>
      </c>
      <c r="AS399">
        <v>0.5</v>
      </c>
      <c r="AT399">
        <v>1.82</v>
      </c>
      <c r="AU399">
        <v>6.3545217126973294E-2</v>
      </c>
      <c r="AV399">
        <v>0.7893</v>
      </c>
      <c r="AW399">
        <v>3</v>
      </c>
      <c r="AX399">
        <v>0.05</v>
      </c>
      <c r="AY399">
        <v>1</v>
      </c>
      <c r="AZ399">
        <v>1</v>
      </c>
      <c r="BA399" s="2">
        <f>modelo_tese_H__2[[#This Row],[Vw]]+modelo_tese_H__2[[#This Row],[Vr]]+modelo_tese_H__2[[#This Row],[K]]-modelo_tese_H__2[[#This Row],[E]]</f>
        <v>-1904888542388.1401</v>
      </c>
      <c r="BB399" s="2">
        <f>modelo_tese_H__2[[#This Row],[K]]-modelo_tese_H__2[[#This Row],[Coluna1]]</f>
        <v>4292938097610</v>
      </c>
      <c r="BC399">
        <f>modelo_tese_H__2[[#This Row],[Coluna2]]/modelo_tese_H__2[[#This Row],[Coluna1]]</f>
        <v>-2.2536426683673501</v>
      </c>
      <c r="BD399" s="8">
        <f>modelo_tese_H__2[[#This Row],[D]]-modelo_tese_H__2[[#This Row],[Dw]]-modelo_tese_H__2[[#This Row],[Dr]]</f>
        <v>0</v>
      </c>
    </row>
    <row r="400" spans="1:56" x14ac:dyDescent="0.25">
      <c r="A400">
        <v>399</v>
      </c>
      <c r="B400">
        <v>399</v>
      </c>
      <c r="C400">
        <v>591153519753.67798</v>
      </c>
      <c r="D400">
        <v>275458835632.89099</v>
      </c>
      <c r="E400">
        <v>245158363713.27301</v>
      </c>
      <c r="F400">
        <v>30459111442.679401</v>
      </c>
      <c r="G400">
        <v>854340592566.86096</v>
      </c>
      <c r="H400">
        <v>191577418823.258</v>
      </c>
      <c r="I400">
        <v>467194893979.21002</v>
      </c>
      <c r="J400">
        <v>343175990440.354</v>
      </c>
      <c r="K400">
        <v>2158366672957.3201</v>
      </c>
      <c r="L400">
        <v>-191736058346.319</v>
      </c>
      <c r="M400">
        <v>2501542663397.6802</v>
      </c>
      <c r="N400">
        <v>-3641196960510.2998</v>
      </c>
      <c r="O400">
        <v>431485147761.04102</v>
      </c>
      <c r="P400">
        <v>284780197522.28699</v>
      </c>
      <c r="Q400">
        <v>445412357422.68201</v>
      </c>
      <c r="R400">
        <v>222706178711.341</v>
      </c>
      <c r="S400">
        <v>222706178711.341</v>
      </c>
      <c r="T400">
        <v>208778969049.70001</v>
      </c>
      <c r="U400">
        <v>84820343275.232101</v>
      </c>
      <c r="V400">
        <v>1611138483240.1001</v>
      </c>
      <c r="W400">
        <v>284590785674.86298</v>
      </c>
      <c r="X400">
        <v>0.27455156680467102</v>
      </c>
      <c r="Y400">
        <v>2520891213400.1802</v>
      </c>
      <c r="Z400">
        <v>1173695871093.01</v>
      </c>
      <c r="AA400">
        <v>0.78999612563974098</v>
      </c>
      <c r="AB400">
        <v>1312115140231.79</v>
      </c>
      <c r="AC400">
        <v>751975091501.49695</v>
      </c>
      <c r="AD400">
        <v>1036565877176.36</v>
      </c>
      <c r="AE400">
        <v>-2030058477270.2</v>
      </c>
      <c r="AF400">
        <v>-106915715071.08701</v>
      </c>
      <c r="AG400">
        <v>5.5594999999999999E-2</v>
      </c>
      <c r="AH400">
        <v>-6142739623907.9805</v>
      </c>
      <c r="AI400">
        <v>2784834354333.1099</v>
      </c>
      <c r="AJ400">
        <v>0.06</v>
      </c>
      <c r="AK400">
        <v>0.05</v>
      </c>
      <c r="AL400">
        <v>8.8099999999999998E-2</v>
      </c>
      <c r="AM400">
        <v>3.8100000000000002E-2</v>
      </c>
      <c r="AN400">
        <v>0.89</v>
      </c>
      <c r="AO400">
        <v>0.66</v>
      </c>
      <c r="AP400">
        <v>0.42970000000000003</v>
      </c>
      <c r="AQ400">
        <v>0.57030000000000003</v>
      </c>
      <c r="AR400">
        <v>8.9999999999999993E-3</v>
      </c>
      <c r="AS400">
        <v>0.5</v>
      </c>
      <c r="AT400">
        <v>1.82</v>
      </c>
      <c r="AU400">
        <v>6.3545217126973294E-2</v>
      </c>
      <c r="AV400">
        <v>0.7893</v>
      </c>
      <c r="AW400">
        <v>3</v>
      </c>
      <c r="AX400">
        <v>0.05</v>
      </c>
      <c r="AY400">
        <v>1</v>
      </c>
      <c r="AZ400">
        <v>1</v>
      </c>
      <c r="BA400" s="2">
        <f>modelo_tese_H__2[[#This Row],[Vw]]+modelo_tese_H__2[[#This Row],[Vr]]+modelo_tese_H__2[[#This Row],[K]]-modelo_tese_H__2[[#This Row],[E]]</f>
        <v>-2010709927267.7004</v>
      </c>
      <c r="BB400" s="2">
        <f>modelo_tese_H__2[[#This Row],[K]]-modelo_tese_H__2[[#This Row],[Coluna1]]</f>
        <v>4531601140667.8809</v>
      </c>
      <c r="BC400">
        <f>modelo_tese_H__2[[#This Row],[Coluna2]]/modelo_tese_H__2[[#This Row],[Coluna1]]</f>
        <v>-2.2537319178732815</v>
      </c>
      <c r="BD400" s="8">
        <f>modelo_tese_H__2[[#This Row],[D]]-modelo_tese_H__2[[#This Row],[Dw]]-modelo_tese_H__2[[#This Row],[Dr]]</f>
        <v>0</v>
      </c>
    </row>
    <row r="401" spans="1:56" x14ac:dyDescent="0.25">
      <c r="A401">
        <v>400</v>
      </c>
      <c r="B401">
        <v>400</v>
      </c>
      <c r="C401">
        <v>624032407172.59802</v>
      </c>
      <c r="D401">
        <v>290786867459.19</v>
      </c>
      <c r="E401">
        <v>258800312038.67899</v>
      </c>
      <c r="F401">
        <v>32152365937.195099</v>
      </c>
      <c r="G401">
        <v>901847630782.58105</v>
      </c>
      <c r="H401">
        <v>202228165422.737</v>
      </c>
      <c r="I401">
        <v>493180843398.61102</v>
      </c>
      <c r="J401">
        <v>362253351141.771</v>
      </c>
      <c r="K401">
        <v>2278361068140.3901</v>
      </c>
      <c r="L401">
        <v>-202393975939.42099</v>
      </c>
      <c r="M401">
        <v>2640614419282.1602</v>
      </c>
      <c r="N401">
        <v>-3843590936449.7202</v>
      </c>
      <c r="O401">
        <v>455478601405.34399</v>
      </c>
      <c r="P401">
        <v>300615876927.52698</v>
      </c>
      <c r="Q401">
        <v>470185385520.01703</v>
      </c>
      <c r="R401">
        <v>235092692760.008</v>
      </c>
      <c r="S401">
        <v>235092692760.008</v>
      </c>
      <c r="T401">
        <v>220385908645.33499</v>
      </c>
      <c r="U401">
        <v>89534344871.347794</v>
      </c>
      <c r="V401">
        <v>1700672828111.45</v>
      </c>
      <c r="W401">
        <v>300421072366.47699</v>
      </c>
      <c r="X401">
        <v>0.27455326935178698</v>
      </c>
      <c r="Y401">
        <v>2661121706257.6602</v>
      </c>
      <c r="Z401">
        <v>1239024250699.47</v>
      </c>
      <c r="AA401">
        <v>0.78998902138837501</v>
      </c>
      <c r="AB401">
        <v>1385105062307.79</v>
      </c>
      <c r="AC401">
        <v>793796720326.13794</v>
      </c>
      <c r="AD401">
        <v>1094217792692.61</v>
      </c>
      <c r="AE401">
        <v>-2142918108338.27</v>
      </c>
      <c r="AF401">
        <v>-112859631068.073</v>
      </c>
      <c r="AG401">
        <v>5.5594999999999999E-2</v>
      </c>
      <c r="AH401">
        <v>-6484205355731.8799</v>
      </c>
      <c r="AI401">
        <v>2939697078810.9302</v>
      </c>
      <c r="AJ401">
        <v>0.06</v>
      </c>
      <c r="AK401">
        <v>0.05</v>
      </c>
      <c r="AL401">
        <v>8.8099999999999998E-2</v>
      </c>
      <c r="AM401">
        <v>3.8100000000000002E-2</v>
      </c>
      <c r="AN401">
        <v>0.89</v>
      </c>
      <c r="AO401">
        <v>0.66</v>
      </c>
      <c r="AP401">
        <v>0.42970000000000003</v>
      </c>
      <c r="AQ401">
        <v>0.57030000000000003</v>
      </c>
      <c r="AR401">
        <v>8.9999999999999993E-3</v>
      </c>
      <c r="AS401">
        <v>0.5</v>
      </c>
      <c r="AT401">
        <v>1.82</v>
      </c>
      <c r="AU401">
        <v>6.3545217126973294E-2</v>
      </c>
      <c r="AV401">
        <v>0.7893</v>
      </c>
      <c r="AW401">
        <v>3</v>
      </c>
      <c r="AX401">
        <v>0.05</v>
      </c>
      <c r="AY401">
        <v>1</v>
      </c>
      <c r="AZ401">
        <v>1</v>
      </c>
      <c r="BA401" s="2">
        <f>modelo_tese_H__2[[#This Row],[Vw]]+modelo_tese_H__2[[#This Row],[Vr]]+modelo_tese_H__2[[#This Row],[K]]-modelo_tese_H__2[[#This Row],[E]]</f>
        <v>-2122410821362.7595</v>
      </c>
      <c r="BB401" s="2">
        <f>modelo_tese_H__2[[#This Row],[K]]-modelo_tese_H__2[[#This Row],[Coluna1]]</f>
        <v>4783532527620.4199</v>
      </c>
      <c r="BC401">
        <f>modelo_tese_H__2[[#This Row],[Coluna2]]/modelo_tese_H__2[[#This Row],[Coluna1]]</f>
        <v>-2.253820268664577</v>
      </c>
      <c r="BD401" s="8">
        <f>modelo_tese_H__2[[#This Row],[D]]-modelo_tese_H__2[[#This Row],[Dw]]-modelo_tese_H__2[[#This Row],[Dr]]</f>
        <v>0</v>
      </c>
    </row>
    <row r="402" spans="1:56" x14ac:dyDescent="0.25">
      <c r="A402">
        <v>401</v>
      </c>
      <c r="B402">
        <v>401</v>
      </c>
      <c r="C402">
        <v>658739811455.38696</v>
      </c>
      <c r="D402">
        <v>306967684877.59601</v>
      </c>
      <c r="E402">
        <v>273201239541.06</v>
      </c>
      <c r="F402">
        <v>33939751538.842098</v>
      </c>
      <c r="G402">
        <v>951996270317.90198</v>
      </c>
      <c r="H402">
        <v>213471040279.414</v>
      </c>
      <c r="I402">
        <v>520612031359.31598</v>
      </c>
      <c r="J402">
        <v>382391250002.112</v>
      </c>
      <c r="K402">
        <v>2405026551723.6499</v>
      </c>
      <c r="L402">
        <v>-213644346481.72</v>
      </c>
      <c r="M402">
        <v>2787417801725.7598</v>
      </c>
      <c r="N402">
        <v>-4057235282931.4399</v>
      </c>
      <c r="O402">
        <v>480806197130.25403</v>
      </c>
      <c r="P402">
        <v>317332090105.96698</v>
      </c>
      <c r="Q402">
        <v>496336133582.99103</v>
      </c>
      <c r="R402">
        <v>248168066791.496</v>
      </c>
      <c r="S402">
        <v>248168066791.496</v>
      </c>
      <c r="T402">
        <v>232638130338.758</v>
      </c>
      <c r="U402">
        <v>94510350242.686798</v>
      </c>
      <c r="V402">
        <v>1795183178354.1399</v>
      </c>
      <c r="W402">
        <v>317131823573.09497</v>
      </c>
      <c r="X402">
        <v>0.27455495453395601</v>
      </c>
      <c r="Y402">
        <v>2809151973205.3101</v>
      </c>
      <c r="Z402">
        <v>1307988007481.0701</v>
      </c>
      <c r="AA402">
        <v>0.78998198955966903</v>
      </c>
      <c r="AB402">
        <v>1462154783658.0601</v>
      </c>
      <c r="AC402">
        <v>837944121465.28296</v>
      </c>
      <c r="AD402">
        <v>1155075945038.3799</v>
      </c>
      <c r="AE402">
        <v>-2262052104577.2998</v>
      </c>
      <c r="AF402">
        <v>-119133996239.033</v>
      </c>
      <c r="AG402">
        <v>5.5594999999999999E-2</v>
      </c>
      <c r="AH402">
        <v>-6844653084657.21</v>
      </c>
      <c r="AI402">
        <v>3103171185835.21</v>
      </c>
      <c r="AJ402">
        <v>0.06</v>
      </c>
      <c r="AK402">
        <v>0.05</v>
      </c>
      <c r="AL402">
        <v>8.8099999999999998E-2</v>
      </c>
      <c r="AM402">
        <v>3.8100000000000002E-2</v>
      </c>
      <c r="AN402">
        <v>0.89</v>
      </c>
      <c r="AO402">
        <v>0.66</v>
      </c>
      <c r="AP402">
        <v>0.42970000000000003</v>
      </c>
      <c r="AQ402">
        <v>0.57030000000000003</v>
      </c>
      <c r="AR402">
        <v>8.9999999999999993E-3</v>
      </c>
      <c r="AS402">
        <v>0.5</v>
      </c>
      <c r="AT402">
        <v>1.82</v>
      </c>
      <c r="AU402">
        <v>6.3545217126973294E-2</v>
      </c>
      <c r="AV402">
        <v>0.7893</v>
      </c>
      <c r="AW402">
        <v>3</v>
      </c>
      <c r="AX402">
        <v>0.05</v>
      </c>
      <c r="AY402">
        <v>1</v>
      </c>
      <c r="AZ402">
        <v>1</v>
      </c>
      <c r="BA402" s="2">
        <f>modelo_tese_H__2[[#This Row],[Vw]]+modelo_tese_H__2[[#This Row],[Vr]]+modelo_tese_H__2[[#This Row],[K]]-modelo_tese_H__2[[#This Row],[E]]</f>
        <v>-2240317933097.7598</v>
      </c>
      <c r="BB402" s="2">
        <f>modelo_tese_H__2[[#This Row],[K]]-modelo_tese_H__2[[#This Row],[Coluna1]]</f>
        <v>5049469906303.0703</v>
      </c>
      <c r="BC402">
        <f>modelo_tese_H__2[[#This Row],[Coluna2]]/modelo_tese_H__2[[#This Row],[Coluna1]]</f>
        <v>-2.2539077296591583</v>
      </c>
      <c r="BD402" s="8">
        <f>modelo_tese_H__2[[#This Row],[D]]-modelo_tese_H__2[[#This Row],[Dw]]-modelo_tese_H__2[[#This Row],[Dr]]</f>
        <v>0</v>
      </c>
    </row>
    <row r="403" spans="1:56" x14ac:dyDescent="0.25">
      <c r="A403">
        <v>402</v>
      </c>
      <c r="B403">
        <v>402</v>
      </c>
      <c r="C403">
        <v>695377416590.854</v>
      </c>
      <c r="D403">
        <v>324048726480.255</v>
      </c>
      <c r="E403">
        <v>288403366567.427</v>
      </c>
      <c r="F403">
        <v>35826501225.3274</v>
      </c>
      <c r="G403">
        <v>1004933391073.98</v>
      </c>
      <c r="H403">
        <v>225338962763.74799</v>
      </c>
      <c r="I403">
        <v>549568830556.50201</v>
      </c>
      <c r="J403">
        <v>403648644602.35901</v>
      </c>
      <c r="K403">
        <v>2538734002866.73</v>
      </c>
      <c r="L403">
        <v>-225520104076.24701</v>
      </c>
      <c r="M403">
        <v>2942382647469.0898</v>
      </c>
      <c r="N403">
        <v>-4282755387007.6899</v>
      </c>
      <c r="O403">
        <v>507542116704.02802</v>
      </c>
      <c r="P403">
        <v>334977797024.65802</v>
      </c>
      <c r="Q403">
        <v>523941216743.97601</v>
      </c>
      <c r="R403">
        <v>261970608371.98801</v>
      </c>
      <c r="S403">
        <v>261970608371.98801</v>
      </c>
      <c r="T403">
        <v>245571508332.04001</v>
      </c>
      <c r="U403">
        <v>99762922297.688095</v>
      </c>
      <c r="V403">
        <v>1894946100651.8301</v>
      </c>
      <c r="W403">
        <v>334772005753.66998</v>
      </c>
      <c r="X403">
        <v>0.27455662252799401</v>
      </c>
      <c r="Y403">
        <v>2965415806878.98</v>
      </c>
      <c r="Z403">
        <v>1380789404862.76</v>
      </c>
      <c r="AA403">
        <v>0.78997502941689401</v>
      </c>
      <c r="AB403">
        <v>1543490095167.75</v>
      </c>
      <c r="AC403">
        <v>884546627581.16003</v>
      </c>
      <c r="AD403">
        <v>1219318633334.8301</v>
      </c>
      <c r="AE403">
        <v>-2387809286355.8599</v>
      </c>
      <c r="AF403">
        <v>-125757181778.55901</v>
      </c>
      <c r="AG403">
        <v>5.5594999999999999E-2</v>
      </c>
      <c r="AH403">
        <v>-7225138034476.7803</v>
      </c>
      <c r="AI403">
        <v>3275735505514.5801</v>
      </c>
      <c r="AJ403">
        <v>0.06</v>
      </c>
      <c r="AK403">
        <v>0.05</v>
      </c>
      <c r="AL403">
        <v>8.8099999999999998E-2</v>
      </c>
      <c r="AM403">
        <v>3.8100000000000002E-2</v>
      </c>
      <c r="AN403">
        <v>0.89</v>
      </c>
      <c r="AO403">
        <v>0.66</v>
      </c>
      <c r="AP403">
        <v>0.42970000000000003</v>
      </c>
      <c r="AQ403">
        <v>0.57030000000000003</v>
      </c>
      <c r="AR403">
        <v>8.9999999999999993E-3</v>
      </c>
      <c r="AS403">
        <v>0.5</v>
      </c>
      <c r="AT403">
        <v>1.82</v>
      </c>
      <c r="AU403">
        <v>6.3545217126973294E-2</v>
      </c>
      <c r="AV403">
        <v>0.7893</v>
      </c>
      <c r="AW403">
        <v>3</v>
      </c>
      <c r="AX403">
        <v>0.05</v>
      </c>
      <c r="AY403">
        <v>1</v>
      </c>
      <c r="AZ403">
        <v>1</v>
      </c>
      <c r="BA403" s="2">
        <f>modelo_tese_H__2[[#This Row],[Vw]]+modelo_tese_H__2[[#This Row],[Vr]]+modelo_tese_H__2[[#This Row],[K]]-modelo_tese_H__2[[#This Row],[E]]</f>
        <v>-2364776126945.9805</v>
      </c>
      <c r="BB403" s="2">
        <f>modelo_tese_H__2[[#This Row],[K]]-modelo_tese_H__2[[#This Row],[Coluna1]]</f>
        <v>5330191933824.9609</v>
      </c>
      <c r="BC403">
        <f>modelo_tese_H__2[[#This Row],[Coluna2]]/modelo_tese_H__2[[#This Row],[Coluna1]]</f>
        <v>-2.2539943096891388</v>
      </c>
      <c r="BD403" s="8">
        <f>modelo_tese_H__2[[#This Row],[D]]-modelo_tese_H__2[[#This Row],[Dw]]-modelo_tese_H__2[[#This Row],[Dr]]</f>
        <v>0</v>
      </c>
    </row>
    <row r="404" spans="1:56" x14ac:dyDescent="0.25">
      <c r="A404">
        <v>403</v>
      </c>
      <c r="B404">
        <v>403</v>
      </c>
      <c r="C404">
        <v>734052560926.68201</v>
      </c>
      <c r="D404">
        <v>342080069462.55798</v>
      </c>
      <c r="E404">
        <v>304451261821.67603</v>
      </c>
      <c r="F404">
        <v>37818138890.936401</v>
      </c>
      <c r="G404">
        <v>1060814039640.4</v>
      </c>
      <c r="H404">
        <v>237866682398.59799</v>
      </c>
      <c r="I404">
        <v>580136083111.21106</v>
      </c>
      <c r="J404">
        <v>426087770133.94598</v>
      </c>
      <c r="K404">
        <v>2679874919756.1001</v>
      </c>
      <c r="L404">
        <v>-238056013648.65302</v>
      </c>
      <c r="M404">
        <v>3105962689890.0498</v>
      </c>
      <c r="N404">
        <v>-4520811400656.3398</v>
      </c>
      <c r="O404">
        <v>535764666485.052</v>
      </c>
      <c r="P404">
        <v>353604679880.13501</v>
      </c>
      <c r="Q404">
        <v>553081510486.052</v>
      </c>
      <c r="R404">
        <v>276540755243.026</v>
      </c>
      <c r="S404">
        <v>276540755243.026</v>
      </c>
      <c r="T404">
        <v>259223911242.02701</v>
      </c>
      <c r="U404">
        <v>105307433426.55499</v>
      </c>
      <c r="V404">
        <v>2000253534078.3799</v>
      </c>
      <c r="W404">
        <v>353393308421.388</v>
      </c>
      <c r="X404">
        <v>0.27455827350891998</v>
      </c>
      <c r="Y404">
        <v>3130371123980.4902</v>
      </c>
      <c r="Z404">
        <v>1457641958041.1201</v>
      </c>
      <c r="AA404">
        <v>0.78996814023078898</v>
      </c>
      <c r="AB404">
        <v>1629349344439</v>
      </c>
      <c r="AC404">
        <v>933740762991.34595</v>
      </c>
      <c r="AD404">
        <v>1287134071412.73</v>
      </c>
      <c r="AE404">
        <v>-2520557866577.96</v>
      </c>
      <c r="AF404">
        <v>-132748580222.09801</v>
      </c>
      <c r="AG404">
        <v>5.5594999999999999E-2</v>
      </c>
      <c r="AH404">
        <v>-7626774090546.3896</v>
      </c>
      <c r="AI404">
        <v>3457895492119.5</v>
      </c>
      <c r="AJ404">
        <v>0.06</v>
      </c>
      <c r="AK404">
        <v>0.05</v>
      </c>
      <c r="AL404">
        <v>8.8099999999999998E-2</v>
      </c>
      <c r="AM404">
        <v>3.8100000000000002E-2</v>
      </c>
      <c r="AN404">
        <v>0.89</v>
      </c>
      <c r="AO404">
        <v>0.66</v>
      </c>
      <c r="AP404">
        <v>0.42970000000000003</v>
      </c>
      <c r="AQ404">
        <v>0.57030000000000003</v>
      </c>
      <c r="AR404">
        <v>8.9999999999999993E-3</v>
      </c>
      <c r="AS404">
        <v>0.5</v>
      </c>
      <c r="AT404">
        <v>1.82</v>
      </c>
      <c r="AU404">
        <v>6.3545217126973294E-2</v>
      </c>
      <c r="AV404">
        <v>0.7893</v>
      </c>
      <c r="AW404">
        <v>3</v>
      </c>
      <c r="AX404">
        <v>0.05</v>
      </c>
      <c r="AY404">
        <v>1</v>
      </c>
      <c r="AZ404">
        <v>1</v>
      </c>
      <c r="BA404" s="2">
        <f>modelo_tese_H__2[[#This Row],[Vw]]+modelo_tese_H__2[[#This Row],[Vr]]+modelo_tese_H__2[[#This Row],[K]]-modelo_tese_H__2[[#This Row],[E]]</f>
        <v>-2496149432487.5195</v>
      </c>
      <c r="BB404" s="2">
        <f>modelo_tese_H__2[[#This Row],[K]]-modelo_tese_H__2[[#This Row],[Coluna1]]</f>
        <v>5626520556468.0098</v>
      </c>
      <c r="BC404">
        <f>modelo_tese_H__2[[#This Row],[Coluna2]]/modelo_tese_H__2[[#This Row],[Coluna1]]</f>
        <v>-2.2540800175015732</v>
      </c>
      <c r="BD404" s="8">
        <f>modelo_tese_H__2[[#This Row],[D]]-modelo_tese_H__2[[#This Row],[Dw]]-modelo_tese_H__2[[#This Row],[Dr]]</f>
        <v>0</v>
      </c>
    </row>
    <row r="405" spans="1:56" x14ac:dyDescent="0.25">
      <c r="A405">
        <v>404</v>
      </c>
      <c r="B405">
        <v>404</v>
      </c>
      <c r="C405">
        <v>774878551579.04102</v>
      </c>
      <c r="D405">
        <v>361114576372.58502</v>
      </c>
      <c r="E405">
        <v>321391972971.60101</v>
      </c>
      <c r="F405">
        <v>39920495519.554398</v>
      </c>
      <c r="G405">
        <v>1119801883362.6899</v>
      </c>
      <c r="H405">
        <v>251090880606.548</v>
      </c>
      <c r="I405">
        <v>612403349097.703</v>
      </c>
      <c r="J405">
        <v>449774321611.39697</v>
      </c>
      <c r="K405">
        <v>2828862565919.9399</v>
      </c>
      <c r="L405">
        <v>-251288772725.11801</v>
      </c>
      <c r="M405">
        <v>3278636887531.3398</v>
      </c>
      <c r="N405">
        <v>-4772100173381.46</v>
      </c>
      <c r="O405">
        <v>565556506748.83301</v>
      </c>
      <c r="P405">
        <v>373267294454.22998</v>
      </c>
      <c r="Q405">
        <v>583842387539.03894</v>
      </c>
      <c r="R405">
        <v>291921193769.51898</v>
      </c>
      <c r="S405">
        <v>291921193769.51898</v>
      </c>
      <c r="T405">
        <v>273635312979.31299</v>
      </c>
      <c r="U405">
        <v>111160110497.97701</v>
      </c>
      <c r="V405">
        <v>2111413644576.3601</v>
      </c>
      <c r="W405">
        <v>373050295566.146</v>
      </c>
      <c r="X405">
        <v>0.27455990764997901</v>
      </c>
      <c r="Y405">
        <v>3304501306785.29</v>
      </c>
      <c r="Z405">
        <v>1538771059837.74</v>
      </c>
      <c r="AA405">
        <v>0.78996132127952701</v>
      </c>
      <c r="AB405">
        <v>1719984134055.21</v>
      </c>
      <c r="AC405">
        <v>985670643551.93298</v>
      </c>
      <c r="AD405">
        <v>1358720939118.0801</v>
      </c>
      <c r="AE405">
        <v>-2660686528805.1001</v>
      </c>
      <c r="AF405">
        <v>-140128662227.142</v>
      </c>
      <c r="AG405">
        <v>5.5594999999999999E-2</v>
      </c>
      <c r="AH405">
        <v>-8050737060912.7998</v>
      </c>
      <c r="AI405">
        <v>3650184704414.1001</v>
      </c>
      <c r="AJ405">
        <v>0.06</v>
      </c>
      <c r="AK405">
        <v>0.05</v>
      </c>
      <c r="AL405">
        <v>8.8099999999999998E-2</v>
      </c>
      <c r="AM405">
        <v>3.8100000000000002E-2</v>
      </c>
      <c r="AN405">
        <v>0.89</v>
      </c>
      <c r="AO405">
        <v>0.66</v>
      </c>
      <c r="AP405">
        <v>0.42970000000000003</v>
      </c>
      <c r="AQ405">
        <v>0.57030000000000003</v>
      </c>
      <c r="AR405">
        <v>8.9999999999999993E-3</v>
      </c>
      <c r="AS405">
        <v>0.5</v>
      </c>
      <c r="AT405">
        <v>1.82</v>
      </c>
      <c r="AU405">
        <v>6.3545217126973294E-2</v>
      </c>
      <c r="AV405">
        <v>0.7893</v>
      </c>
      <c r="AW405">
        <v>3</v>
      </c>
      <c r="AX405">
        <v>0.05</v>
      </c>
      <c r="AY405">
        <v>1</v>
      </c>
      <c r="AZ405">
        <v>1</v>
      </c>
      <c r="BA405" s="2">
        <f>modelo_tese_H__2[[#This Row],[Vw]]+modelo_tese_H__2[[#This Row],[Vr]]+modelo_tese_H__2[[#This Row],[K]]-modelo_tese_H__2[[#This Row],[E]]</f>
        <v>-2634822109551.1494</v>
      </c>
      <c r="BB405" s="2">
        <f>modelo_tese_H__2[[#This Row],[K]]-modelo_tese_H__2[[#This Row],[Coluna1]]</f>
        <v>5939323416336.4395</v>
      </c>
      <c r="BC405">
        <f>modelo_tese_H__2[[#This Row],[Coluna2]]/modelo_tese_H__2[[#This Row],[Coluna1]]</f>
        <v>-2.2541648617591958</v>
      </c>
      <c r="BD405" s="8">
        <f>modelo_tese_H__2[[#This Row],[D]]-modelo_tese_H__2[[#This Row],[Dw]]-modelo_tese_H__2[[#This Row],[Dr]]</f>
        <v>0</v>
      </c>
    </row>
    <row r="406" spans="1:56" x14ac:dyDescent="0.25">
      <c r="A406">
        <v>405</v>
      </c>
      <c r="B406">
        <v>405</v>
      </c>
      <c r="C406">
        <v>817974996324.16296</v>
      </c>
      <c r="D406">
        <v>381208050021.49402</v>
      </c>
      <c r="E406">
        <v>339275164519.13</v>
      </c>
      <c r="F406">
        <v>42139726256.807297</v>
      </c>
      <c r="G406">
        <v>1182069689655.28</v>
      </c>
      <c r="H406">
        <v>265050278113.86899</v>
      </c>
      <c r="I406">
        <v>646465168889.80603</v>
      </c>
      <c r="J406">
        <v>474777646214.81</v>
      </c>
      <c r="K406">
        <v>2986133180272.2598</v>
      </c>
      <c r="L406">
        <v>-265257118868.31201</v>
      </c>
      <c r="M406">
        <v>3460910826487.0698</v>
      </c>
      <c r="N406">
        <v>-5037357292249.7695</v>
      </c>
      <c r="O406">
        <v>597004893765.29102</v>
      </c>
      <c r="P406">
        <v>394023229885.09198</v>
      </c>
      <c r="Q406">
        <v>616313967947.55896</v>
      </c>
      <c r="R406">
        <v>308156983973.77899</v>
      </c>
      <c r="S406">
        <v>308156983973.77899</v>
      </c>
      <c r="T406">
        <v>288847909791.51099</v>
      </c>
      <c r="U406">
        <v>117338082357.155</v>
      </c>
      <c r="V406">
        <v>2228751726933.5098</v>
      </c>
      <c r="W406">
        <v>393800565496.823</v>
      </c>
      <c r="X406">
        <v>0.27456152512265602</v>
      </c>
      <c r="Y406">
        <v>3488316619246.0698</v>
      </c>
      <c r="Z406">
        <v>1624414641360.79</v>
      </c>
      <c r="AA406">
        <v>0.78995457184854601</v>
      </c>
      <c r="AB406">
        <v>1815660058673.23</v>
      </c>
      <c r="AC406">
        <v>1040488398774.9</v>
      </c>
      <c r="AD406">
        <v>1434288964271.72</v>
      </c>
      <c r="AE406">
        <v>-2808605565316.2598</v>
      </c>
      <c r="AF406">
        <v>-147919036511.15701</v>
      </c>
      <c r="AG406">
        <v>5.5594999999999999E-2</v>
      </c>
      <c r="AH406">
        <v>-8498268118736.8496</v>
      </c>
      <c r="AI406">
        <v>3853166368294.2998</v>
      </c>
      <c r="AJ406">
        <v>0.06</v>
      </c>
      <c r="AK406">
        <v>0.05</v>
      </c>
      <c r="AL406">
        <v>8.8099999999999998E-2</v>
      </c>
      <c r="AM406">
        <v>3.8100000000000002E-2</v>
      </c>
      <c r="AN406">
        <v>0.89</v>
      </c>
      <c r="AO406">
        <v>0.66</v>
      </c>
      <c r="AP406">
        <v>0.42970000000000003</v>
      </c>
      <c r="AQ406">
        <v>0.57030000000000003</v>
      </c>
      <c r="AR406">
        <v>8.9999999999999993E-3</v>
      </c>
      <c r="AS406">
        <v>0.5</v>
      </c>
      <c r="AT406">
        <v>1.82</v>
      </c>
      <c r="AU406">
        <v>6.3545217126973294E-2</v>
      </c>
      <c r="AV406">
        <v>0.7893</v>
      </c>
      <c r="AW406">
        <v>3</v>
      </c>
      <c r="AX406">
        <v>0.05</v>
      </c>
      <c r="AY406">
        <v>1</v>
      </c>
      <c r="AZ406">
        <v>1</v>
      </c>
      <c r="BA406" s="2">
        <f>modelo_tese_H__2[[#This Row],[Vw]]+modelo_tese_H__2[[#This Row],[Vr]]+modelo_tese_H__2[[#This Row],[K]]-modelo_tese_H__2[[#This Row],[E]]</f>
        <v>-2781199772557.27</v>
      </c>
      <c r="BB406" s="2">
        <f>modelo_tese_H__2[[#This Row],[K]]-modelo_tese_H__2[[#This Row],[Coluna1]]</f>
        <v>6269516391803.3398</v>
      </c>
      <c r="BC406">
        <f>modelo_tese_H__2[[#This Row],[Coluna2]]/modelo_tese_H__2[[#This Row],[Coluna1]]</f>
        <v>-2.2542488510412242</v>
      </c>
      <c r="BD406" s="8">
        <f>modelo_tese_H__2[[#This Row],[D]]-modelo_tese_H__2[[#This Row],[Dw]]-modelo_tese_H__2[[#This Row],[Dr]]</f>
        <v>0</v>
      </c>
    </row>
    <row r="407" spans="1:56" x14ac:dyDescent="0.25">
      <c r="A407">
        <v>406</v>
      </c>
      <c r="B407">
        <v>406</v>
      </c>
      <c r="C407">
        <v>863468153944.15405</v>
      </c>
      <c r="D407">
        <v>402419397008.89502</v>
      </c>
      <c r="E407">
        <v>358153263337.91602</v>
      </c>
      <c r="F407">
        <v>44482328431.303299</v>
      </c>
      <c r="G407">
        <v>1247799831963.98</v>
      </c>
      <c r="H407">
        <v>279785748325.60999</v>
      </c>
      <c r="I407">
        <v>682421340094.82898</v>
      </c>
      <c r="J407">
        <v>501170946325.32898</v>
      </c>
      <c r="K407">
        <v>3152147254429.5</v>
      </c>
      <c r="L407">
        <v>-280001943085.935</v>
      </c>
      <c r="M407">
        <v>3653318200754.8301</v>
      </c>
      <c r="N407">
        <v>-5317359235335.71</v>
      </c>
      <c r="O407">
        <v>630201935335.34497</v>
      </c>
      <c r="P407">
        <v>415933277321.32703</v>
      </c>
      <c r="Q407">
        <v>650591383043.66699</v>
      </c>
      <c r="R407">
        <v>325295691521.83301</v>
      </c>
      <c r="S407">
        <v>325295691521.83301</v>
      </c>
      <c r="T407">
        <v>304906243813.51099</v>
      </c>
      <c r="U407">
        <v>123859429964.186</v>
      </c>
      <c r="V407">
        <v>2352611156897.7002</v>
      </c>
      <c r="W407">
        <v>415704919571.664</v>
      </c>
      <c r="X407">
        <v>0.27456312609669498</v>
      </c>
      <c r="Y407">
        <v>3682355701840.1099</v>
      </c>
      <c r="Z407">
        <v>1714823869410.6201</v>
      </c>
      <c r="AA407">
        <v>0.789947891230527</v>
      </c>
      <c r="AB407">
        <v>1916657483102.24</v>
      </c>
      <c r="AC407">
        <v>1098354617416.16</v>
      </c>
      <c r="AD407">
        <v>1514059536987.8201</v>
      </c>
      <c r="AE407">
        <v>-2964748078438.0098</v>
      </c>
      <c r="AF407">
        <v>-156142513121.74799</v>
      </c>
      <c r="AG407">
        <v>5.5594999999999999E-2</v>
      </c>
      <c r="AH407">
        <v>-8970677436090.5391</v>
      </c>
      <c r="AI407">
        <v>4067435026308.3198</v>
      </c>
      <c r="AJ407">
        <v>0.06</v>
      </c>
      <c r="AK407">
        <v>0.05</v>
      </c>
      <c r="AL407">
        <v>8.8099999999999998E-2</v>
      </c>
      <c r="AM407">
        <v>3.8100000000000002E-2</v>
      </c>
      <c r="AN407">
        <v>0.89</v>
      </c>
      <c r="AO407">
        <v>0.66</v>
      </c>
      <c r="AP407">
        <v>0.42970000000000003</v>
      </c>
      <c r="AQ407">
        <v>0.57030000000000003</v>
      </c>
      <c r="AR407">
        <v>8.9999999999999993E-3</v>
      </c>
      <c r="AS407">
        <v>0.5</v>
      </c>
      <c r="AT407">
        <v>1.82</v>
      </c>
      <c r="AU407">
        <v>6.3545217126973294E-2</v>
      </c>
      <c r="AV407">
        <v>0.7893</v>
      </c>
      <c r="AW407">
        <v>3</v>
      </c>
      <c r="AX407">
        <v>0.05</v>
      </c>
      <c r="AY407">
        <v>1</v>
      </c>
      <c r="AZ407">
        <v>1</v>
      </c>
      <c r="BA407" s="2">
        <f>modelo_tese_H__2[[#This Row],[Vw]]+modelo_tese_H__2[[#This Row],[Vr]]+modelo_tese_H__2[[#This Row],[K]]-modelo_tese_H__2[[#This Row],[E]]</f>
        <v>-2935710577352.729</v>
      </c>
      <c r="BB407" s="2">
        <f>modelo_tese_H__2[[#This Row],[K]]-modelo_tese_H__2[[#This Row],[Coluna1]]</f>
        <v>6618066279192.8389</v>
      </c>
      <c r="BC407">
        <f>modelo_tese_H__2[[#This Row],[Coluna2]]/modelo_tese_H__2[[#This Row],[Coluna1]]</f>
        <v>-2.254331993844116</v>
      </c>
      <c r="BD407" s="8">
        <f>modelo_tese_H__2[[#This Row],[D]]-modelo_tese_H__2[[#This Row],[Dw]]-modelo_tese_H__2[[#This Row],[Dr]]</f>
        <v>0</v>
      </c>
    </row>
    <row r="408" spans="1:56" x14ac:dyDescent="0.25">
      <c r="A408">
        <v>407</v>
      </c>
      <c r="B408">
        <v>407</v>
      </c>
      <c r="C408">
        <v>911491304053.02905</v>
      </c>
      <c r="D408">
        <v>424810800342.216</v>
      </c>
      <c r="E408">
        <v>378081612304.57202</v>
      </c>
      <c r="F408">
        <v>46955160577.742302</v>
      </c>
      <c r="G408">
        <v>1317184823859.4199</v>
      </c>
      <c r="H408">
        <v>295340437003.77197</v>
      </c>
      <c r="I408">
        <v>720377209886.08606</v>
      </c>
      <c r="J408">
        <v>529031493848.07599</v>
      </c>
      <c r="K408">
        <v>3327390881039.5098</v>
      </c>
      <c r="L408">
        <v>-295566409543.87097</v>
      </c>
      <c r="M408">
        <v>3856422374887.5801</v>
      </c>
      <c r="N408">
        <v>-5612925644879.5801</v>
      </c>
      <c r="O408">
        <v>665244860535.06006</v>
      </c>
      <c r="P408">
        <v>439061607953.13898</v>
      </c>
      <c r="Q408">
        <v>686775054097.11804</v>
      </c>
      <c r="R408">
        <v>343387527048.55902</v>
      </c>
      <c r="S408">
        <v>343387527048.55902</v>
      </c>
      <c r="T408">
        <v>321857333486.5</v>
      </c>
      <c r="U408">
        <v>130743239319.558</v>
      </c>
      <c r="V408">
        <v>2483354396217.2598</v>
      </c>
      <c r="W408">
        <v>438827540310.92102</v>
      </c>
      <c r="X408">
        <v>0.27456471074011901</v>
      </c>
      <c r="Y408">
        <v>3887187149538.8599</v>
      </c>
      <c r="Z408">
        <v>1810263882672.98</v>
      </c>
      <c r="AA408">
        <v>0.789941278725378</v>
      </c>
      <c r="AB408">
        <v>2023272363648.4099</v>
      </c>
      <c r="AC408">
        <v>1159438817839.23</v>
      </c>
      <c r="AD408">
        <v>1598266358150.1499</v>
      </c>
      <c r="AE408">
        <v>-3129571248662.3198</v>
      </c>
      <c r="AF408">
        <v>-164823170224.31201</v>
      </c>
      <c r="AG408">
        <v>5.5594999999999999E-2</v>
      </c>
      <c r="AH408">
        <v>-9469348019767.1602</v>
      </c>
      <c r="AI408">
        <v>4293618278890.2402</v>
      </c>
      <c r="AJ408">
        <v>0.06</v>
      </c>
      <c r="AK408">
        <v>0.05</v>
      </c>
      <c r="AL408">
        <v>8.8099999999999998E-2</v>
      </c>
      <c r="AM408">
        <v>3.8100000000000002E-2</v>
      </c>
      <c r="AN408">
        <v>0.89</v>
      </c>
      <c r="AO408">
        <v>0.66</v>
      </c>
      <c r="AP408">
        <v>0.42970000000000003</v>
      </c>
      <c r="AQ408">
        <v>0.57030000000000003</v>
      </c>
      <c r="AR408">
        <v>8.9999999999999993E-3</v>
      </c>
      <c r="AS408">
        <v>0.5</v>
      </c>
      <c r="AT408">
        <v>1.82</v>
      </c>
      <c r="AU408">
        <v>6.3545217126973294E-2</v>
      </c>
      <c r="AV408">
        <v>0.7893</v>
      </c>
      <c r="AW408">
        <v>3</v>
      </c>
      <c r="AX408">
        <v>0.05</v>
      </c>
      <c r="AY408">
        <v>1</v>
      </c>
      <c r="AZ408">
        <v>1</v>
      </c>
      <c r="BA408" s="2">
        <f>modelo_tese_H__2[[#This Row],[Vw]]+modelo_tese_H__2[[#This Row],[Vr]]+modelo_tese_H__2[[#This Row],[K]]-modelo_tese_H__2[[#This Row],[E]]</f>
        <v>-3098806474011.04</v>
      </c>
      <c r="BB408" s="2">
        <f>modelo_tese_H__2[[#This Row],[K]]-modelo_tese_H__2[[#This Row],[Coluna1]]</f>
        <v>6985993623549.9004</v>
      </c>
      <c r="BC408">
        <f>modelo_tese_H__2[[#This Row],[Coluna2]]/modelo_tese_H__2[[#This Row],[Coluna1]]</f>
        <v>-2.2544142985823035</v>
      </c>
      <c r="BD408" s="8">
        <f>modelo_tese_H__2[[#This Row],[D]]-modelo_tese_H__2[[#This Row],[Dw]]-modelo_tese_H__2[[#This Row],[Dr]]</f>
        <v>0</v>
      </c>
    </row>
    <row r="409" spans="1:56" x14ac:dyDescent="0.25">
      <c r="A409">
        <v>408</v>
      </c>
      <c r="B409">
        <v>408</v>
      </c>
      <c r="C409">
        <v>962185137485.87195</v>
      </c>
      <c r="D409">
        <v>448447901655.52802</v>
      </c>
      <c r="E409">
        <v>399118632473.41901</v>
      </c>
      <c r="F409">
        <v>49565462517.591301</v>
      </c>
      <c r="G409">
        <v>1390427882825.24</v>
      </c>
      <c r="H409">
        <v>311759888598.99701</v>
      </c>
      <c r="I409">
        <v>760443983590.00696</v>
      </c>
      <c r="J409">
        <v>558440856450.05603</v>
      </c>
      <c r="K409">
        <v>3512377177070.8999</v>
      </c>
      <c r="L409">
        <v>-311996081934.47998</v>
      </c>
      <c r="M409">
        <v>4070818033520.96</v>
      </c>
      <c r="N409">
        <v>-5924921726814.0596</v>
      </c>
      <c r="O409">
        <v>702236304457.19397</v>
      </c>
      <c r="P409">
        <v>463475960941.74799</v>
      </c>
      <c r="Q409">
        <v>724970986459.19604</v>
      </c>
      <c r="R409">
        <v>362485493229.59802</v>
      </c>
      <c r="S409">
        <v>362485493229.59802</v>
      </c>
      <c r="T409">
        <v>339750811227.59601</v>
      </c>
      <c r="U409">
        <v>138009657331.73199</v>
      </c>
      <c r="V409">
        <v>2621364053548.9902</v>
      </c>
      <c r="W409">
        <v>463236179413.31201</v>
      </c>
      <c r="X409">
        <v>0.27456627921924298</v>
      </c>
      <c r="Y409">
        <v>4103411177521.54</v>
      </c>
      <c r="Z409">
        <v>1911014568856.6899</v>
      </c>
      <c r="AA409">
        <v>0.78993473364005495</v>
      </c>
      <c r="AB409">
        <v>2135817115131.24</v>
      </c>
      <c r="AC409">
        <v>1223919944531.76</v>
      </c>
      <c r="AD409">
        <v>1687156123945.0701</v>
      </c>
      <c r="AE409">
        <v>-3303557673265.0698</v>
      </c>
      <c r="AF409">
        <v>-173986424602.74799</v>
      </c>
      <c r="AG409">
        <v>5.5594999999999999E-2</v>
      </c>
      <c r="AH409">
        <v>-9995739760335.0195</v>
      </c>
      <c r="AI409">
        <v>4532378622405.6904</v>
      </c>
      <c r="AJ409">
        <v>0.06</v>
      </c>
      <c r="AK409">
        <v>0.05</v>
      </c>
      <c r="AL409">
        <v>8.8099999999999998E-2</v>
      </c>
      <c r="AM409">
        <v>3.8100000000000002E-2</v>
      </c>
      <c r="AN409">
        <v>0.89</v>
      </c>
      <c r="AO409">
        <v>0.66</v>
      </c>
      <c r="AP409">
        <v>0.42970000000000003</v>
      </c>
      <c r="AQ409">
        <v>0.57030000000000003</v>
      </c>
      <c r="AR409">
        <v>8.9999999999999993E-3</v>
      </c>
      <c r="AS409">
        <v>0.5</v>
      </c>
      <c r="AT409">
        <v>1.82</v>
      </c>
      <c r="AU409">
        <v>6.3545217126973294E-2</v>
      </c>
      <c r="AV409">
        <v>0.7893</v>
      </c>
      <c r="AW409">
        <v>3</v>
      </c>
      <c r="AX409">
        <v>0.05</v>
      </c>
      <c r="AY409">
        <v>1</v>
      </c>
      <c r="AZ409">
        <v>1</v>
      </c>
      <c r="BA409" s="2">
        <f>modelo_tese_H__2[[#This Row],[Vw]]+modelo_tese_H__2[[#This Row],[Vr]]+modelo_tese_H__2[[#This Row],[K]]-modelo_tese_H__2[[#This Row],[E]]</f>
        <v>-3270964529264.479</v>
      </c>
      <c r="BB409" s="2">
        <f>modelo_tese_H__2[[#This Row],[K]]-modelo_tese_H__2[[#This Row],[Coluna1]]</f>
        <v>7374375706786.0195</v>
      </c>
      <c r="BC409">
        <f>modelo_tese_H__2[[#This Row],[Coluna2]]/modelo_tese_H__2[[#This Row],[Coluna1]]</f>
        <v>-2.2544957735889142</v>
      </c>
      <c r="BD409" s="8">
        <f>modelo_tese_H__2[[#This Row],[D]]-modelo_tese_H__2[[#This Row],[Dw]]-modelo_tese_H__2[[#This Row],[Dr]]</f>
        <v>0</v>
      </c>
    </row>
    <row r="410" spans="1:56" x14ac:dyDescent="0.25">
      <c r="A410">
        <v>409</v>
      </c>
      <c r="B410">
        <v>409</v>
      </c>
      <c r="C410">
        <v>1015698168394.78</v>
      </c>
      <c r="D410">
        <v>473399993561.95898</v>
      </c>
      <c r="E410">
        <v>421325994270.14301</v>
      </c>
      <c r="F410">
        <v>52320876556.117798</v>
      </c>
      <c r="G410">
        <v>1467743525392.5</v>
      </c>
      <c r="H410">
        <v>329092179605.65802</v>
      </c>
      <c r="I410">
        <v>802739050431.91895</v>
      </c>
      <c r="J410">
        <v>589485136375.42603</v>
      </c>
      <c r="K410">
        <v>3707647786230.1602</v>
      </c>
      <c r="L410">
        <v>-329339056869.961</v>
      </c>
      <c r="M410">
        <v>4297132922605.5801</v>
      </c>
      <c r="N410">
        <v>-6254260783684.0195</v>
      </c>
      <c r="O410">
        <v>741284608784.09094</v>
      </c>
      <c r="P410">
        <v>489247841797.5</v>
      </c>
      <c r="Q410">
        <v>765291080061.78894</v>
      </c>
      <c r="R410">
        <v>382645540030.89502</v>
      </c>
      <c r="S410">
        <v>382645540030.89502</v>
      </c>
      <c r="T410">
        <v>358639068753.19598</v>
      </c>
      <c r="U410">
        <v>145679950790.332</v>
      </c>
      <c r="V410">
        <v>2767044004339.3198</v>
      </c>
      <c r="W410">
        <v>489002356227.15302</v>
      </c>
      <c r="X410">
        <v>0.27456783169869597</v>
      </c>
      <c r="Y410">
        <v>4331661379511.8398</v>
      </c>
      <c r="Z410">
        <v>2017371385052.95</v>
      </c>
      <c r="AA410">
        <v>0.78992825528850996</v>
      </c>
      <c r="AB410">
        <v>2254621526110.7402</v>
      </c>
      <c r="AC410">
        <v>1291986892229.4199</v>
      </c>
      <c r="AD410">
        <v>1780989248456.5701</v>
      </c>
      <c r="AE410">
        <v>-3487216779344.7002</v>
      </c>
      <c r="AF410">
        <v>-183659106079.62799</v>
      </c>
      <c r="AG410">
        <v>5.5594999999999999E-2</v>
      </c>
      <c r="AH410">
        <v>-10551393706289.6</v>
      </c>
      <c r="AI410">
        <v>4784415389392.2803</v>
      </c>
      <c r="AJ410">
        <v>0.06</v>
      </c>
      <c r="AK410">
        <v>0.05</v>
      </c>
      <c r="AL410">
        <v>8.8099999999999998E-2</v>
      </c>
      <c r="AM410">
        <v>3.8100000000000002E-2</v>
      </c>
      <c r="AN410">
        <v>0.89</v>
      </c>
      <c r="AO410">
        <v>0.66</v>
      </c>
      <c r="AP410">
        <v>0.42970000000000003</v>
      </c>
      <c r="AQ410">
        <v>0.57030000000000003</v>
      </c>
      <c r="AR410">
        <v>8.9999999999999993E-3</v>
      </c>
      <c r="AS410">
        <v>0.5</v>
      </c>
      <c r="AT410">
        <v>1.82</v>
      </c>
      <c r="AU410">
        <v>6.3545217126973294E-2</v>
      </c>
      <c r="AV410">
        <v>0.7893</v>
      </c>
      <c r="AW410">
        <v>3</v>
      </c>
      <c r="AX410">
        <v>0.05</v>
      </c>
      <c r="AY410">
        <v>1</v>
      </c>
      <c r="AZ410">
        <v>1</v>
      </c>
      <c r="BA410" s="2">
        <f>modelo_tese_H__2[[#This Row],[Vw]]+modelo_tese_H__2[[#This Row],[Vr]]+modelo_tese_H__2[[#This Row],[K]]-modelo_tese_H__2[[#This Row],[E]]</f>
        <v>-3452688322438.4297</v>
      </c>
      <c r="BB410" s="2">
        <f>modelo_tese_H__2[[#This Row],[K]]-modelo_tese_H__2[[#This Row],[Coluna1]]</f>
        <v>7784349701950.2695</v>
      </c>
      <c r="BC410">
        <f>modelo_tese_H__2[[#This Row],[Coluna2]]/modelo_tese_H__2[[#This Row],[Coluna1]]</f>
        <v>-2.2545764271165498</v>
      </c>
      <c r="BD410" s="8">
        <f>modelo_tese_H__2[[#This Row],[D]]-modelo_tese_H__2[[#This Row],[Dw]]-modelo_tese_H__2[[#This Row],[Dr]]</f>
        <v>0</v>
      </c>
    </row>
    <row r="411" spans="1:56" x14ac:dyDescent="0.25">
      <c r="A411">
        <v>410</v>
      </c>
      <c r="B411">
        <v>410</v>
      </c>
      <c r="C411">
        <v>1072187169258.45</v>
      </c>
      <c r="D411">
        <v>499740222703.14001</v>
      </c>
      <c r="E411">
        <v>444768798205.79498</v>
      </c>
      <c r="F411">
        <v>55229469857.846001</v>
      </c>
      <c r="G411">
        <v>1549358195362.71</v>
      </c>
      <c r="H411">
        <v>347388059330.83502</v>
      </c>
      <c r="I411">
        <v>847386327394.47498</v>
      </c>
      <c r="J411">
        <v>622255222537.36902</v>
      </c>
      <c r="K411">
        <v>3913774464905.6201</v>
      </c>
      <c r="L411">
        <v>-347646104691.33502</v>
      </c>
      <c r="M411">
        <v>4536029687442.9902</v>
      </c>
      <c r="N411">
        <v>-6601906888375.3604</v>
      </c>
      <c r="O411">
        <v>782504139072.078</v>
      </c>
      <c r="P411">
        <v>516452731787.57098</v>
      </c>
      <c r="Q411">
        <v>807853457181.052</v>
      </c>
      <c r="R411">
        <v>403926728590.526</v>
      </c>
      <c r="S411">
        <v>403926728590.526</v>
      </c>
      <c r="T411">
        <v>378577410481.552</v>
      </c>
      <c r="U411">
        <v>153776568617.582</v>
      </c>
      <c r="V411">
        <v>2920820572956.9102</v>
      </c>
      <c r="W411">
        <v>516201567257.45099</v>
      </c>
      <c r="X411">
        <v>0.27456936834143297</v>
      </c>
      <c r="Y411">
        <v>4572606583887.6904</v>
      </c>
      <c r="Z411">
        <v>2129646223719.8799</v>
      </c>
      <c r="AA411">
        <v>0.789921842991682</v>
      </c>
      <c r="AB411">
        <v>2380033725006.5098</v>
      </c>
      <c r="AC411">
        <v>1363839059182.05</v>
      </c>
      <c r="AD411">
        <v>1880040626439.5</v>
      </c>
      <c r="AE411">
        <v>-3681086315418.4502</v>
      </c>
      <c r="AF411">
        <v>-193869536073.754</v>
      </c>
      <c r="AG411">
        <v>5.5594999999999999E-2</v>
      </c>
      <c r="AH411">
        <v>-11137936575818.301</v>
      </c>
      <c r="AI411">
        <v>5050466796676.7803</v>
      </c>
      <c r="AJ411">
        <v>0.06</v>
      </c>
      <c r="AK411">
        <v>0.05</v>
      </c>
      <c r="AL411">
        <v>8.8099999999999998E-2</v>
      </c>
      <c r="AM411">
        <v>3.8100000000000002E-2</v>
      </c>
      <c r="AN411">
        <v>0.89</v>
      </c>
      <c r="AO411">
        <v>0.66</v>
      </c>
      <c r="AP411">
        <v>0.42970000000000003</v>
      </c>
      <c r="AQ411">
        <v>0.57030000000000003</v>
      </c>
      <c r="AR411">
        <v>8.9999999999999993E-3</v>
      </c>
      <c r="AS411">
        <v>0.5</v>
      </c>
      <c r="AT411">
        <v>1.82</v>
      </c>
      <c r="AU411">
        <v>6.3545217126973294E-2</v>
      </c>
      <c r="AV411">
        <v>0.7893</v>
      </c>
      <c r="AW411">
        <v>3</v>
      </c>
      <c r="AX411">
        <v>0.05</v>
      </c>
      <c r="AY411">
        <v>1</v>
      </c>
      <c r="AZ411">
        <v>1</v>
      </c>
      <c r="BA411" s="2">
        <f>modelo_tese_H__2[[#This Row],[Vw]]+modelo_tese_H__2[[#This Row],[Vr]]+modelo_tese_H__2[[#This Row],[K]]-modelo_tese_H__2[[#This Row],[E]]</f>
        <v>-3644509418973.71</v>
      </c>
      <c r="BB411" s="2">
        <f>modelo_tese_H__2[[#This Row],[K]]-modelo_tese_H__2[[#This Row],[Coluna1]]</f>
        <v>8217116002861.4004</v>
      </c>
      <c r="BC411">
        <f>modelo_tese_H__2[[#This Row],[Coluna2]]/modelo_tese_H__2[[#This Row],[Coluna1]]</f>
        <v>-2.2546562673379871</v>
      </c>
      <c r="BD411" s="8">
        <f>modelo_tese_H__2[[#This Row],[D]]-modelo_tese_H__2[[#This Row],[Dw]]-modelo_tese_H__2[[#This Row],[Dr]]</f>
        <v>0</v>
      </c>
    </row>
    <row r="412" spans="1:56" x14ac:dyDescent="0.25">
      <c r="A412">
        <v>411</v>
      </c>
      <c r="B412">
        <v>411</v>
      </c>
      <c r="C412">
        <v>1131817630079.3</v>
      </c>
      <c r="D412">
        <v>527545804090.47101</v>
      </c>
      <c r="E412">
        <v>469515765640.51898</v>
      </c>
      <c r="F412">
        <v>58299758065.946297</v>
      </c>
      <c r="G412">
        <v>1635510926959.4399</v>
      </c>
      <c r="H412">
        <v>366701098489.33197</v>
      </c>
      <c r="I412">
        <v>894516622195.79797</v>
      </c>
      <c r="J412">
        <v>656847056624.64099</v>
      </c>
      <c r="K412">
        <v>4131360756282.0498</v>
      </c>
      <c r="L412">
        <v>-366970818105.32703</v>
      </c>
      <c r="M412">
        <v>4788207812906.6904</v>
      </c>
      <c r="N412">
        <v>-6968877706480.6797</v>
      </c>
      <c r="O412">
        <v>826015619676.48706</v>
      </c>
      <c r="P412">
        <v>545170308986.48102</v>
      </c>
      <c r="Q412">
        <v>852782808425.51904</v>
      </c>
      <c r="R412">
        <v>426391404212.75897</v>
      </c>
      <c r="S412">
        <v>426391404212.75897</v>
      </c>
      <c r="T412">
        <v>399624215463.72803</v>
      </c>
      <c r="U412">
        <v>162323207580.23001</v>
      </c>
      <c r="V412">
        <v>3083143780537.1401</v>
      </c>
      <c r="W412">
        <v>544913507322.53497</v>
      </c>
      <c r="X412">
        <v>0.27457088930875601</v>
      </c>
      <c r="Y412">
        <v>4826952813000.8496</v>
      </c>
      <c r="Z412">
        <v>2248168326829.6499</v>
      </c>
      <c r="AA412">
        <v>0.78991549607747302</v>
      </c>
      <c r="AB412">
        <v>2512421199938.29</v>
      </c>
      <c r="AC412">
        <v>1439686931182.28</v>
      </c>
      <c r="AD412">
        <v>1984600438504.8101</v>
      </c>
      <c r="AE412">
        <v>-3885733925943.5498</v>
      </c>
      <c r="AF412">
        <v>-204647610525.09698</v>
      </c>
      <c r="AG412">
        <v>5.5594999999999999E-2</v>
      </c>
      <c r="AH412">
        <v>-11757085519387.4</v>
      </c>
      <c r="AI412">
        <v>5331312107366.79</v>
      </c>
      <c r="AJ412">
        <v>0.06</v>
      </c>
      <c r="AK412">
        <v>0.05</v>
      </c>
      <c r="AL412">
        <v>8.8099999999999998E-2</v>
      </c>
      <c r="AM412">
        <v>3.8100000000000002E-2</v>
      </c>
      <c r="AN412">
        <v>0.89</v>
      </c>
      <c r="AO412">
        <v>0.66</v>
      </c>
      <c r="AP412">
        <v>0.42970000000000003</v>
      </c>
      <c r="AQ412">
        <v>0.57030000000000003</v>
      </c>
      <c r="AR412">
        <v>8.9999999999999993E-3</v>
      </c>
      <c r="AS412">
        <v>0.5</v>
      </c>
      <c r="AT412">
        <v>1.82</v>
      </c>
      <c r="AU412">
        <v>6.3545217126973294E-2</v>
      </c>
      <c r="AV412">
        <v>0.7893</v>
      </c>
      <c r="AW412">
        <v>3</v>
      </c>
      <c r="AX412">
        <v>0.05</v>
      </c>
      <c r="AY412">
        <v>1</v>
      </c>
      <c r="AZ412">
        <v>1</v>
      </c>
      <c r="BA412" s="2">
        <f>modelo_tese_H__2[[#This Row],[Vw]]+modelo_tese_H__2[[#This Row],[Vr]]+modelo_tese_H__2[[#This Row],[K]]-modelo_tese_H__2[[#This Row],[E]]</f>
        <v>-3846988925849.4106</v>
      </c>
      <c r="BB412" s="2">
        <f>modelo_tese_H__2[[#This Row],[K]]-modelo_tese_H__2[[#This Row],[Coluna1]]</f>
        <v>8673941738850.2598</v>
      </c>
      <c r="BC412">
        <f>modelo_tese_H__2[[#This Row],[Coluna2]]/modelo_tese_H__2[[#This Row],[Coluna1]]</f>
        <v>-2.2547353023469032</v>
      </c>
      <c r="BD412" s="8">
        <f>modelo_tese_H__2[[#This Row],[D]]-modelo_tese_H__2[[#This Row],[Dw]]-modelo_tese_H__2[[#This Row],[Dr]]</f>
        <v>-1.025390625E-2</v>
      </c>
    </row>
    <row r="413" spans="1:56" x14ac:dyDescent="0.25">
      <c r="A413">
        <v>412</v>
      </c>
      <c r="B413">
        <v>412</v>
      </c>
      <c r="C413">
        <v>1194764243112.6799</v>
      </c>
      <c r="D413">
        <v>556898247365.65295</v>
      </c>
      <c r="E413">
        <v>495639440155.43103</v>
      </c>
      <c r="F413">
        <v>61540730234.720001</v>
      </c>
      <c r="G413">
        <v>1726454044849.8301</v>
      </c>
      <c r="H413">
        <v>387087846059.84698</v>
      </c>
      <c r="I413">
        <v>944268016449.99805</v>
      </c>
      <c r="J413">
        <v>693361914001.96204</v>
      </c>
      <c r="K413">
        <v>4361043757527.5498</v>
      </c>
      <c r="L413">
        <v>-387369769084.34497</v>
      </c>
      <c r="M413">
        <v>5054405671529.5098</v>
      </c>
      <c r="N413">
        <v>-7356247475565.0303</v>
      </c>
      <c r="O413">
        <v>871946487297.89502</v>
      </c>
      <c r="P413">
        <v>575484681616.60999</v>
      </c>
      <c r="Q413">
        <v>900210757961.63</v>
      </c>
      <c r="R413">
        <v>450105378980.815</v>
      </c>
      <c r="S413">
        <v>450105378980.815</v>
      </c>
      <c r="T413">
        <v>421841108317.08002</v>
      </c>
      <c r="U413">
        <v>171344881654.39999</v>
      </c>
      <c r="V413">
        <v>3254488662191.54</v>
      </c>
      <c r="W413">
        <v>575222303007.69897</v>
      </c>
      <c r="X413">
        <v>0.27457239476032802</v>
      </c>
      <c r="Y413">
        <v>5095445351444.75</v>
      </c>
      <c r="Z413">
        <v>2373285250856.54</v>
      </c>
      <c r="AA413">
        <v>0.78990921388039004</v>
      </c>
      <c r="AB413">
        <v>2652171875275.1899</v>
      </c>
      <c r="AC413">
        <v>1519752698066.6101</v>
      </c>
      <c r="AD413">
        <v>2094975001074.3101</v>
      </c>
      <c r="AE413">
        <v>-4101758813373.4902</v>
      </c>
      <c r="AF413">
        <v>-216024887429.94501</v>
      </c>
      <c r="AG413">
        <v>5.5594999999999999E-2</v>
      </c>
      <c r="AH413">
        <v>-12410653147094.5</v>
      </c>
      <c r="AI413">
        <v>5627773913048.0703</v>
      </c>
      <c r="AJ413">
        <v>0.06</v>
      </c>
      <c r="AK413">
        <v>0.05</v>
      </c>
      <c r="AL413">
        <v>8.8099999999999998E-2</v>
      </c>
      <c r="AM413">
        <v>3.8100000000000002E-2</v>
      </c>
      <c r="AN413">
        <v>0.89</v>
      </c>
      <c r="AO413">
        <v>0.66</v>
      </c>
      <c r="AP413">
        <v>0.42970000000000003</v>
      </c>
      <c r="AQ413">
        <v>0.57030000000000003</v>
      </c>
      <c r="AR413">
        <v>8.9999999999999993E-3</v>
      </c>
      <c r="AS413">
        <v>0.5</v>
      </c>
      <c r="AT413">
        <v>1.82</v>
      </c>
      <c r="AU413">
        <v>6.3545217126973294E-2</v>
      </c>
      <c r="AV413">
        <v>0.7893</v>
      </c>
      <c r="AW413">
        <v>3</v>
      </c>
      <c r="AX413">
        <v>0.05</v>
      </c>
      <c r="AY413">
        <v>1</v>
      </c>
      <c r="AZ413">
        <v>1</v>
      </c>
      <c r="BA413" s="2">
        <f>modelo_tese_H__2[[#This Row],[Vw]]+modelo_tese_H__2[[#This Row],[Vr]]+modelo_tese_H__2[[#This Row],[K]]-modelo_tese_H__2[[#This Row],[E]]</f>
        <v>-4060719133458.2197</v>
      </c>
      <c r="BB413" s="2">
        <f>modelo_tese_H__2[[#This Row],[K]]-modelo_tese_H__2[[#This Row],[Coluna1]]</f>
        <v>9156164484902.9688</v>
      </c>
      <c r="BC413">
        <f>modelo_tese_H__2[[#This Row],[Coluna2]]/modelo_tese_H__2[[#This Row],[Coluna1]]</f>
        <v>-2.2548135401586684</v>
      </c>
      <c r="BD413" s="8">
        <f>modelo_tese_H__2[[#This Row],[D]]-modelo_tese_H__2[[#This Row],[Dw]]-modelo_tese_H__2[[#This Row],[Dr]]</f>
        <v>0</v>
      </c>
    </row>
    <row r="414" spans="1:56" x14ac:dyDescent="0.25">
      <c r="A414">
        <v>413</v>
      </c>
      <c r="B414">
        <v>413</v>
      </c>
      <c r="C414">
        <v>1261211414548.99</v>
      </c>
      <c r="D414">
        <v>587883595644.70203</v>
      </c>
      <c r="E414">
        <v>523216400123.78497</v>
      </c>
      <c r="F414">
        <v>64961875148.167603</v>
      </c>
      <c r="G414">
        <v>1822453903087.1399</v>
      </c>
      <c r="H414">
        <v>408607994861.54401</v>
      </c>
      <c r="I414">
        <v>996786270133.49695</v>
      </c>
      <c r="J414">
        <v>731906700226.65503</v>
      </c>
      <c r="K414">
        <v>4603495985227.2998</v>
      </c>
      <c r="L414">
        <v>-408902674488.79401</v>
      </c>
      <c r="M414">
        <v>5335402685453.9502</v>
      </c>
      <c r="N414">
        <v>-7765150150053.8203</v>
      </c>
      <c r="O414">
        <v>920431264185.42297</v>
      </c>
      <c r="P414">
        <v>607484634362.37903</v>
      </c>
      <c r="Q414">
        <v>950276249047.34595</v>
      </c>
      <c r="R414">
        <v>475138124523.67297</v>
      </c>
      <c r="S414">
        <v>475138124523.67297</v>
      </c>
      <c r="T414">
        <v>445293139661.75</v>
      </c>
      <c r="U414">
        <v>180867995246.255</v>
      </c>
      <c r="V414">
        <v>3435356657437.79</v>
      </c>
      <c r="W414">
        <v>607216759100.46204</v>
      </c>
      <c r="X414">
        <v>0.27457388485419199</v>
      </c>
      <c r="Y414">
        <v>5378870929329.0303</v>
      </c>
      <c r="Z414">
        <v>2505363885433.3301</v>
      </c>
      <c r="AA414">
        <v>0.78990299574189704</v>
      </c>
      <c r="AB414">
        <v>2799695248046.5698</v>
      </c>
      <c r="AC414">
        <v>1604270904495.8799</v>
      </c>
      <c r="AD414">
        <v>2211487663596.3398</v>
      </c>
      <c r="AE414">
        <v>-4329793492616.0298</v>
      </c>
      <c r="AF414">
        <v>-228034679242.539</v>
      </c>
      <c r="AG414">
        <v>5.5594999999999999E-2</v>
      </c>
      <c r="AH414">
        <v>-13100552835507.801</v>
      </c>
      <c r="AI414">
        <v>5940720542871.1201</v>
      </c>
      <c r="AJ414">
        <v>0.06</v>
      </c>
      <c r="AK414">
        <v>0.05</v>
      </c>
      <c r="AL414">
        <v>8.8099999999999998E-2</v>
      </c>
      <c r="AM414">
        <v>3.8100000000000002E-2</v>
      </c>
      <c r="AN414">
        <v>0.89</v>
      </c>
      <c r="AO414">
        <v>0.66</v>
      </c>
      <c r="AP414">
        <v>0.42970000000000003</v>
      </c>
      <c r="AQ414">
        <v>0.57030000000000003</v>
      </c>
      <c r="AR414">
        <v>8.9999999999999993E-3</v>
      </c>
      <c r="AS414">
        <v>0.5</v>
      </c>
      <c r="AT414">
        <v>1.82</v>
      </c>
      <c r="AU414">
        <v>6.3545217126973294E-2</v>
      </c>
      <c r="AV414">
        <v>0.7893</v>
      </c>
      <c r="AW414">
        <v>3</v>
      </c>
      <c r="AX414">
        <v>0.05</v>
      </c>
      <c r="AY414">
        <v>1</v>
      </c>
      <c r="AZ414">
        <v>1</v>
      </c>
      <c r="BA414" s="2">
        <f>modelo_tese_H__2[[#This Row],[Vw]]+modelo_tese_H__2[[#This Row],[Vr]]+modelo_tese_H__2[[#This Row],[K]]-modelo_tese_H__2[[#This Row],[E]]</f>
        <v>-4286325248740.9805</v>
      </c>
      <c r="BB414" s="2">
        <f>modelo_tese_H__2[[#This Row],[K]]-modelo_tese_H__2[[#This Row],[Coluna1]]</f>
        <v>9665196178070.0117</v>
      </c>
      <c r="BC414">
        <f>modelo_tese_H__2[[#This Row],[Coluna2]]/modelo_tese_H__2[[#This Row],[Coluna1]]</f>
        <v>-2.2548909887108923</v>
      </c>
      <c r="BD414" s="8">
        <f>modelo_tese_H__2[[#This Row],[D]]-modelo_tese_H__2[[#This Row],[Dw]]-modelo_tese_H__2[[#This Row],[Dr]]</f>
        <v>0</v>
      </c>
    </row>
    <row r="415" spans="1:56" x14ac:dyDescent="0.25">
      <c r="A415">
        <v>414</v>
      </c>
      <c r="B415">
        <v>414</v>
      </c>
      <c r="C415">
        <v>1331353804645.5</v>
      </c>
      <c r="D415">
        <v>620592677643.245</v>
      </c>
      <c r="E415">
        <v>552327483102.48804</v>
      </c>
      <c r="F415">
        <v>68573209101.712196</v>
      </c>
      <c r="G415">
        <v>1923791665136.73</v>
      </c>
      <c r="H415">
        <v>431324556335.87201</v>
      </c>
      <c r="I415">
        <v>1052225248540.0699</v>
      </c>
      <c r="J415">
        <v>772594264049.73206</v>
      </c>
      <c r="K415">
        <v>4859427344526.0098</v>
      </c>
      <c r="L415">
        <v>-431632570896.82703</v>
      </c>
      <c r="M415">
        <v>5632021608575.7402</v>
      </c>
      <c r="N415">
        <v>-8196782720950.6504</v>
      </c>
      <c r="O415">
        <v>971611952089.25806</v>
      </c>
      <c r="P415">
        <v>641263888378.91003</v>
      </c>
      <c r="Q415">
        <v>1003125951001.53</v>
      </c>
      <c r="R415">
        <v>501562975500.76501</v>
      </c>
      <c r="S415">
        <v>501562975500.76501</v>
      </c>
      <c r="T415">
        <v>470048976588.49298</v>
      </c>
      <c r="U415">
        <v>190920420483.06201</v>
      </c>
      <c r="V415">
        <v>3626277077920.8501</v>
      </c>
      <c r="W415">
        <v>640990618728.05103</v>
      </c>
      <c r="X415">
        <v>0.27457535974678499</v>
      </c>
      <c r="Y415">
        <v>5678060026954.9102</v>
      </c>
      <c r="Z415">
        <v>2644791528660.6099</v>
      </c>
      <c r="AA415">
        <v>0.78989684101001401</v>
      </c>
      <c r="AB415">
        <v>2955423587543.4199</v>
      </c>
      <c r="AC415">
        <v>1693489136918.98</v>
      </c>
      <c r="AD415">
        <v>2334479755647.0298</v>
      </c>
      <c r="AE415">
        <v>-4570505643029.79</v>
      </c>
      <c r="AF415">
        <v>-240712150413.76501</v>
      </c>
      <c r="AG415">
        <v>5.5594999999999999E-2</v>
      </c>
      <c r="AH415">
        <v>-13828804329526.4</v>
      </c>
      <c r="AI415">
        <v>6271068606581.46</v>
      </c>
      <c r="AJ415">
        <v>0.06</v>
      </c>
      <c r="AK415">
        <v>0.05</v>
      </c>
      <c r="AL415">
        <v>8.8099999999999998E-2</v>
      </c>
      <c r="AM415">
        <v>3.8100000000000002E-2</v>
      </c>
      <c r="AN415">
        <v>0.89</v>
      </c>
      <c r="AO415">
        <v>0.66</v>
      </c>
      <c r="AP415">
        <v>0.42970000000000003</v>
      </c>
      <c r="AQ415">
        <v>0.57030000000000003</v>
      </c>
      <c r="AR415">
        <v>8.9999999999999993E-3</v>
      </c>
      <c r="AS415">
        <v>0.5</v>
      </c>
      <c r="AT415">
        <v>1.82</v>
      </c>
      <c r="AU415">
        <v>6.3545217126973294E-2</v>
      </c>
      <c r="AV415">
        <v>0.7893</v>
      </c>
      <c r="AW415">
        <v>3</v>
      </c>
      <c r="AX415">
        <v>0.05</v>
      </c>
      <c r="AY415">
        <v>1</v>
      </c>
      <c r="AZ415">
        <v>1</v>
      </c>
      <c r="BA415" s="2">
        <f>modelo_tese_H__2[[#This Row],[Vw]]+modelo_tese_H__2[[#This Row],[Vr]]+modelo_tese_H__2[[#This Row],[K]]-modelo_tese_H__2[[#This Row],[E]]</f>
        <v>-4524467224650.6406</v>
      </c>
      <c r="BB415" s="2">
        <f>modelo_tese_H__2[[#This Row],[K]]-modelo_tese_H__2[[#This Row],[Coluna1]]</f>
        <v>10202527251605.551</v>
      </c>
      <c r="BC415">
        <f>modelo_tese_H__2[[#This Row],[Coluna2]]/modelo_tese_H__2[[#This Row],[Coluna1]]</f>
        <v>-2.2549676558643532</v>
      </c>
      <c r="BD415" s="8">
        <f>modelo_tese_H__2[[#This Row],[D]]-modelo_tese_H__2[[#This Row],[Dw]]-modelo_tese_H__2[[#This Row],[Dr]]</f>
        <v>1.025390625E-2</v>
      </c>
    </row>
    <row r="416" spans="1:56" x14ac:dyDescent="0.25">
      <c r="A416">
        <v>415</v>
      </c>
      <c r="B416">
        <v>415</v>
      </c>
      <c r="C416">
        <v>1405396897891.3</v>
      </c>
      <c r="D416">
        <v>655121373823.28101</v>
      </c>
      <c r="E416">
        <v>583058022702.71997</v>
      </c>
      <c r="F416">
        <v>72385305228.4095</v>
      </c>
      <c r="G416">
        <v>2030764127270.9099</v>
      </c>
      <c r="H416">
        <v>455304045045.36401</v>
      </c>
      <c r="I416">
        <v>1110747372976.49</v>
      </c>
      <c r="J416">
        <v>815543727817.84705</v>
      </c>
      <c r="K416">
        <v>5129587207744.9297</v>
      </c>
      <c r="L416">
        <v>-455625999153.21301</v>
      </c>
      <c r="M416">
        <v>5945130935562.7803</v>
      </c>
      <c r="N416">
        <v>-8652408720103.8604</v>
      </c>
      <c r="O416">
        <v>1025638448116.62</v>
      </c>
      <c r="P416">
        <v>676921375756.96997</v>
      </c>
      <c r="Q416">
        <v>1058914688802.2</v>
      </c>
      <c r="R416">
        <v>529457344401.099</v>
      </c>
      <c r="S416">
        <v>529457344401.099</v>
      </c>
      <c r="T416">
        <v>496181103715.52301</v>
      </c>
      <c r="U416">
        <v>201531578800.71301</v>
      </c>
      <c r="V416">
        <v>3827808656721.5698</v>
      </c>
      <c r="W416">
        <v>676642837960.03699</v>
      </c>
      <c r="X416">
        <v>0.27457681959295499</v>
      </c>
      <c r="Y416">
        <v>5993889307642.1104</v>
      </c>
      <c r="Z416">
        <v>2791977022219.5498</v>
      </c>
      <c r="AA416">
        <v>0.78989074903941503</v>
      </c>
      <c r="AB416">
        <v>3119813201623.5698</v>
      </c>
      <c r="AC416">
        <v>1787668748733.46</v>
      </c>
      <c r="AD416">
        <v>2464311586693.5</v>
      </c>
      <c r="AE416">
        <v>-4824600063382.29</v>
      </c>
      <c r="AF416">
        <v>-254094420352.5</v>
      </c>
      <c r="AG416">
        <v>5.5594999999999999E-2</v>
      </c>
      <c r="AH416">
        <v>-14597539655666.6</v>
      </c>
      <c r="AI416">
        <v>6619785678941.1201</v>
      </c>
      <c r="AJ416">
        <v>0.06</v>
      </c>
      <c r="AK416">
        <v>0.05</v>
      </c>
      <c r="AL416">
        <v>8.8099999999999998E-2</v>
      </c>
      <c r="AM416">
        <v>3.8100000000000002E-2</v>
      </c>
      <c r="AN416">
        <v>0.89</v>
      </c>
      <c r="AO416">
        <v>0.66</v>
      </c>
      <c r="AP416">
        <v>0.42970000000000003</v>
      </c>
      <c r="AQ416">
        <v>0.57030000000000003</v>
      </c>
      <c r="AR416">
        <v>8.9999999999999993E-3</v>
      </c>
      <c r="AS416">
        <v>0.5</v>
      </c>
      <c r="AT416">
        <v>1.82</v>
      </c>
      <c r="AU416">
        <v>6.3545217126973294E-2</v>
      </c>
      <c r="AV416">
        <v>0.7893</v>
      </c>
      <c r="AW416">
        <v>3</v>
      </c>
      <c r="AX416">
        <v>0.05</v>
      </c>
      <c r="AY416">
        <v>1</v>
      </c>
      <c r="AZ416">
        <v>1</v>
      </c>
      <c r="BA416" s="2">
        <f>modelo_tese_H__2[[#This Row],[Vw]]+modelo_tese_H__2[[#This Row],[Vr]]+modelo_tese_H__2[[#This Row],[K]]-modelo_tese_H__2[[#This Row],[E]]</f>
        <v>-4775841691302.9189</v>
      </c>
      <c r="BB416" s="2">
        <f>modelo_tese_H__2[[#This Row],[K]]-modelo_tese_H__2[[#This Row],[Coluna1]]</f>
        <v>10769730998945.029</v>
      </c>
      <c r="BC416">
        <f>modelo_tese_H__2[[#This Row],[Coluna2]]/modelo_tese_H__2[[#This Row],[Coluna1]]</f>
        <v>-2.255043549403517</v>
      </c>
      <c r="BD416" s="8">
        <f>modelo_tese_H__2[[#This Row],[D]]-modelo_tese_H__2[[#This Row],[Dw]]-modelo_tese_H__2[[#This Row],[Dr]]</f>
        <v>0</v>
      </c>
    </row>
    <row r="417" spans="1:56" x14ac:dyDescent="0.25">
      <c r="A417">
        <v>416</v>
      </c>
      <c r="B417">
        <v>416</v>
      </c>
      <c r="C417">
        <v>1483557604874.3601</v>
      </c>
      <c r="D417">
        <v>691570897340.22095</v>
      </c>
      <c r="E417">
        <v>615498098632.797</v>
      </c>
      <c r="F417">
        <v>76409324455.5159</v>
      </c>
      <c r="G417">
        <v>2143684587743.1101</v>
      </c>
      <c r="H417">
        <v>480616673429.66101</v>
      </c>
      <c r="I417">
        <v>1172524096517.97</v>
      </c>
      <c r="J417">
        <v>860880836243.50195</v>
      </c>
      <c r="K417">
        <v>5414766608559.5098</v>
      </c>
      <c r="L417">
        <v>-480953199177.75299</v>
      </c>
      <c r="M417">
        <v>6275647444803.0098</v>
      </c>
      <c r="N417">
        <v>-9133361919281.6191</v>
      </c>
      <c r="O417">
        <v>1082668983708.64</v>
      </c>
      <c r="P417">
        <v>714561529247.70496</v>
      </c>
      <c r="Q417">
        <v>1117805896571.1299</v>
      </c>
      <c r="R417">
        <v>558902948285.56299</v>
      </c>
      <c r="S417">
        <v>558902948285.56299</v>
      </c>
      <c r="T417">
        <v>523766035423.08099</v>
      </c>
      <c r="U417">
        <v>212732527066.694</v>
      </c>
      <c r="V417">
        <v>4040541183788.2598</v>
      </c>
      <c r="W417">
        <v>714277875679.80701</v>
      </c>
      <c r="X417">
        <v>0.274578264545978</v>
      </c>
      <c r="Y417">
        <v>6327284185832.75</v>
      </c>
      <c r="Z417">
        <v>2947351949613.79</v>
      </c>
      <c r="AA417">
        <v>0.78988471919132797</v>
      </c>
      <c r="AB417">
        <v>3293345773429.73</v>
      </c>
      <c r="AC417">
        <v>1887085625765.6799</v>
      </c>
      <c r="AD417">
        <v>2601363501445.4902</v>
      </c>
      <c r="AE417">
        <v>-5092820735493.3496</v>
      </c>
      <c r="AF417">
        <v>-268220672111.05899</v>
      </c>
      <c r="AG417">
        <v>5.5594999999999999E-2</v>
      </c>
      <c r="AH417">
        <v>-15409009364084.6</v>
      </c>
      <c r="AI417">
        <v>6987893133402.0596</v>
      </c>
      <c r="AJ417">
        <v>0.06</v>
      </c>
      <c r="AK417">
        <v>0.05</v>
      </c>
      <c r="AL417">
        <v>8.8099999999999998E-2</v>
      </c>
      <c r="AM417">
        <v>3.8100000000000002E-2</v>
      </c>
      <c r="AN417">
        <v>0.89</v>
      </c>
      <c r="AO417">
        <v>0.66</v>
      </c>
      <c r="AP417">
        <v>0.42970000000000003</v>
      </c>
      <c r="AQ417">
        <v>0.57030000000000003</v>
      </c>
      <c r="AR417">
        <v>8.9999999999999993E-3</v>
      </c>
      <c r="AS417">
        <v>0.5</v>
      </c>
      <c r="AT417">
        <v>1.82</v>
      </c>
      <c r="AU417">
        <v>6.3545217126973294E-2</v>
      </c>
      <c r="AV417">
        <v>0.7893</v>
      </c>
      <c r="AW417">
        <v>3</v>
      </c>
      <c r="AX417">
        <v>0.05</v>
      </c>
      <c r="AY417">
        <v>1</v>
      </c>
      <c r="AZ417">
        <v>1</v>
      </c>
      <c r="BA417" s="2">
        <f>modelo_tese_H__2[[#This Row],[Vw]]+modelo_tese_H__2[[#This Row],[Vr]]+modelo_tese_H__2[[#This Row],[K]]-modelo_tese_H__2[[#This Row],[E]]</f>
        <v>-5041183994463.5801</v>
      </c>
      <c r="BB417" s="2">
        <f>modelo_tese_H__2[[#This Row],[K]]-modelo_tese_H__2[[#This Row],[Coluna1]]</f>
        <v>11368468180296.33</v>
      </c>
      <c r="BC417">
        <f>modelo_tese_H__2[[#This Row],[Coluna2]]/modelo_tese_H__2[[#This Row],[Coluna1]]</f>
        <v>-2.2551186770373022</v>
      </c>
      <c r="BD417" s="8">
        <f>modelo_tese_H__2[[#This Row],[D]]-modelo_tese_H__2[[#This Row],[Dw]]-modelo_tese_H__2[[#This Row],[Dr]]</f>
        <v>9.765625E-3</v>
      </c>
    </row>
    <row r="418" spans="1:56" x14ac:dyDescent="0.25">
      <c r="A418">
        <v>417</v>
      </c>
      <c r="B418">
        <v>417</v>
      </c>
      <c r="C418">
        <v>1566064897613.47</v>
      </c>
      <c r="D418">
        <v>730048090613.31897</v>
      </c>
      <c r="E418">
        <v>649742800645.854</v>
      </c>
      <c r="F418">
        <v>80657048182.049698</v>
      </c>
      <c r="G418">
        <v>2262883764286.8501</v>
      </c>
      <c r="H418">
        <v>507336557388.98297</v>
      </c>
      <c r="I418">
        <v>1237736406216.8899</v>
      </c>
      <c r="J418">
        <v>908738324564.67505</v>
      </c>
      <c r="K418">
        <v>5715800558162.3799</v>
      </c>
      <c r="L418">
        <v>-507688315603.56799</v>
      </c>
      <c r="M418">
        <v>6624538882727.0498</v>
      </c>
      <c r="N418">
        <v>-9641050234885.1797</v>
      </c>
      <c r="O418">
        <v>1142870588023.6599</v>
      </c>
      <c r="P418">
        <v>754294588095.61597</v>
      </c>
      <c r="Q418">
        <v>1179972096273.03</v>
      </c>
      <c r="R418">
        <v>589986048136.51501</v>
      </c>
      <c r="S418">
        <v>589986048136.51501</v>
      </c>
      <c r="T418">
        <v>552884539887.14502</v>
      </c>
      <c r="U418">
        <v>224556048490.56</v>
      </c>
      <c r="V418">
        <v>4265097232278.8198</v>
      </c>
      <c r="W418">
        <v>754005999574</v>
      </c>
      <c r="X418">
        <v>0.27457969475757299</v>
      </c>
      <c r="Y418">
        <v>6679221537993.9502</v>
      </c>
      <c r="Z418">
        <v>3111371901051.2798</v>
      </c>
      <c r="AA418">
        <v>0.78987875083338899</v>
      </c>
      <c r="AB418">
        <v>3476529772435.5801</v>
      </c>
      <c r="AC418">
        <v>1992030994312.5</v>
      </c>
      <c r="AD418">
        <v>2746036993886.5</v>
      </c>
      <c r="AE418">
        <v>-5375953002606.3604</v>
      </c>
      <c r="AF418">
        <v>-283132267113.008</v>
      </c>
      <c r="AG418">
        <v>5.5594999999999999E-2</v>
      </c>
      <c r="AH418">
        <v>-16265589117612.199</v>
      </c>
      <c r="AI418">
        <v>7376469133330.0996</v>
      </c>
      <c r="AJ418">
        <v>0.06</v>
      </c>
      <c r="AK418">
        <v>0.05</v>
      </c>
      <c r="AL418">
        <v>8.8099999999999998E-2</v>
      </c>
      <c r="AM418">
        <v>3.8100000000000002E-2</v>
      </c>
      <c r="AN418">
        <v>0.89</v>
      </c>
      <c r="AO418">
        <v>0.66</v>
      </c>
      <c r="AP418">
        <v>0.42970000000000003</v>
      </c>
      <c r="AQ418">
        <v>0.57030000000000003</v>
      </c>
      <c r="AR418">
        <v>8.9999999999999993E-3</v>
      </c>
      <c r="AS418">
        <v>0.5</v>
      </c>
      <c r="AT418">
        <v>1.82</v>
      </c>
      <c r="AU418">
        <v>6.3545217126973294E-2</v>
      </c>
      <c r="AV418">
        <v>0.7893</v>
      </c>
      <c r="AW418">
        <v>3</v>
      </c>
      <c r="AX418">
        <v>0.05</v>
      </c>
      <c r="AY418">
        <v>1</v>
      </c>
      <c r="AZ418">
        <v>1</v>
      </c>
      <c r="BA418" s="2">
        <f>modelo_tese_H__2[[#This Row],[Vw]]+modelo_tese_H__2[[#This Row],[Vr]]+modelo_tese_H__2[[#This Row],[K]]-modelo_tese_H__2[[#This Row],[E]]</f>
        <v>-5321270347339.4297</v>
      </c>
      <c r="BB418" s="2">
        <f>modelo_tese_H__2[[#This Row],[K]]-modelo_tese_H__2[[#This Row],[Coluna1]]</f>
        <v>12000491885333.379</v>
      </c>
      <c r="BC418">
        <f>modelo_tese_H__2[[#This Row],[Coluna2]]/modelo_tese_H__2[[#This Row],[Coluna1]]</f>
        <v>-2.2551930463998091</v>
      </c>
      <c r="BD418" s="8">
        <f>modelo_tese_H__2[[#This Row],[D]]-modelo_tese_H__2[[#This Row],[Dw]]-modelo_tese_H__2[[#This Row],[Dr]]</f>
        <v>0</v>
      </c>
    </row>
    <row r="419" spans="1:56" x14ac:dyDescent="0.25">
      <c r="A419">
        <v>418</v>
      </c>
      <c r="B419">
        <v>418</v>
      </c>
      <c r="C419">
        <v>1653160480216.3201</v>
      </c>
      <c r="D419">
        <v>770665738388.83301</v>
      </c>
      <c r="E419">
        <v>685892507166.06104</v>
      </c>
      <c r="F419">
        <v>85140912773.020905</v>
      </c>
      <c r="G419">
        <v>2388710762626.48</v>
      </c>
      <c r="H419">
        <v>535541933297.02399</v>
      </c>
      <c r="I419">
        <v>1306575353236.1101</v>
      </c>
      <c r="J419">
        <v>959256307171.78198</v>
      </c>
      <c r="K419">
        <v>6033570490193.4102</v>
      </c>
      <c r="L419">
        <v>-535909614847.27301</v>
      </c>
      <c r="M419">
        <v>6992826797365.2002</v>
      </c>
      <c r="N419">
        <v>-10176959849732.5</v>
      </c>
      <c r="O419">
        <v>1206419577084.0801</v>
      </c>
      <c r="P419">
        <v>796236920875.49304</v>
      </c>
      <c r="Q419">
        <v>1245595403031.6599</v>
      </c>
      <c r="R419">
        <v>622797701515.828</v>
      </c>
      <c r="S419">
        <v>622797701515.828</v>
      </c>
      <c r="T419">
        <v>583621875568.25305</v>
      </c>
      <c r="U419">
        <v>237036748588.039</v>
      </c>
      <c r="V419">
        <v>4502133980866.8604</v>
      </c>
      <c r="W419">
        <v>795943609136.37598</v>
      </c>
      <c r="X419">
        <v>0.27458111037791799</v>
      </c>
      <c r="Y419">
        <v>7050732564259.3398</v>
      </c>
      <c r="Z419">
        <v>3284517808671.8301</v>
      </c>
      <c r="AA419">
        <v>0.78987284333974095</v>
      </c>
      <c r="AB419">
        <v>3669901943952.7202</v>
      </c>
      <c r="AC419">
        <v>2102812274111.6001</v>
      </c>
      <c r="AD419">
        <v>2898755883247.98</v>
      </c>
      <c r="AE419">
        <v>-5674825868865.5996</v>
      </c>
      <c r="AF419">
        <v>-298872866259.23499</v>
      </c>
      <c r="AG419">
        <v>5.5594999999999999E-2</v>
      </c>
      <c r="AH419">
        <v>-17169786647097.699</v>
      </c>
      <c r="AI419">
        <v>7786651789538.6904</v>
      </c>
      <c r="AJ419">
        <v>0.06</v>
      </c>
      <c r="AK419">
        <v>0.05</v>
      </c>
      <c r="AL419">
        <v>8.8099999999999998E-2</v>
      </c>
      <c r="AM419">
        <v>3.8100000000000002E-2</v>
      </c>
      <c r="AN419">
        <v>0.89</v>
      </c>
      <c r="AO419">
        <v>0.66</v>
      </c>
      <c r="AP419">
        <v>0.42970000000000003</v>
      </c>
      <c r="AQ419">
        <v>0.57030000000000003</v>
      </c>
      <c r="AR419">
        <v>8.9999999999999993E-3</v>
      </c>
      <c r="AS419">
        <v>0.5</v>
      </c>
      <c r="AT419">
        <v>1.82</v>
      </c>
      <c r="AU419">
        <v>6.3545217126973294E-2</v>
      </c>
      <c r="AV419">
        <v>0.7893</v>
      </c>
      <c r="AW419">
        <v>3</v>
      </c>
      <c r="AX419">
        <v>0.05</v>
      </c>
      <c r="AY419">
        <v>1</v>
      </c>
      <c r="AZ419">
        <v>1</v>
      </c>
      <c r="BA419" s="2">
        <f>modelo_tese_H__2[[#This Row],[Vw]]+modelo_tese_H__2[[#This Row],[Vr]]+modelo_tese_H__2[[#This Row],[K]]-modelo_tese_H__2[[#This Row],[E]]</f>
        <v>-5616920101971.498</v>
      </c>
      <c r="BB419" s="2">
        <f>modelo_tese_H__2[[#This Row],[K]]-modelo_tese_H__2[[#This Row],[Coluna1]]</f>
        <v>12667652666230.838</v>
      </c>
      <c r="BC419">
        <f>modelo_tese_H__2[[#This Row],[Coluna2]]/modelo_tese_H__2[[#This Row],[Coluna1]]</f>
        <v>-2.2552666650509385</v>
      </c>
      <c r="BD419" s="8">
        <f>modelo_tese_H__2[[#This Row],[D]]-modelo_tese_H__2[[#This Row],[Dw]]-modelo_tese_H__2[[#This Row],[Dr]]</f>
        <v>4.00390625E-2</v>
      </c>
    </row>
    <row r="420" spans="1:56" x14ac:dyDescent="0.25">
      <c r="A420">
        <v>419</v>
      </c>
      <c r="B420">
        <v>419</v>
      </c>
      <c r="C420">
        <v>1745099496826.76</v>
      </c>
      <c r="D420">
        <v>813542898211.98596</v>
      </c>
      <c r="E420">
        <v>724053179408.66699</v>
      </c>
      <c r="F420">
        <v>89874045971.331207</v>
      </c>
      <c r="G420">
        <v>2521534098835.29</v>
      </c>
      <c r="H420">
        <v>565315387078.672</v>
      </c>
      <c r="I420">
        <v>1379242612458.6699</v>
      </c>
      <c r="J420">
        <v>1012582687839.87</v>
      </c>
      <c r="K420">
        <v>6369006841595.7197</v>
      </c>
      <c r="L420">
        <v>-565699714246.68506</v>
      </c>
      <c r="M420">
        <v>7381589529435.5801</v>
      </c>
      <c r="N420">
        <v>-10742659563979.1</v>
      </c>
      <c r="O420">
        <v>1273502070118.8301</v>
      </c>
      <c r="P420">
        <v>840511366278.43103</v>
      </c>
      <c r="Q420">
        <v>1314868058541.9199</v>
      </c>
      <c r="R420">
        <v>657434029270.95996</v>
      </c>
      <c r="S420">
        <v>657434029270.95996</v>
      </c>
      <c r="T420">
        <v>616068040847.87402</v>
      </c>
      <c r="U420">
        <v>250211156479.78799</v>
      </c>
      <c r="V420">
        <v>4752345137346.6504</v>
      </c>
      <c r="W420">
        <v>840213576631.57605</v>
      </c>
      <c r="X420">
        <v>0.27458251155566299</v>
      </c>
      <c r="Y420">
        <v>7442905809190.8398</v>
      </c>
      <c r="Z420">
        <v>3467297356032.4399</v>
      </c>
      <c r="AA420">
        <v>0.78986699609078403</v>
      </c>
      <c r="AB420">
        <v>3874028881461.1802</v>
      </c>
      <c r="AC420">
        <v>2219753978737.1001</v>
      </c>
      <c r="AD420">
        <v>3059967555368.6802</v>
      </c>
      <c r="AE420">
        <v>-5990314426632.5</v>
      </c>
      <c r="AF420">
        <v>-315488557766.89697</v>
      </c>
      <c r="AG420">
        <v>5.5594999999999999E-2</v>
      </c>
      <c r="AH420">
        <v>-18124249093414.699</v>
      </c>
      <c r="AI420">
        <v>8219642493379.0898</v>
      </c>
      <c r="AJ420">
        <v>0.06</v>
      </c>
      <c r="AK420">
        <v>0.05</v>
      </c>
      <c r="AL420">
        <v>8.8099999999999998E-2</v>
      </c>
      <c r="AM420">
        <v>3.8100000000000002E-2</v>
      </c>
      <c r="AN420">
        <v>0.89</v>
      </c>
      <c r="AO420">
        <v>0.66</v>
      </c>
      <c r="AP420">
        <v>0.42970000000000003</v>
      </c>
      <c r="AQ420">
        <v>0.57030000000000003</v>
      </c>
      <c r="AR420">
        <v>8.9999999999999993E-3</v>
      </c>
      <c r="AS420">
        <v>0.5</v>
      </c>
      <c r="AT420">
        <v>1.82</v>
      </c>
      <c r="AU420">
        <v>6.3545217126973294E-2</v>
      </c>
      <c r="AV420">
        <v>0.7893</v>
      </c>
      <c r="AW420">
        <v>3</v>
      </c>
      <c r="AX420">
        <v>0.05</v>
      </c>
      <c r="AY420">
        <v>1</v>
      </c>
      <c r="AZ420">
        <v>1</v>
      </c>
      <c r="BA420" s="2">
        <f>modelo_tese_H__2[[#This Row],[Vw]]+modelo_tese_H__2[[#This Row],[Vr]]+modelo_tese_H__2[[#This Row],[K]]-modelo_tese_H__2[[#This Row],[E]]</f>
        <v>-5928998146877.209</v>
      </c>
      <c r="BB420" s="2">
        <f>modelo_tese_H__2[[#This Row],[K]]-modelo_tese_H__2[[#This Row],[Coluna1]]</f>
        <v>13371903956068.049</v>
      </c>
      <c r="BC420">
        <f>modelo_tese_H__2[[#This Row],[Coluna2]]/modelo_tese_H__2[[#This Row],[Coluna1]]</f>
        <v>-2.2553395404771721</v>
      </c>
      <c r="BD420" s="8">
        <f>modelo_tese_H__2[[#This Row],[D]]-modelo_tese_H__2[[#This Row],[Dw]]-modelo_tese_H__2[[#This Row],[Dr]]</f>
        <v>-5.078125E-2</v>
      </c>
    </row>
    <row r="421" spans="1:56" x14ac:dyDescent="0.25">
      <c r="A421">
        <v>420</v>
      </c>
      <c r="B421">
        <v>420</v>
      </c>
      <c r="C421">
        <v>1842151278935.8601</v>
      </c>
      <c r="D421">
        <v>858805249277.021</v>
      </c>
      <c r="E421">
        <v>764336671856.54895</v>
      </c>
      <c r="F421">
        <v>94870305333.947098</v>
      </c>
      <c r="G421">
        <v>2661742778535.4902</v>
      </c>
      <c r="H421">
        <v>596744096023.31104</v>
      </c>
      <c r="I421">
        <v>1455951073213.8101</v>
      </c>
      <c r="J421">
        <v>1068873592767.12</v>
      </c>
      <c r="K421">
        <v>6723091776954.2305</v>
      </c>
      <c r="L421">
        <v>-597145823936.78601</v>
      </c>
      <c r="M421">
        <v>7791965369721.3496</v>
      </c>
      <c r="N421">
        <v>-11339805387915.9</v>
      </c>
      <c r="O421">
        <v>1344314534613.8799</v>
      </c>
      <c r="P421">
        <v>887247592845.16394</v>
      </c>
      <c r="Q421">
        <v>1387992994141.22</v>
      </c>
      <c r="R421">
        <v>693996497070.60901</v>
      </c>
      <c r="S421">
        <v>693996497070.60901</v>
      </c>
      <c r="T421">
        <v>650318037543.27502</v>
      </c>
      <c r="U421">
        <v>264117831821.22699</v>
      </c>
      <c r="V421">
        <v>5016462969167.8701</v>
      </c>
      <c r="W421">
        <v>886945607018.10303</v>
      </c>
      <c r="X421">
        <v>0.274583898437952</v>
      </c>
      <c r="Y421">
        <v>7856890350508.2998</v>
      </c>
      <c r="Z421">
        <v>3660246465979.9399</v>
      </c>
      <c r="AA421">
        <v>0.78986120847328101</v>
      </c>
      <c r="AB421">
        <v>4089508686368.5898</v>
      </c>
      <c r="AC421">
        <v>2343198666058.9702</v>
      </c>
      <c r="AD421">
        <v>3230144273077.0698</v>
      </c>
      <c r="AE421">
        <v>-6323342418748.0498</v>
      </c>
      <c r="AF421">
        <v>-333027992115.55902</v>
      </c>
      <c r="AG421">
        <v>5.5594999999999999E-2</v>
      </c>
      <c r="AH421">
        <v>-19131770757637.301</v>
      </c>
      <c r="AI421">
        <v>8676709435147.8096</v>
      </c>
      <c r="AJ421">
        <v>0.06</v>
      </c>
      <c r="AK421">
        <v>0.05</v>
      </c>
      <c r="AL421">
        <v>8.8099999999999998E-2</v>
      </c>
      <c r="AM421">
        <v>3.8100000000000002E-2</v>
      </c>
      <c r="AN421">
        <v>0.89</v>
      </c>
      <c r="AO421">
        <v>0.66</v>
      </c>
      <c r="AP421">
        <v>0.42970000000000003</v>
      </c>
      <c r="AQ421">
        <v>0.57030000000000003</v>
      </c>
      <c r="AR421">
        <v>8.9999999999999993E-3</v>
      </c>
      <c r="AS421">
        <v>0.5</v>
      </c>
      <c r="AT421">
        <v>1.82</v>
      </c>
      <c r="AU421">
        <v>6.3545217126973294E-2</v>
      </c>
      <c r="AV421">
        <v>0.7893</v>
      </c>
      <c r="AW421">
        <v>3</v>
      </c>
      <c r="AX421">
        <v>0.05</v>
      </c>
      <c r="AY421">
        <v>1</v>
      </c>
      <c r="AZ421">
        <v>1</v>
      </c>
      <c r="BA421" s="2">
        <f>modelo_tese_H__2[[#This Row],[Vw]]+modelo_tese_H__2[[#This Row],[Vr]]+modelo_tese_H__2[[#This Row],[K]]-modelo_tese_H__2[[#This Row],[E]]</f>
        <v>-6258417437961.1328</v>
      </c>
      <c r="BB421" s="2">
        <f>modelo_tese_H__2[[#This Row],[K]]-modelo_tese_H__2[[#This Row],[Coluna1]]</f>
        <v>14115307788469.434</v>
      </c>
      <c r="BC421">
        <f>modelo_tese_H__2[[#This Row],[Coluna2]]/modelo_tese_H__2[[#This Row],[Coluna1]]</f>
        <v>-2.2554116800920712</v>
      </c>
      <c r="BD421" s="8">
        <f>modelo_tese_H__2[[#This Row],[D]]-modelo_tese_H__2[[#This Row],[Dw]]-modelo_tese_H__2[[#This Row],[Dr]]</f>
        <v>-1.953125E-2</v>
      </c>
    </row>
    <row r="422" spans="1:56" x14ac:dyDescent="0.25">
      <c r="A422">
        <v>421</v>
      </c>
      <c r="B422">
        <v>421</v>
      </c>
      <c r="C422">
        <v>1944600134244.3501</v>
      </c>
      <c r="D422">
        <v>906585460676.27197</v>
      </c>
      <c r="E422">
        <v>806861060001.88196</v>
      </c>
      <c r="F422">
        <v>100144318804.89101</v>
      </c>
      <c r="G422">
        <v>2809747436099.71</v>
      </c>
      <c r="H422">
        <v>629920084041.72705</v>
      </c>
      <c r="I422">
        <v>1536925462848.5</v>
      </c>
      <c r="J422">
        <v>1128293827687.5801</v>
      </c>
      <c r="K422">
        <v>7096862064294</v>
      </c>
      <c r="L422">
        <v>-630340002172.22803</v>
      </c>
      <c r="M422">
        <v>8225155891981.5801</v>
      </c>
      <c r="N422">
        <v>-11970145390088.199</v>
      </c>
      <c r="O422">
        <v>1419064361666.52</v>
      </c>
      <c r="P422">
        <v>936582478699.90405</v>
      </c>
      <c r="Q422">
        <v>1465184425188.1399</v>
      </c>
      <c r="R422">
        <v>732592212594.06995</v>
      </c>
      <c r="S422">
        <v>732592212594.06995</v>
      </c>
      <c r="T422">
        <v>686472149072.45105</v>
      </c>
      <c r="U422">
        <v>278797477676.60303</v>
      </c>
      <c r="V422">
        <v>5295260446844.4805</v>
      </c>
      <c r="W422">
        <v>936276617884.08398</v>
      </c>
      <c r="X422">
        <v>0.27458527117043102</v>
      </c>
      <c r="Y422">
        <v>8293899165126.5098</v>
      </c>
      <c r="Z422">
        <v>3863930871269.9502</v>
      </c>
      <c r="AA422">
        <v>0.78985547988023597</v>
      </c>
      <c r="AB422">
        <v>4316972720059.5</v>
      </c>
      <c r="AC422">
        <v>2473507941548.3999</v>
      </c>
      <c r="AD422">
        <v>3409784559432.4902</v>
      </c>
      <c r="AE422">
        <v>-6674884943243.6797</v>
      </c>
      <c r="AF422">
        <v>-351542524495.625</v>
      </c>
      <c r="AG422">
        <v>5.5594999999999999E-2</v>
      </c>
      <c r="AH422">
        <v>-20195301282069.699</v>
      </c>
      <c r="AI422">
        <v>9159191318114.4297</v>
      </c>
      <c r="AJ422">
        <v>0.06</v>
      </c>
      <c r="AK422">
        <v>0.05</v>
      </c>
      <c r="AL422">
        <v>8.8099999999999998E-2</v>
      </c>
      <c r="AM422">
        <v>3.8100000000000002E-2</v>
      </c>
      <c r="AN422">
        <v>0.89</v>
      </c>
      <c r="AO422">
        <v>0.66</v>
      </c>
      <c r="AP422">
        <v>0.42970000000000003</v>
      </c>
      <c r="AQ422">
        <v>0.57030000000000003</v>
      </c>
      <c r="AR422">
        <v>8.9999999999999993E-3</v>
      </c>
      <c r="AS422">
        <v>0.5</v>
      </c>
      <c r="AT422">
        <v>1.82</v>
      </c>
      <c r="AU422">
        <v>6.3545217126973294E-2</v>
      </c>
      <c r="AV422">
        <v>0.7893</v>
      </c>
      <c r="AW422">
        <v>3</v>
      </c>
      <c r="AX422">
        <v>0.05</v>
      </c>
      <c r="AY422">
        <v>1</v>
      </c>
      <c r="AZ422">
        <v>1</v>
      </c>
      <c r="BA422" s="2">
        <f>modelo_tese_H__2[[#This Row],[Vw]]+modelo_tese_H__2[[#This Row],[Vr]]+modelo_tese_H__2[[#This Row],[K]]-modelo_tese_H__2[[#This Row],[E]]</f>
        <v>-6606141670098.71</v>
      </c>
      <c r="BB422" s="2">
        <f>modelo_tese_H__2[[#This Row],[K]]-modelo_tese_H__2[[#This Row],[Coluna1]]</f>
        <v>14900040835225.219</v>
      </c>
      <c r="BC422">
        <f>modelo_tese_H__2[[#This Row],[Coluna2]]/modelo_tese_H__2[[#This Row],[Coluna1]]</f>
        <v>-2.2554830912372155</v>
      </c>
      <c r="BD422" s="8">
        <f>modelo_tese_H__2[[#This Row],[D]]-modelo_tese_H__2[[#This Row],[Dw]]-modelo_tese_H__2[[#This Row],[Dr]]</f>
        <v>3.90625E-2</v>
      </c>
    </row>
    <row r="423" spans="1:56" x14ac:dyDescent="0.25">
      <c r="A423">
        <v>422</v>
      </c>
      <c r="B423">
        <v>422</v>
      </c>
      <c r="C423">
        <v>2052746179386.78</v>
      </c>
      <c r="D423">
        <v>957023580127.02502</v>
      </c>
      <c r="E423">
        <v>851750986313.052</v>
      </c>
      <c r="F423">
        <v>105711527543.84599</v>
      </c>
      <c r="G423">
        <v>2965981537189.98</v>
      </c>
      <c r="H423">
        <v>664940491114.02698</v>
      </c>
      <c r="I423">
        <v>1622403004970.9299</v>
      </c>
      <c r="J423">
        <v>1191017360396.53</v>
      </c>
      <c r="K423">
        <v>7491412110758.4297</v>
      </c>
      <c r="L423">
        <v>-665379424843.90002</v>
      </c>
      <c r="M423">
        <v>8682429471154.96</v>
      </c>
      <c r="N423">
        <v>-12635524814932.1</v>
      </c>
      <c r="O423">
        <v>1497970473328.27</v>
      </c>
      <c r="P423">
        <v>988660512396.66003</v>
      </c>
      <c r="Q423">
        <v>1546668478489.3899</v>
      </c>
      <c r="R423">
        <v>773334239244.69495</v>
      </c>
      <c r="S423">
        <v>773334239244.69495</v>
      </c>
      <c r="T423">
        <v>724636234083.57703</v>
      </c>
      <c r="U423">
        <v>294293059667.72198</v>
      </c>
      <c r="V423">
        <v>5589553506512.2002</v>
      </c>
      <c r="W423">
        <v>988351140508.58606</v>
      </c>
      <c r="X423">
        <v>0.27458662989726801</v>
      </c>
      <c r="Y423">
        <v>8755212682357.9102</v>
      </c>
      <c r="Z423">
        <v>4078947772533.8398</v>
      </c>
      <c r="AA423">
        <v>0.78984980971066698</v>
      </c>
      <c r="AB423">
        <v>4557087453366.21</v>
      </c>
      <c r="AC423">
        <v>2611063517367.5801</v>
      </c>
      <c r="AD423">
        <v>3599414657876.1699</v>
      </c>
      <c r="AE423">
        <v>-7045971308419.8604</v>
      </c>
      <c r="AF423">
        <v>-371086365176.17798</v>
      </c>
      <c r="AG423">
        <v>5.5594999999999999E-2</v>
      </c>
      <c r="AH423">
        <v>-21317954286087</v>
      </c>
      <c r="AI423">
        <v>9668501279046.0391</v>
      </c>
      <c r="AJ423">
        <v>0.06</v>
      </c>
      <c r="AK423">
        <v>0.05</v>
      </c>
      <c r="AL423">
        <v>8.8099999999999998E-2</v>
      </c>
      <c r="AM423">
        <v>3.8100000000000002E-2</v>
      </c>
      <c r="AN423">
        <v>0.89</v>
      </c>
      <c r="AO423">
        <v>0.66</v>
      </c>
      <c r="AP423">
        <v>0.42970000000000003</v>
      </c>
      <c r="AQ423">
        <v>0.57030000000000003</v>
      </c>
      <c r="AR423">
        <v>8.9999999999999993E-3</v>
      </c>
      <c r="AS423">
        <v>0.5</v>
      </c>
      <c r="AT423">
        <v>1.82</v>
      </c>
      <c r="AU423">
        <v>6.3545217126973294E-2</v>
      </c>
      <c r="AV423">
        <v>0.7893</v>
      </c>
      <c r="AW423">
        <v>3</v>
      </c>
      <c r="AX423">
        <v>0.05</v>
      </c>
      <c r="AY423">
        <v>1</v>
      </c>
      <c r="AZ423">
        <v>1</v>
      </c>
      <c r="BA423" s="2">
        <f>modelo_tese_H__2[[#This Row],[Vw]]+modelo_tese_H__2[[#This Row],[Vr]]+modelo_tese_H__2[[#This Row],[K]]-modelo_tese_H__2[[#This Row],[E]]</f>
        <v>-6973188097216.8906</v>
      </c>
      <c r="BB423" s="2">
        <f>modelo_tese_H__2[[#This Row],[K]]-modelo_tese_H__2[[#This Row],[Coluna1]]</f>
        <v>15728400779574.801</v>
      </c>
      <c r="BC423">
        <f>modelo_tese_H__2[[#This Row],[Coluna2]]/modelo_tese_H__2[[#This Row],[Coluna1]]</f>
        <v>-2.255553781182563</v>
      </c>
      <c r="BD423" s="8">
        <f>modelo_tese_H__2[[#This Row],[D]]-modelo_tese_H__2[[#This Row],[Dw]]-modelo_tese_H__2[[#This Row],[Dr]]</f>
        <v>3.90625E-2</v>
      </c>
    </row>
    <row r="424" spans="1:56" x14ac:dyDescent="0.25">
      <c r="A424">
        <v>423</v>
      </c>
      <c r="B424">
        <v>423</v>
      </c>
      <c r="C424">
        <v>2166906218957.6101</v>
      </c>
      <c r="D424">
        <v>1010267444316.37</v>
      </c>
      <c r="E424">
        <v>899138025441.56702</v>
      </c>
      <c r="F424">
        <v>111588231135.757</v>
      </c>
      <c r="G424">
        <v>3130902648156.7002</v>
      </c>
      <c r="H424">
        <v>701907857717.51099</v>
      </c>
      <c r="I424">
        <v>1712634114294.8301</v>
      </c>
      <c r="J424">
        <v>1257227830101.1799</v>
      </c>
      <c r="K424">
        <v>7907897167056.04</v>
      </c>
      <c r="L424">
        <v>-702366669978.46704</v>
      </c>
      <c r="M424">
        <v>9165124997157.2207</v>
      </c>
      <c r="N424">
        <v>-13337891484910.5</v>
      </c>
      <c r="O424">
        <v>1581263963715.51</v>
      </c>
      <c r="P424">
        <v>1043634216052.23</v>
      </c>
      <c r="Q424">
        <v>1632683854613.51</v>
      </c>
      <c r="R424">
        <v>816341927306.755</v>
      </c>
      <c r="S424">
        <v>816341927306.755</v>
      </c>
      <c r="T424">
        <v>764922036408.75195</v>
      </c>
      <c r="U424">
        <v>310649931745.97699</v>
      </c>
      <c r="V424">
        <v>5900203438258.1797</v>
      </c>
      <c r="W424">
        <v>1043321743224.05</v>
      </c>
      <c r="X424">
        <v>0.27458797476116398</v>
      </c>
      <c r="Y424">
        <v>9242182534688.6992</v>
      </c>
      <c r="Z424">
        <v>4305927588451.1401</v>
      </c>
      <c r="AA424">
        <v>0.789844197369864</v>
      </c>
      <c r="AB424">
        <v>4810556418877.9697</v>
      </c>
      <c r="AC424">
        <v>2756268330347.0698</v>
      </c>
      <c r="AD424">
        <v>3799590073571.1201</v>
      </c>
      <c r="AE424">
        <v>-7437688046652.3496</v>
      </c>
      <c r="AF424">
        <v>-391716738232.48999</v>
      </c>
      <c r="AG424">
        <v>5.5594999999999999E-2</v>
      </c>
      <c r="AH424">
        <v>-22503016482067.699</v>
      </c>
      <c r="AI424">
        <v>10206131026709.301</v>
      </c>
      <c r="AJ424">
        <v>0.06</v>
      </c>
      <c r="AK424">
        <v>0.05</v>
      </c>
      <c r="AL424">
        <v>8.8099999999999998E-2</v>
      </c>
      <c r="AM424">
        <v>3.8100000000000002E-2</v>
      </c>
      <c r="AN424">
        <v>0.89</v>
      </c>
      <c r="AO424">
        <v>0.66</v>
      </c>
      <c r="AP424">
        <v>0.42970000000000003</v>
      </c>
      <c r="AQ424">
        <v>0.57030000000000003</v>
      </c>
      <c r="AR424">
        <v>8.9999999999999993E-3</v>
      </c>
      <c r="AS424">
        <v>0.5</v>
      </c>
      <c r="AT424">
        <v>1.82</v>
      </c>
      <c r="AU424">
        <v>6.3545217126973294E-2</v>
      </c>
      <c r="AV424">
        <v>0.7893</v>
      </c>
      <c r="AW424">
        <v>3</v>
      </c>
      <c r="AX424">
        <v>0.05</v>
      </c>
      <c r="AY424">
        <v>1</v>
      </c>
      <c r="AZ424">
        <v>1</v>
      </c>
      <c r="BA424" s="2">
        <f>modelo_tese_H__2[[#This Row],[Vw]]+modelo_tese_H__2[[#This Row],[Vr]]+modelo_tese_H__2[[#This Row],[K]]-modelo_tese_H__2[[#This Row],[E]]</f>
        <v>-7360630509120.8398</v>
      </c>
      <c r="BB424" s="2">
        <f>modelo_tese_H__2[[#This Row],[K]]-modelo_tese_H__2[[#This Row],[Coluna1]]</f>
        <v>16602813043809.539</v>
      </c>
      <c r="BC424">
        <f>modelo_tese_H__2[[#This Row],[Coluna2]]/modelo_tese_H__2[[#This Row],[Coluna1]]</f>
        <v>-2.2556237571273758</v>
      </c>
      <c r="BD424" s="8">
        <f>modelo_tese_H__2[[#This Row],[D]]-modelo_tese_H__2[[#This Row],[Dw]]-modelo_tese_H__2[[#This Row],[Dr]]</f>
        <v>-2.9296875E-2</v>
      </c>
    </row>
    <row r="425" spans="1:56" x14ac:dyDescent="0.25">
      <c r="A425">
        <v>424</v>
      </c>
      <c r="B425">
        <v>424</v>
      </c>
      <c r="C425">
        <v>2287414673410.6899</v>
      </c>
      <c r="D425">
        <v>1066473112063.1801</v>
      </c>
      <c r="E425">
        <v>949161069736.23206</v>
      </c>
      <c r="F425">
        <v>117791635313.82401</v>
      </c>
      <c r="G425">
        <v>3304993776012.71</v>
      </c>
      <c r="H425">
        <v>740930425067.31604</v>
      </c>
      <c r="I425">
        <v>1807883130117.3701</v>
      </c>
      <c r="J425">
        <v>1327119085088.1499</v>
      </c>
      <c r="K425">
        <v>8347536710058.5195</v>
      </c>
      <c r="L425">
        <v>-741410018054.18994</v>
      </c>
      <c r="M425">
        <v>9674655795146.6699</v>
      </c>
      <c r="N425">
        <v>-14079301502964.699</v>
      </c>
      <c r="O425">
        <v>1669188775763.99</v>
      </c>
      <c r="P425">
        <v>1101664592004.24</v>
      </c>
      <c r="Q425">
        <v>1723482527028.8899</v>
      </c>
      <c r="R425">
        <v>861741263514.44397</v>
      </c>
      <c r="S425">
        <v>861741263514.44397</v>
      </c>
      <c r="T425">
        <v>807447512249.55103</v>
      </c>
      <c r="U425">
        <v>327915968956.23102</v>
      </c>
      <c r="V425">
        <v>6228119407214.4102</v>
      </c>
      <c r="W425">
        <v>1101349478317.97</v>
      </c>
      <c r="X425">
        <v>0.27458930590337199</v>
      </c>
      <c r="Y425">
        <v>9756235517112.75</v>
      </c>
      <c r="Z425">
        <v>4545535803254.6602</v>
      </c>
      <c r="AA425">
        <v>0.78983864226891898</v>
      </c>
      <c r="AB425">
        <v>5078122271806.9805</v>
      </c>
      <c r="AC425">
        <v>2909547722121.6099</v>
      </c>
      <c r="AD425">
        <v>4010897200439.5801</v>
      </c>
      <c r="AE425">
        <v>-7851182095750.3096</v>
      </c>
      <c r="AF425">
        <v>-413494049097.95898</v>
      </c>
      <c r="AG425">
        <v>5.5594999999999999E-2</v>
      </c>
      <c r="AH425">
        <v>-23753957298111.398</v>
      </c>
      <c r="AI425">
        <v>10773655210469.1</v>
      </c>
      <c r="AJ425">
        <v>0.06</v>
      </c>
      <c r="AK425">
        <v>0.05</v>
      </c>
      <c r="AL425">
        <v>8.8099999999999998E-2</v>
      </c>
      <c r="AM425">
        <v>3.8100000000000002E-2</v>
      </c>
      <c r="AN425">
        <v>0.89</v>
      </c>
      <c r="AO425">
        <v>0.66</v>
      </c>
      <c r="AP425">
        <v>0.42970000000000003</v>
      </c>
      <c r="AQ425">
        <v>0.57030000000000003</v>
      </c>
      <c r="AR425">
        <v>8.9999999999999993E-3</v>
      </c>
      <c r="AS425">
        <v>0.5</v>
      </c>
      <c r="AT425">
        <v>1.82</v>
      </c>
      <c r="AU425">
        <v>6.3545217126973294E-2</v>
      </c>
      <c r="AV425">
        <v>0.7893</v>
      </c>
      <c r="AW425">
        <v>3</v>
      </c>
      <c r="AX425">
        <v>0.05</v>
      </c>
      <c r="AY425">
        <v>1</v>
      </c>
      <c r="AZ425">
        <v>1</v>
      </c>
      <c r="BA425" s="2">
        <f>modelo_tese_H__2[[#This Row],[Vw]]+modelo_tese_H__2[[#This Row],[Vr]]+modelo_tese_H__2[[#This Row],[K]]-modelo_tese_H__2[[#This Row],[E]]</f>
        <v>-7769602373784.209</v>
      </c>
      <c r="BB425" s="2">
        <f>modelo_tese_H__2[[#This Row],[K]]-modelo_tese_H__2[[#This Row],[Coluna1]]</f>
        <v>17525837890896.959</v>
      </c>
      <c r="BC425">
        <f>modelo_tese_H__2[[#This Row],[Coluna2]]/modelo_tese_H__2[[#This Row],[Coluna1]]</f>
        <v>-2.2556930262006376</v>
      </c>
      <c r="BD425" s="8">
        <f>modelo_tese_H__2[[#This Row],[D]]-modelo_tese_H__2[[#This Row],[Dw]]-modelo_tese_H__2[[#This Row],[Dr]]</f>
        <v>-2.05078125E-2</v>
      </c>
    </row>
    <row r="426" spans="1:56" x14ac:dyDescent="0.25">
      <c r="A426">
        <v>425</v>
      </c>
      <c r="B426">
        <v>425</v>
      </c>
      <c r="C426">
        <v>2414624558553.8398</v>
      </c>
      <c r="D426">
        <v>1125805321570.3401</v>
      </c>
      <c r="E426">
        <v>1001966736197.6</v>
      </c>
      <c r="F426">
        <v>124339902335.589</v>
      </c>
      <c r="G426">
        <v>3488764782909.3799</v>
      </c>
      <c r="H426">
        <v>782122452048.93298</v>
      </c>
      <c r="I426">
        <v>1908429090582.1201</v>
      </c>
      <c r="J426">
        <v>1400895750281.8799</v>
      </c>
      <c r="K426">
        <v>8811618013454.2207</v>
      </c>
      <c r="L426">
        <v>-782623769011.78503</v>
      </c>
      <c r="M426">
        <v>10212513763736.1</v>
      </c>
      <c r="N426">
        <v>-14861925271976.5</v>
      </c>
      <c r="O426">
        <v>1762002415610.8</v>
      </c>
      <c r="P426">
        <v>1162921594303.1299</v>
      </c>
      <c r="Q426">
        <v>1819330480116.75</v>
      </c>
      <c r="R426">
        <v>909665240058.37598</v>
      </c>
      <c r="S426">
        <v>909665240058.37598</v>
      </c>
      <c r="T426">
        <v>852337175552.42102</v>
      </c>
      <c r="U426">
        <v>346141707580.71002</v>
      </c>
      <c r="V426">
        <v>6574261114795.1201</v>
      </c>
      <c r="W426">
        <v>1162604353785.3401</v>
      </c>
      <c r="X426">
        <v>0.27459062346370799</v>
      </c>
      <c r="Y426">
        <v>10298877766621.301</v>
      </c>
      <c r="Z426">
        <v>4798474916981.6201</v>
      </c>
      <c r="AA426">
        <v>0.78983314382522296</v>
      </c>
      <c r="AB426">
        <v>5360568965446.5703</v>
      </c>
      <c r="AC426">
        <v>3071350684885.25</v>
      </c>
      <c r="AD426">
        <v>4233955038670.5898</v>
      </c>
      <c r="AE426">
        <v>-8287664157181.3799</v>
      </c>
      <c r="AF426">
        <v>-436482061431.07397</v>
      </c>
      <c r="AG426">
        <v>5.5594999999999999E-2</v>
      </c>
      <c r="AH426">
        <v>-25074439035712.602</v>
      </c>
      <c r="AI426">
        <v>11372736031776.699</v>
      </c>
      <c r="AJ426">
        <v>0.06</v>
      </c>
      <c r="AK426">
        <v>0.05</v>
      </c>
      <c r="AL426">
        <v>8.8099999999999998E-2</v>
      </c>
      <c r="AM426">
        <v>3.8100000000000002E-2</v>
      </c>
      <c r="AN426">
        <v>0.89</v>
      </c>
      <c r="AO426">
        <v>0.66</v>
      </c>
      <c r="AP426">
        <v>0.42970000000000003</v>
      </c>
      <c r="AQ426">
        <v>0.57030000000000003</v>
      </c>
      <c r="AR426">
        <v>8.9999999999999993E-3</v>
      </c>
      <c r="AS426">
        <v>0.5</v>
      </c>
      <c r="AT426">
        <v>1.82</v>
      </c>
      <c r="AU426">
        <v>6.3545217126973294E-2</v>
      </c>
      <c r="AV426">
        <v>0.7893</v>
      </c>
      <c r="AW426">
        <v>3</v>
      </c>
      <c r="AX426">
        <v>0.05</v>
      </c>
      <c r="AY426">
        <v>1</v>
      </c>
      <c r="AZ426">
        <v>1</v>
      </c>
      <c r="BA426" s="2">
        <f>modelo_tese_H__2[[#This Row],[Vw]]+modelo_tese_H__2[[#This Row],[Vr]]+modelo_tese_H__2[[#This Row],[K]]-modelo_tese_H__2[[#This Row],[E]]</f>
        <v>-8201300154296.2217</v>
      </c>
      <c r="BB426" s="2">
        <f>modelo_tese_H__2[[#This Row],[K]]-modelo_tese_H__2[[#This Row],[Coluna1]]</f>
        <v>18500177920917.523</v>
      </c>
      <c r="BC426">
        <f>modelo_tese_H__2[[#This Row],[Coluna2]]/modelo_tese_H__2[[#This Row],[Coluna1]]</f>
        <v>-2.255761595461943</v>
      </c>
      <c r="BD426" s="8">
        <f>modelo_tese_H__2[[#This Row],[D]]-modelo_tese_H__2[[#This Row],[Dw]]-modelo_tese_H__2[[#This Row],[Dr]]</f>
        <v>0</v>
      </c>
    </row>
    <row r="427" spans="1:56" x14ac:dyDescent="0.25">
      <c r="A427">
        <v>426</v>
      </c>
      <c r="B427">
        <v>426</v>
      </c>
      <c r="C427">
        <v>2548908519501.6001</v>
      </c>
      <c r="D427">
        <v>1188437973101.1799</v>
      </c>
      <c r="E427">
        <v>1057709796060.05</v>
      </c>
      <c r="F427">
        <v>131252204159.64101</v>
      </c>
      <c r="G427">
        <v>3682753879252.8799</v>
      </c>
      <c r="H427">
        <v>825604549770.59399</v>
      </c>
      <c r="I427">
        <v>2014566549990.29</v>
      </c>
      <c r="J427">
        <v>1478773826355.78</v>
      </c>
      <c r="K427">
        <v>9301499916912.2109</v>
      </c>
      <c r="L427">
        <v>-826128576889.10498</v>
      </c>
      <c r="M427">
        <v>10780273743268</v>
      </c>
      <c r="N427">
        <v>-15688053848865.6</v>
      </c>
      <c r="O427">
        <v>1859976706693.3701</v>
      </c>
      <c r="P427">
        <v>1227584626417.6299</v>
      </c>
      <c r="Q427">
        <v>1920508488216.45</v>
      </c>
      <c r="R427">
        <v>960254244108.22302</v>
      </c>
      <c r="S427">
        <v>960254244108.22302</v>
      </c>
      <c r="T427">
        <v>899722462585.151</v>
      </c>
      <c r="U427">
        <v>365380493073.83502</v>
      </c>
      <c r="V427">
        <v>6939641607868.9502</v>
      </c>
      <c r="W427">
        <v>1227265831310.1399</v>
      </c>
      <c r="X427">
        <v>0.274591927580568</v>
      </c>
      <c r="Y427">
        <v>10871699174087.301</v>
      </c>
      <c r="Z427">
        <v>5065486504183.54</v>
      </c>
      <c r="AA427">
        <v>0.78982770146183301</v>
      </c>
      <c r="AB427">
        <v>5658724047594.0996</v>
      </c>
      <c r="AC427">
        <v>3242151176407.9199</v>
      </c>
      <c r="AD427">
        <v>4469417007718.0498</v>
      </c>
      <c r="AE427">
        <v>-8748412240996.6504</v>
      </c>
      <c r="AF427">
        <v>-460748083815.27002</v>
      </c>
      <c r="AG427">
        <v>5.5594999999999999E-2</v>
      </c>
      <c r="AH427">
        <v>-26468327592133.602</v>
      </c>
      <c r="AI427">
        <v>12005128112052.5</v>
      </c>
      <c r="AJ427">
        <v>0.06</v>
      </c>
      <c r="AK427">
        <v>0.05</v>
      </c>
      <c r="AL427">
        <v>8.8099999999999998E-2</v>
      </c>
      <c r="AM427">
        <v>3.8100000000000002E-2</v>
      </c>
      <c r="AN427">
        <v>0.89</v>
      </c>
      <c r="AO427">
        <v>0.66</v>
      </c>
      <c r="AP427">
        <v>0.42970000000000003</v>
      </c>
      <c r="AQ427">
        <v>0.57030000000000003</v>
      </c>
      <c r="AR427">
        <v>8.9999999999999993E-3</v>
      </c>
      <c r="AS427">
        <v>0.5</v>
      </c>
      <c r="AT427">
        <v>1.82</v>
      </c>
      <c r="AU427">
        <v>6.3545217126973294E-2</v>
      </c>
      <c r="AV427">
        <v>0.7893</v>
      </c>
      <c r="AW427">
        <v>3</v>
      </c>
      <c r="AX427">
        <v>0.05</v>
      </c>
      <c r="AY427">
        <v>1</v>
      </c>
      <c r="AZ427">
        <v>1</v>
      </c>
      <c r="BA427" s="2">
        <f>modelo_tese_H__2[[#This Row],[Vw]]+modelo_tese_H__2[[#This Row],[Vr]]+modelo_tese_H__2[[#This Row],[K]]-modelo_tese_H__2[[#This Row],[E]]</f>
        <v>-8656986810177.3408</v>
      </c>
      <c r="BB427" s="2">
        <f>modelo_tese_H__2[[#This Row],[K]]-modelo_tese_H__2[[#This Row],[Coluna1]]</f>
        <v>19528685984264.641</v>
      </c>
      <c r="BC427">
        <f>modelo_tese_H__2[[#This Row],[Coluna2]]/modelo_tese_H__2[[#This Row],[Coluna1]]</f>
        <v>-2.2558294719019667</v>
      </c>
      <c r="BD427" s="8">
        <f>modelo_tese_H__2[[#This Row],[D]]-modelo_tese_H__2[[#This Row],[Dw]]-modelo_tese_H__2[[#This Row],[Dr]]</f>
        <v>0</v>
      </c>
    </row>
    <row r="428" spans="1:56" x14ac:dyDescent="0.25">
      <c r="A428">
        <v>427</v>
      </c>
      <c r="B428">
        <v>427</v>
      </c>
      <c r="C428">
        <v>2690659922119.46</v>
      </c>
      <c r="D428">
        <v>1254554638499.23</v>
      </c>
      <c r="E428">
        <v>1116553628264.3101</v>
      </c>
      <c r="F428">
        <v>138548778578.61499</v>
      </c>
      <c r="G428">
        <v>3887529199836.6099</v>
      </c>
      <c r="H428">
        <v>871504034715.08997</v>
      </c>
      <c r="I428">
        <v>2126606441558.02</v>
      </c>
      <c r="J428">
        <v>1560981322150.24</v>
      </c>
      <c r="K428">
        <v>9818616804792.9492</v>
      </c>
      <c r="L428">
        <v>-872051803058.78894</v>
      </c>
      <c r="M428">
        <v>11379598126943.199</v>
      </c>
      <c r="N428">
        <v>-16560105651924.4</v>
      </c>
      <c r="O428">
        <v>1963398585776.0601</v>
      </c>
      <c r="P428">
        <v>1295843066612.2</v>
      </c>
      <c r="Q428">
        <v>2027312937988.3101</v>
      </c>
      <c r="R428">
        <v>1013656468994.15</v>
      </c>
      <c r="S428">
        <v>1013656468994.15</v>
      </c>
      <c r="T428">
        <v>949742116781.91003</v>
      </c>
      <c r="U428">
        <v>385688636220.46899</v>
      </c>
      <c r="V428">
        <v>7325330244089.4199</v>
      </c>
      <c r="W428">
        <v>1295523351937.55</v>
      </c>
      <c r="X428">
        <v>0.27459321839094297</v>
      </c>
      <c r="Y428">
        <v>11476378041468.301</v>
      </c>
      <c r="Z428">
        <v>5347353387126.9297</v>
      </c>
      <c r="AA428">
        <v>0.78982231460768904</v>
      </c>
      <c r="AB428">
        <v>5973461084663.3496</v>
      </c>
      <c r="AC428">
        <v>3422449508170.2202</v>
      </c>
      <c r="AD428">
        <v>4717972860107.7695</v>
      </c>
      <c r="AE428">
        <v>-9234775407834.9707</v>
      </c>
      <c r="AF428">
        <v>-486363166838.32001</v>
      </c>
      <c r="AG428">
        <v>5.5594999999999999E-2</v>
      </c>
      <c r="AH428">
        <v>-27939703778867.602</v>
      </c>
      <c r="AI428">
        <v>12672683631216.4</v>
      </c>
      <c r="AJ428">
        <v>0.06</v>
      </c>
      <c r="AK428">
        <v>0.05</v>
      </c>
      <c r="AL428">
        <v>8.8099999999999998E-2</v>
      </c>
      <c r="AM428">
        <v>3.8100000000000002E-2</v>
      </c>
      <c r="AN428">
        <v>0.89</v>
      </c>
      <c r="AO428">
        <v>0.66</v>
      </c>
      <c r="AP428">
        <v>0.42970000000000003</v>
      </c>
      <c r="AQ428">
        <v>0.57030000000000003</v>
      </c>
      <c r="AR428">
        <v>8.9999999999999993E-3</v>
      </c>
      <c r="AS428">
        <v>0.5</v>
      </c>
      <c r="AT428">
        <v>1.82</v>
      </c>
      <c r="AU428">
        <v>6.3545217126973294E-2</v>
      </c>
      <c r="AV428">
        <v>0.7893</v>
      </c>
      <c r="AW428">
        <v>3</v>
      </c>
      <c r="AX428">
        <v>0.05</v>
      </c>
      <c r="AY428">
        <v>1</v>
      </c>
      <c r="AZ428">
        <v>1</v>
      </c>
      <c r="BA428" s="2">
        <f>modelo_tese_H__2[[#This Row],[Vw]]+modelo_tese_H__2[[#This Row],[Vr]]+modelo_tese_H__2[[#This Row],[K]]-modelo_tese_H__2[[#This Row],[E]]</f>
        <v>-9137995493309.8301</v>
      </c>
      <c r="BB428" s="2">
        <f>modelo_tese_H__2[[#This Row],[K]]-modelo_tese_H__2[[#This Row],[Coluna1]]</f>
        <v>20614373534778.133</v>
      </c>
      <c r="BC428">
        <f>modelo_tese_H__2[[#This Row],[Coluna2]]/modelo_tese_H__2[[#This Row],[Coluna1]]</f>
        <v>-2.2558966624431434</v>
      </c>
      <c r="BD428" s="8">
        <f>modelo_tese_H__2[[#This Row],[D]]-modelo_tese_H__2[[#This Row],[Dw]]-modelo_tese_H__2[[#This Row],[Dr]]</f>
        <v>9.765625E-3</v>
      </c>
    </row>
    <row r="429" spans="1:56" x14ac:dyDescent="0.25">
      <c r="A429">
        <v>428</v>
      </c>
      <c r="B429">
        <v>428</v>
      </c>
      <c r="C429">
        <v>2840294005152.9102</v>
      </c>
      <c r="D429">
        <v>1324349099040.8701</v>
      </c>
      <c r="E429">
        <v>1178670698146.3799</v>
      </c>
      <c r="F429">
        <v>146250988472.83899</v>
      </c>
      <c r="G429">
        <v>4103690467603.1602</v>
      </c>
      <c r="H429">
        <v>919955301525.07495</v>
      </c>
      <c r="I429">
        <v>2244876988144.29</v>
      </c>
      <c r="J429">
        <v>1647758922249.1499</v>
      </c>
      <c r="K429">
        <v>10364482806055.4</v>
      </c>
      <c r="L429">
        <v>-920527889103.41797</v>
      </c>
      <c r="M429">
        <v>12012241728304.6</v>
      </c>
      <c r="N429">
        <v>-17480633541027.801</v>
      </c>
      <c r="O429">
        <v>2072570943233.9199</v>
      </c>
      <c r="P429">
        <v>1367896822534.3899</v>
      </c>
      <c r="Q429">
        <v>2140056696500.45</v>
      </c>
      <c r="R429">
        <v>1070028348250.22</v>
      </c>
      <c r="S429">
        <v>1070028348250.22</v>
      </c>
      <c r="T429">
        <v>1002542594983.6899</v>
      </c>
      <c r="U429">
        <v>407125577975.07703</v>
      </c>
      <c r="V429">
        <v>7732455822064.5</v>
      </c>
      <c r="W429">
        <v>1367576890974.6799</v>
      </c>
      <c r="X429">
        <v>0.27459449603042801</v>
      </c>
      <c r="Y429">
        <v>12114685997966.699</v>
      </c>
      <c r="Z429">
        <v>5644901929851.3799</v>
      </c>
      <c r="AA429">
        <v>0.78981698269756495</v>
      </c>
      <c r="AB429">
        <v>6305702220587</v>
      </c>
      <c r="AC429">
        <v>3612773810678.6802</v>
      </c>
      <c r="AD429">
        <v>4980350701653.3496</v>
      </c>
      <c r="AE429">
        <v>-9748177718963.3105</v>
      </c>
      <c r="AF429">
        <v>-513402311128.34198</v>
      </c>
      <c r="AG429">
        <v>5.5594999999999999E-2</v>
      </c>
      <c r="AH429">
        <v>-29492875269332.398</v>
      </c>
      <c r="AI429">
        <v>13377357751915.9</v>
      </c>
      <c r="AJ429">
        <v>0.06</v>
      </c>
      <c r="AK429">
        <v>0.05</v>
      </c>
      <c r="AL429">
        <v>8.8099999999999998E-2</v>
      </c>
      <c r="AM429">
        <v>3.8100000000000002E-2</v>
      </c>
      <c r="AN429">
        <v>0.89</v>
      </c>
      <c r="AO429">
        <v>0.66</v>
      </c>
      <c r="AP429">
        <v>0.42970000000000003</v>
      </c>
      <c r="AQ429">
        <v>0.57030000000000003</v>
      </c>
      <c r="AR429">
        <v>8.9999999999999993E-3</v>
      </c>
      <c r="AS429">
        <v>0.5</v>
      </c>
      <c r="AT429">
        <v>1.82</v>
      </c>
      <c r="AU429">
        <v>6.3545217126973294E-2</v>
      </c>
      <c r="AV429">
        <v>0.7893</v>
      </c>
      <c r="AW429">
        <v>3</v>
      </c>
      <c r="AX429">
        <v>0.05</v>
      </c>
      <c r="AY429">
        <v>1</v>
      </c>
      <c r="AZ429">
        <v>1</v>
      </c>
      <c r="BA429" s="2">
        <f>modelo_tese_H__2[[#This Row],[Vw]]+modelo_tese_H__2[[#This Row],[Vr]]+modelo_tese_H__2[[#This Row],[K]]-modelo_tese_H__2[[#This Row],[E]]</f>
        <v>-9645733449301.1797</v>
      </c>
      <c r="BB429" s="2">
        <f>modelo_tese_H__2[[#This Row],[K]]-modelo_tese_H__2[[#This Row],[Coluna1]]</f>
        <v>21760419447267.879</v>
      </c>
      <c r="BC429">
        <f>modelo_tese_H__2[[#This Row],[Coluna2]]/modelo_tese_H__2[[#This Row],[Coluna1]]</f>
        <v>-2.2559631739403283</v>
      </c>
      <c r="BD429" s="8">
        <f>modelo_tese_H__2[[#This Row],[D]]-modelo_tese_H__2[[#This Row],[Dw]]-modelo_tese_H__2[[#This Row],[Dr]]</f>
        <v>-9.765625E-3</v>
      </c>
    </row>
    <row r="430" spans="1:56" x14ac:dyDescent="0.25">
      <c r="A430">
        <v>429</v>
      </c>
      <c r="B430">
        <v>429</v>
      </c>
      <c r="C430">
        <v>2998249096416.6201</v>
      </c>
      <c r="D430">
        <v>1398025913197.47</v>
      </c>
      <c r="E430">
        <v>1244243062745.75</v>
      </c>
      <c r="F430">
        <v>154381384358.13901</v>
      </c>
      <c r="G430">
        <v>4331870749908.5298</v>
      </c>
      <c r="H430">
        <v>971100216513.36206</v>
      </c>
      <c r="I430">
        <v>2369724663617.25</v>
      </c>
      <c r="J430">
        <v>1739360691669.6001</v>
      </c>
      <c r="K430">
        <v>10940696227658.1</v>
      </c>
      <c r="L430">
        <v>-971698750419.77905</v>
      </c>
      <c r="M430">
        <v>12680056919327.699</v>
      </c>
      <c r="N430">
        <v>-18452332291447.602</v>
      </c>
      <c r="O430">
        <v>2187813510054.8101</v>
      </c>
      <c r="P430">
        <v>1443956916636.1799</v>
      </c>
      <c r="Q430">
        <v>2259070027582.3599</v>
      </c>
      <c r="R430">
        <v>1129535013791.1799</v>
      </c>
      <c r="S430">
        <v>1129535013791.1799</v>
      </c>
      <c r="T430">
        <v>1058278496263.63</v>
      </c>
      <c r="U430">
        <v>429754063464.26001</v>
      </c>
      <c r="V430">
        <v>8162209885528.7598</v>
      </c>
      <c r="W430">
        <v>1443637543745.5601</v>
      </c>
      <c r="X430">
        <v>0.27459576063324198</v>
      </c>
      <c r="Y430">
        <v>12788493189546.301</v>
      </c>
      <c r="Z430">
        <v>5959004459805.7598</v>
      </c>
      <c r="AA430">
        <v>0.78981170517206101</v>
      </c>
      <c r="AB430">
        <v>6656420878003.6699</v>
      </c>
      <c r="AC430">
        <v>3813681580253.4199</v>
      </c>
      <c r="AD430">
        <v>5257319123998.9805</v>
      </c>
      <c r="AE430">
        <v>-10290122405918.801</v>
      </c>
      <c r="AF430">
        <v>-541944686955.52002</v>
      </c>
      <c r="AG430">
        <v>5.5594999999999999E-2</v>
      </c>
      <c r="AH430">
        <v>-31132389210775.199</v>
      </c>
      <c r="AI430">
        <v>14121214345334.5</v>
      </c>
      <c r="AJ430">
        <v>0.06</v>
      </c>
      <c r="AK430">
        <v>0.05</v>
      </c>
      <c r="AL430">
        <v>8.8099999999999998E-2</v>
      </c>
      <c r="AM430">
        <v>3.8100000000000002E-2</v>
      </c>
      <c r="AN430">
        <v>0.89</v>
      </c>
      <c r="AO430">
        <v>0.66</v>
      </c>
      <c r="AP430">
        <v>0.42970000000000003</v>
      </c>
      <c r="AQ430">
        <v>0.57030000000000003</v>
      </c>
      <c r="AR430">
        <v>8.9999999999999993E-3</v>
      </c>
      <c r="AS430">
        <v>0.5</v>
      </c>
      <c r="AT430">
        <v>1.82</v>
      </c>
      <c r="AU430">
        <v>6.3545217126973294E-2</v>
      </c>
      <c r="AV430">
        <v>0.7893</v>
      </c>
      <c r="AW430">
        <v>3</v>
      </c>
      <c r="AX430">
        <v>0.05</v>
      </c>
      <c r="AY430">
        <v>1</v>
      </c>
      <c r="AZ430">
        <v>1</v>
      </c>
      <c r="BA430" s="2">
        <f>modelo_tese_H__2[[#This Row],[Vw]]+modelo_tese_H__2[[#This Row],[Vr]]+modelo_tese_H__2[[#This Row],[K]]-modelo_tese_H__2[[#This Row],[E]]</f>
        <v>-10181686135700.158</v>
      </c>
      <c r="BB430" s="2">
        <f>modelo_tese_H__2[[#This Row],[K]]-modelo_tese_H__2[[#This Row],[Coluna1]]</f>
        <v>22970179325246.461</v>
      </c>
      <c r="BC430">
        <f>modelo_tese_H__2[[#This Row],[Coluna2]]/modelo_tese_H__2[[#This Row],[Coluna1]]</f>
        <v>-2.2560290131814091</v>
      </c>
      <c r="BD430" s="8">
        <f>modelo_tese_H__2[[#This Row],[D]]-modelo_tese_H__2[[#This Row],[Dw]]-modelo_tese_H__2[[#This Row],[Dr]]</f>
        <v>4.1015625E-2</v>
      </c>
    </row>
    <row r="431" spans="1:56" x14ac:dyDescent="0.25">
      <c r="A431">
        <v>430</v>
      </c>
      <c r="B431">
        <v>430</v>
      </c>
      <c r="C431">
        <v>3164987896604.1201</v>
      </c>
      <c r="D431">
        <v>1475801015968.79</v>
      </c>
      <c r="E431">
        <v>1313462904212.23</v>
      </c>
      <c r="F431">
        <v>162963770410.91599</v>
      </c>
      <c r="G431">
        <v>4572738312430.5596</v>
      </c>
      <c r="H431">
        <v>1025088533050.42</v>
      </c>
      <c r="I431">
        <v>2501515207673.5698</v>
      </c>
      <c r="J431">
        <v>1836054819727.9099</v>
      </c>
      <c r="K431">
        <v>11548944234434.699</v>
      </c>
      <c r="L431">
        <v>-1025714191704.77</v>
      </c>
      <c r="M431">
        <v>13384999054162.6</v>
      </c>
      <c r="N431">
        <v>-19478046483152.398</v>
      </c>
      <c r="O431">
        <v>2309463794156.8501</v>
      </c>
      <c r="P431">
        <v>1524246104143.52</v>
      </c>
      <c r="Q431">
        <v>2384701559128.1602</v>
      </c>
      <c r="R431">
        <v>1192350779564.0801</v>
      </c>
      <c r="S431">
        <v>1192350779564.0801</v>
      </c>
      <c r="T431">
        <v>1117113014592.77</v>
      </c>
      <c r="U431">
        <v>453640325662.21698</v>
      </c>
      <c r="V431">
        <v>8615850211190.9697</v>
      </c>
      <c r="W431">
        <v>1523928143915.1899</v>
      </c>
      <c r="X431">
        <v>0.27459701233224099</v>
      </c>
      <c r="Y431">
        <v>13499773757005</v>
      </c>
      <c r="Z431">
        <v>6290581824156.8701</v>
      </c>
      <c r="AA431">
        <v>0.78980648147735699</v>
      </c>
      <c r="AB431">
        <v>7026644609640.8496</v>
      </c>
      <c r="AC431">
        <v>4025761311817.0801</v>
      </c>
      <c r="AD431">
        <v>5549689455732.2695</v>
      </c>
      <c r="AE431">
        <v>-10862196271961.4</v>
      </c>
      <c r="AF431">
        <v>-572073866042.55505</v>
      </c>
      <c r="AG431">
        <v>5.5594999999999999E-2</v>
      </c>
      <c r="AH431">
        <v>-32863045537315</v>
      </c>
      <c r="AI431">
        <v>14906432035347.801</v>
      </c>
      <c r="AJ431">
        <v>0.06</v>
      </c>
      <c r="AK431">
        <v>0.05</v>
      </c>
      <c r="AL431">
        <v>8.8099999999999998E-2</v>
      </c>
      <c r="AM431">
        <v>3.8100000000000002E-2</v>
      </c>
      <c r="AN431">
        <v>0.89</v>
      </c>
      <c r="AO431">
        <v>0.66</v>
      </c>
      <c r="AP431">
        <v>0.42970000000000003</v>
      </c>
      <c r="AQ431">
        <v>0.57030000000000003</v>
      </c>
      <c r="AR431">
        <v>8.9999999999999993E-3</v>
      </c>
      <c r="AS431">
        <v>0.5</v>
      </c>
      <c r="AT431">
        <v>1.82</v>
      </c>
      <c r="AU431">
        <v>6.3545217126973294E-2</v>
      </c>
      <c r="AV431">
        <v>0.7893</v>
      </c>
      <c r="AW431">
        <v>3</v>
      </c>
      <c r="AX431">
        <v>0.05</v>
      </c>
      <c r="AY431">
        <v>1</v>
      </c>
      <c r="AZ431">
        <v>1</v>
      </c>
      <c r="BA431" s="2">
        <f>modelo_tese_H__2[[#This Row],[Vw]]+modelo_tese_H__2[[#This Row],[Vr]]+modelo_tese_H__2[[#This Row],[K]]-modelo_tese_H__2[[#This Row],[E]]</f>
        <v>-10747421569119.07</v>
      </c>
      <c r="BB431" s="2">
        <f>modelo_tese_H__2[[#This Row],[K]]-modelo_tese_H__2[[#This Row],[Coluna1]]</f>
        <v>24247195326124.07</v>
      </c>
      <c r="BC431">
        <f>modelo_tese_H__2[[#This Row],[Coluna2]]/modelo_tese_H__2[[#This Row],[Coluna1]]</f>
        <v>-2.2560941868879842</v>
      </c>
      <c r="BD431" s="8">
        <f>modelo_tese_H__2[[#This Row],[D]]-modelo_tese_H__2[[#This Row],[Dw]]-modelo_tese_H__2[[#This Row],[Dr]]</f>
        <v>2.83203125E-2</v>
      </c>
    </row>
    <row r="432" spans="1:56" x14ac:dyDescent="0.25">
      <c r="A432">
        <v>431</v>
      </c>
      <c r="B432">
        <v>431</v>
      </c>
      <c r="C432">
        <v>3340998834479.1699</v>
      </c>
      <c r="D432">
        <v>1557902351544.8501</v>
      </c>
      <c r="E432">
        <v>1386533092874.9199</v>
      </c>
      <c r="F432">
        <v>172023274163.82501</v>
      </c>
      <c r="G432">
        <v>4826998576151.4199</v>
      </c>
      <c r="H432">
        <v>1082078330045.36</v>
      </c>
      <c r="I432">
        <v>2640634697084.1001</v>
      </c>
      <c r="J432">
        <v>1938124405260.1001</v>
      </c>
      <c r="K432">
        <v>12191007789148.1</v>
      </c>
      <c r="L432">
        <v>-1082732345539.25</v>
      </c>
      <c r="M432">
        <v>14129132194408.199</v>
      </c>
      <c r="N432">
        <v>-20560778828691.602</v>
      </c>
      <c r="O432">
        <v>2437878068763.3398</v>
      </c>
      <c r="P432">
        <v>1608999525383.8101</v>
      </c>
      <c r="Q432">
        <v>2517319304183.23</v>
      </c>
      <c r="R432">
        <v>1258659652091.6201</v>
      </c>
      <c r="S432">
        <v>1258659652091.6201</v>
      </c>
      <c r="T432">
        <v>1179218416671.73</v>
      </c>
      <c r="U432">
        <v>478854279276.66302</v>
      </c>
      <c r="V432">
        <v>9094704490467.6406</v>
      </c>
      <c r="W432">
        <v>1608683916194.49</v>
      </c>
      <c r="X432">
        <v>0.27459825125892801</v>
      </c>
      <c r="Y432">
        <v>14250611618645.6</v>
      </c>
      <c r="Z432">
        <v>6640606088259.75</v>
      </c>
      <c r="AA432">
        <v>0.78980131106515905</v>
      </c>
      <c r="AB432">
        <v>7417458108244.5</v>
      </c>
      <c r="AC432">
        <v>4249634222467.9102</v>
      </c>
      <c r="AD432">
        <v>5858318138662.4004</v>
      </c>
      <c r="AE432">
        <v>-11466074338224</v>
      </c>
      <c r="AF432">
        <v>-603878066262.58899</v>
      </c>
      <c r="AG432">
        <v>5.5594999999999999E-2</v>
      </c>
      <c r="AH432">
        <v>-34689911023099.801</v>
      </c>
      <c r="AI432">
        <v>15735310578727.4</v>
      </c>
      <c r="AJ432">
        <v>0.06</v>
      </c>
      <c r="AK432">
        <v>0.05</v>
      </c>
      <c r="AL432">
        <v>8.8099999999999998E-2</v>
      </c>
      <c r="AM432">
        <v>3.8100000000000002E-2</v>
      </c>
      <c r="AN432">
        <v>0.89</v>
      </c>
      <c r="AO432">
        <v>0.66</v>
      </c>
      <c r="AP432">
        <v>0.42970000000000003</v>
      </c>
      <c r="AQ432">
        <v>0.57030000000000003</v>
      </c>
      <c r="AR432">
        <v>8.9999999999999993E-3</v>
      </c>
      <c r="AS432">
        <v>0.5</v>
      </c>
      <c r="AT432">
        <v>1.82</v>
      </c>
      <c r="AU432">
        <v>6.3545217126973294E-2</v>
      </c>
      <c r="AV432">
        <v>0.7893</v>
      </c>
      <c r="AW432">
        <v>3</v>
      </c>
      <c r="AX432">
        <v>0.05</v>
      </c>
      <c r="AY432">
        <v>1</v>
      </c>
      <c r="AZ432">
        <v>1</v>
      </c>
      <c r="BA432" s="2">
        <f>modelo_tese_H__2[[#This Row],[Vw]]+modelo_tese_H__2[[#This Row],[Vr]]+modelo_tese_H__2[[#This Row],[K]]-modelo_tese_H__2[[#This Row],[E]]</f>
        <v>-11344594913986.549</v>
      </c>
      <c r="BB432" s="2">
        <f>modelo_tese_H__2[[#This Row],[K]]-modelo_tese_H__2[[#This Row],[Coluna1]]</f>
        <v>25595206532632.148</v>
      </c>
      <c r="BC432">
        <f>modelo_tese_H__2[[#This Row],[Coluna2]]/modelo_tese_H__2[[#This Row],[Coluna1]]</f>
        <v>-2.2561587017158518</v>
      </c>
      <c r="BD432" s="8">
        <f>modelo_tese_H__2[[#This Row],[D]]-modelo_tese_H__2[[#This Row],[Dw]]-modelo_tese_H__2[[#This Row],[Dr]]</f>
        <v>-3.90625E-2</v>
      </c>
    </row>
    <row r="433" spans="1:56" x14ac:dyDescent="0.25">
      <c r="A433">
        <v>432</v>
      </c>
      <c r="B433">
        <v>432</v>
      </c>
      <c r="C433">
        <v>3526797497418.04</v>
      </c>
      <c r="D433">
        <v>1644570541149.6201</v>
      </c>
      <c r="E433">
        <v>1463667781623.1699</v>
      </c>
      <c r="F433">
        <v>181586420076.10199</v>
      </c>
      <c r="G433">
        <v>5095396183145.2002</v>
      </c>
      <c r="H433">
        <v>1142236474804.23</v>
      </c>
      <c r="I433">
        <v>2787490676503.5</v>
      </c>
      <c r="J433">
        <v>2045868285495.79</v>
      </c>
      <c r="K433">
        <v>12868766867185.801</v>
      </c>
      <c r="L433">
        <v>-1142920135353.8701</v>
      </c>
      <c r="M433">
        <v>14914635152681.6</v>
      </c>
      <c r="N433">
        <v>-21703698964045.5</v>
      </c>
      <c r="O433">
        <v>2573432415729.8999</v>
      </c>
      <c r="P433">
        <v>1698465394381.73</v>
      </c>
      <c r="Q433">
        <v>2657311738805.0698</v>
      </c>
      <c r="R433">
        <v>1328655869402.54</v>
      </c>
      <c r="S433">
        <v>1328655869402.54</v>
      </c>
      <c r="T433">
        <v>1244776546327.3601</v>
      </c>
      <c r="U433">
        <v>505469725412.82202</v>
      </c>
      <c r="V433">
        <v>9600174215880.4609</v>
      </c>
      <c r="W433">
        <v>1698153165337.8799</v>
      </c>
      <c r="X433">
        <v>0.27459947754346897</v>
      </c>
      <c r="Y433">
        <v>15043206574484.5</v>
      </c>
      <c r="Z433">
        <v>7010103384195.0898</v>
      </c>
      <c r="AA433">
        <v>0.78979619339284002</v>
      </c>
      <c r="AB433">
        <v>7830006383871.2002</v>
      </c>
      <c r="AC433">
        <v>4485956070885.2305</v>
      </c>
      <c r="AD433">
        <v>6184109236223.1104</v>
      </c>
      <c r="AE433">
        <v>-12103524748165</v>
      </c>
      <c r="AF433">
        <v>-637450409941.05298</v>
      </c>
      <c r="AG433">
        <v>5.5594999999999999E-2</v>
      </c>
      <c r="AH433">
        <v>-36618334116727.102</v>
      </c>
      <c r="AI433">
        <v>16610277600075.6</v>
      </c>
      <c r="AJ433">
        <v>0.06</v>
      </c>
      <c r="AK433">
        <v>0.05</v>
      </c>
      <c r="AL433">
        <v>8.8099999999999998E-2</v>
      </c>
      <c r="AM433">
        <v>3.8100000000000002E-2</v>
      </c>
      <c r="AN433">
        <v>0.89</v>
      </c>
      <c r="AO433">
        <v>0.66</v>
      </c>
      <c r="AP433">
        <v>0.42970000000000003</v>
      </c>
      <c r="AQ433">
        <v>0.57030000000000003</v>
      </c>
      <c r="AR433">
        <v>8.9999999999999993E-3</v>
      </c>
      <c r="AS433">
        <v>0.5</v>
      </c>
      <c r="AT433">
        <v>1.82</v>
      </c>
      <c r="AU433">
        <v>6.3545217126973294E-2</v>
      </c>
      <c r="AV433">
        <v>0.7893</v>
      </c>
      <c r="AW433">
        <v>3</v>
      </c>
      <c r="AX433">
        <v>0.05</v>
      </c>
      <c r="AY433">
        <v>1</v>
      </c>
      <c r="AZ433">
        <v>1</v>
      </c>
      <c r="BA433" s="2">
        <f>modelo_tese_H__2[[#This Row],[Vw]]+modelo_tese_H__2[[#This Row],[Vr]]+modelo_tese_H__2[[#This Row],[K]]-modelo_tese_H__2[[#This Row],[E]]</f>
        <v>-11974953326362.09</v>
      </c>
      <c r="BB433" s="2">
        <f>modelo_tese_H__2[[#This Row],[K]]-modelo_tese_H__2[[#This Row],[Coluna1]]</f>
        <v>27018159900846.59</v>
      </c>
      <c r="BC433">
        <f>modelo_tese_H__2[[#This Row],[Coluna2]]/modelo_tese_H__2[[#This Row],[Coluna1]]</f>
        <v>-2.2562225642556659</v>
      </c>
      <c r="BD433" s="8">
        <f>modelo_tese_H__2[[#This Row],[D]]-modelo_tese_H__2[[#This Row],[Dw]]-modelo_tese_H__2[[#This Row],[Dr]]</f>
        <v>3.90625E-2</v>
      </c>
    </row>
    <row r="434" spans="1:56" x14ac:dyDescent="0.25">
      <c r="A434">
        <v>433</v>
      </c>
      <c r="B434">
        <v>433</v>
      </c>
      <c r="C434">
        <v>3722928141491.0898</v>
      </c>
      <c r="D434">
        <v>1736059588022.05</v>
      </c>
      <c r="E434">
        <v>1545093033339.6299</v>
      </c>
      <c r="F434">
        <v>191681207193.96399</v>
      </c>
      <c r="G434">
        <v>5378717177218.9004</v>
      </c>
      <c r="H434">
        <v>1205739111620.97</v>
      </c>
      <c r="I434">
        <v>2942513352154.5601</v>
      </c>
      <c r="J434">
        <v>2159601911012.3601</v>
      </c>
      <c r="K434">
        <v>13584205961167</v>
      </c>
      <c r="L434">
        <v>-1206453764132.51</v>
      </c>
      <c r="M434">
        <v>15743807872179.4</v>
      </c>
      <c r="N434">
        <v>-22910152728178</v>
      </c>
      <c r="O434">
        <v>2716523826878.23</v>
      </c>
      <c r="P434">
        <v>1792905725739.6299</v>
      </c>
      <c r="Q434">
        <v>2805088939853.9702</v>
      </c>
      <c r="R434">
        <v>1402544469926.99</v>
      </c>
      <c r="S434">
        <v>1402544469926.99</v>
      </c>
      <c r="T434">
        <v>1313979356951.25</v>
      </c>
      <c r="U434">
        <v>533564567614.72601</v>
      </c>
      <c r="V434">
        <v>10133738783495.199</v>
      </c>
      <c r="W434">
        <v>1792598003450.8601</v>
      </c>
      <c r="X434">
        <v>0.27460069131470999</v>
      </c>
      <c r="Y434">
        <v>15879880749873.801</v>
      </c>
      <c r="Z434">
        <v>7400156917718.96</v>
      </c>
      <c r="AA434">
        <v>0.78979112792348105</v>
      </c>
      <c r="AB434">
        <v>8265498117848.5996</v>
      </c>
      <c r="AC434">
        <v>4735419077894.2002</v>
      </c>
      <c r="AD434">
        <v>6528017081345.0596</v>
      </c>
      <c r="AE434">
        <v>-12776413944682.801</v>
      </c>
      <c r="AF434">
        <v>-672889196517.78601</v>
      </c>
      <c r="AG434">
        <v>5.5594999999999999E-2</v>
      </c>
      <c r="AH434">
        <v>-38653960600357.398</v>
      </c>
      <c r="AI434">
        <v>17533895701214.199</v>
      </c>
      <c r="AJ434">
        <v>0.06</v>
      </c>
      <c r="AK434">
        <v>0.05</v>
      </c>
      <c r="AL434">
        <v>8.8099999999999998E-2</v>
      </c>
      <c r="AM434">
        <v>3.8100000000000002E-2</v>
      </c>
      <c r="AN434">
        <v>0.89</v>
      </c>
      <c r="AO434">
        <v>0.66</v>
      </c>
      <c r="AP434">
        <v>0.42970000000000003</v>
      </c>
      <c r="AQ434">
        <v>0.57030000000000003</v>
      </c>
      <c r="AR434">
        <v>8.9999999999999993E-3</v>
      </c>
      <c r="AS434">
        <v>0.5</v>
      </c>
      <c r="AT434">
        <v>1.82</v>
      </c>
      <c r="AU434">
        <v>6.3545217126973294E-2</v>
      </c>
      <c r="AV434">
        <v>0.7893</v>
      </c>
      <c r="AW434">
        <v>3</v>
      </c>
      <c r="AX434">
        <v>0.05</v>
      </c>
      <c r="AY434">
        <v>1</v>
      </c>
      <c r="AZ434">
        <v>1</v>
      </c>
      <c r="BA434" s="2">
        <f>modelo_tese_H__2[[#This Row],[Vw]]+modelo_tese_H__2[[#This Row],[Vr]]+modelo_tese_H__2[[#This Row],[K]]-modelo_tese_H__2[[#This Row],[E]]</f>
        <v>-12640341066988.359</v>
      </c>
      <c r="BB434" s="2">
        <f>modelo_tese_H__2[[#This Row],[K]]-modelo_tese_H__2[[#This Row],[Coluna1]]</f>
        <v>28520221816862.16</v>
      </c>
      <c r="BC434">
        <f>modelo_tese_H__2[[#This Row],[Coluna2]]/modelo_tese_H__2[[#This Row],[Coluna1]]</f>
        <v>-2.2562857810336983</v>
      </c>
      <c r="BD434" s="8">
        <f>modelo_tese_H__2[[#This Row],[D]]-modelo_tese_H__2[[#This Row],[Dw]]-modelo_tese_H__2[[#This Row],[Dr]]</f>
        <v>0</v>
      </c>
    </row>
    <row r="435" spans="1:56" x14ac:dyDescent="0.25">
      <c r="A435">
        <v>434</v>
      </c>
      <c r="B435">
        <v>434</v>
      </c>
      <c r="C435">
        <v>3929965285502.9199</v>
      </c>
      <c r="D435">
        <v>1832637621596.1599</v>
      </c>
      <c r="E435">
        <v>1631047483220.5801</v>
      </c>
      <c r="F435">
        <v>202337191128.48499</v>
      </c>
      <c r="G435">
        <v>5677791305790.2803</v>
      </c>
      <c r="H435">
        <v>1272772177531.54</v>
      </c>
      <c r="I435">
        <v>3106156851880.6099</v>
      </c>
      <c r="J435">
        <v>2279658269331.2798</v>
      </c>
      <c r="K435">
        <v>14339419891578.1</v>
      </c>
      <c r="L435">
        <v>-1273519230284.45</v>
      </c>
      <c r="M435">
        <v>16619078160909.301</v>
      </c>
      <c r="N435">
        <v>-24183671958462.398</v>
      </c>
      <c r="O435">
        <v>2867571366560.75</v>
      </c>
      <c r="P435">
        <v>1892597101930.0901</v>
      </c>
      <c r="Q435">
        <v>2961083786043.5</v>
      </c>
      <c r="R435">
        <v>1480541893021.75</v>
      </c>
      <c r="S435">
        <v>1480541893021.75</v>
      </c>
      <c r="T435">
        <v>1387029473539</v>
      </c>
      <c r="U435">
        <v>563221039916.68994</v>
      </c>
      <c r="V435">
        <v>10696959823411.9</v>
      </c>
      <c r="W435">
        <v>1892295117735.71</v>
      </c>
      <c r="X435">
        <v>0.27460189270018398</v>
      </c>
      <c r="Y435">
        <v>16763085397408.301</v>
      </c>
      <c r="Z435">
        <v>7811910142432.9297</v>
      </c>
      <c r="AA435">
        <v>0.78978611412520605</v>
      </c>
      <c r="AB435">
        <v>8725209203227.3604</v>
      </c>
      <c r="AC435">
        <v>4998753953810.7002</v>
      </c>
      <c r="AD435">
        <v>6891049071546.4199</v>
      </c>
      <c r="AE435">
        <v>-13486712135050.6</v>
      </c>
      <c r="AF435">
        <v>-710298190367.75903</v>
      </c>
      <c r="AG435">
        <v>5.5594999999999999E-2</v>
      </c>
      <c r="AH435">
        <v>-40802750119371.797</v>
      </c>
      <c r="AI435">
        <v>18508869965844.801</v>
      </c>
      <c r="AJ435">
        <v>0.06</v>
      </c>
      <c r="AK435">
        <v>0.05</v>
      </c>
      <c r="AL435">
        <v>8.8099999999999998E-2</v>
      </c>
      <c r="AM435">
        <v>3.8100000000000002E-2</v>
      </c>
      <c r="AN435">
        <v>0.89</v>
      </c>
      <c r="AO435">
        <v>0.66</v>
      </c>
      <c r="AP435">
        <v>0.42970000000000003</v>
      </c>
      <c r="AQ435">
        <v>0.57030000000000003</v>
      </c>
      <c r="AR435">
        <v>8.9999999999999993E-3</v>
      </c>
      <c r="AS435">
        <v>0.5</v>
      </c>
      <c r="AT435">
        <v>1.82</v>
      </c>
      <c r="AU435">
        <v>6.3545217126973294E-2</v>
      </c>
      <c r="AV435">
        <v>0.7893</v>
      </c>
      <c r="AW435">
        <v>3</v>
      </c>
      <c r="AX435">
        <v>0.05</v>
      </c>
      <c r="AY435">
        <v>1</v>
      </c>
      <c r="AZ435">
        <v>1</v>
      </c>
      <c r="BA435" s="2">
        <f>modelo_tese_H__2[[#This Row],[Vw]]+modelo_tese_H__2[[#This Row],[Vr]]+modelo_tese_H__2[[#This Row],[K]]-modelo_tese_H__2[[#This Row],[E]]</f>
        <v>-13342704898551.625</v>
      </c>
      <c r="BB435" s="2">
        <f>modelo_tese_H__2[[#This Row],[K]]-modelo_tese_H__2[[#This Row],[Coluna1]]</f>
        <v>30105790295959.926</v>
      </c>
      <c r="BC435">
        <f>modelo_tese_H__2[[#This Row],[Coluna2]]/modelo_tese_H__2[[#This Row],[Coluna1]]</f>
        <v>-2.2563483585122208</v>
      </c>
      <c r="BD435" s="8">
        <f>modelo_tese_H__2[[#This Row],[D]]-modelo_tese_H__2[[#This Row],[Dw]]-modelo_tese_H__2[[#This Row],[Dr]]</f>
        <v>-0.1015625</v>
      </c>
    </row>
    <row r="436" spans="1:56" x14ac:dyDescent="0.25">
      <c r="A436">
        <v>435</v>
      </c>
      <c r="B436">
        <v>435</v>
      </c>
      <c r="C436">
        <v>4148515393668.4399</v>
      </c>
      <c r="D436">
        <v>1934587683069.1899</v>
      </c>
      <c r="E436">
        <v>1721783037931.5801</v>
      </c>
      <c r="F436">
        <v>213585570590.905</v>
      </c>
      <c r="G436">
        <v>5993494449749.6904</v>
      </c>
      <c r="H436">
        <v>1343531946741.4099</v>
      </c>
      <c r="I436">
        <v>3278900555263.8901</v>
      </c>
      <c r="J436">
        <v>2406388859860.6602</v>
      </c>
      <c r="K436">
        <v>15136619940450.4</v>
      </c>
      <c r="L436">
        <v>-1344312872194.7</v>
      </c>
      <c r="M436">
        <v>17543008800311</v>
      </c>
      <c r="N436">
        <v>-25527984830657.102</v>
      </c>
      <c r="O436">
        <v>3027017398863.48</v>
      </c>
      <c r="P436">
        <v>1997831483249.8999</v>
      </c>
      <c r="Q436">
        <v>3125753225774.73</v>
      </c>
      <c r="R436">
        <v>1562876612887.3601</v>
      </c>
      <c r="S436">
        <v>1562876612887.3601</v>
      </c>
      <c r="T436">
        <v>1464140785976.1101</v>
      </c>
      <c r="U436">
        <v>594525947571.56604</v>
      </c>
      <c r="V436">
        <v>11291485770983.4</v>
      </c>
      <c r="W436">
        <v>1997536580929.3799</v>
      </c>
      <c r="X436">
        <v>0.27460308182612703</v>
      </c>
      <c r="Y436">
        <v>17695408077041.398</v>
      </c>
      <c r="Z436">
        <v>8246570110474.9404</v>
      </c>
      <c r="AA436">
        <v>0.789781151471878</v>
      </c>
      <c r="AB436">
        <v>9210486482092.4902</v>
      </c>
      <c r="AC436">
        <v>5276732038513.79</v>
      </c>
      <c r="AD436">
        <v>7274268619443.1699</v>
      </c>
      <c r="AE436">
        <v>-14236499059673.699</v>
      </c>
      <c r="AF436">
        <v>-749786924623.13599</v>
      </c>
      <c r="AG436">
        <v>5.5594999999999999E-2</v>
      </c>
      <c r="AH436">
        <v>-43070993630968.203</v>
      </c>
      <c r="AI436">
        <v>19538055881458.398</v>
      </c>
      <c r="AJ436">
        <v>0.06</v>
      </c>
      <c r="AK436">
        <v>0.05</v>
      </c>
      <c r="AL436">
        <v>8.8099999999999998E-2</v>
      </c>
      <c r="AM436">
        <v>3.8100000000000002E-2</v>
      </c>
      <c r="AN436">
        <v>0.89</v>
      </c>
      <c r="AO436">
        <v>0.66</v>
      </c>
      <c r="AP436">
        <v>0.42970000000000003</v>
      </c>
      <c r="AQ436">
        <v>0.57030000000000003</v>
      </c>
      <c r="AR436">
        <v>8.9999999999999993E-3</v>
      </c>
      <c r="AS436">
        <v>0.5</v>
      </c>
      <c r="AT436">
        <v>1.82</v>
      </c>
      <c r="AU436">
        <v>6.3545217126973294E-2</v>
      </c>
      <c r="AV436">
        <v>0.7893</v>
      </c>
      <c r="AW436">
        <v>3</v>
      </c>
      <c r="AX436">
        <v>0.05</v>
      </c>
      <c r="AY436">
        <v>1</v>
      </c>
      <c r="AZ436">
        <v>1</v>
      </c>
      <c r="BA436" s="2">
        <f>modelo_tese_H__2[[#This Row],[Vw]]+modelo_tese_H__2[[#This Row],[Vr]]+modelo_tese_H__2[[#This Row],[K]]-modelo_tese_H__2[[#This Row],[E]]</f>
        <v>-14084099782943.348</v>
      </c>
      <c r="BB436" s="2">
        <f>modelo_tese_H__2[[#This Row],[K]]-modelo_tese_H__2[[#This Row],[Coluna1]]</f>
        <v>31779507859984.746</v>
      </c>
      <c r="BC436">
        <f>modelo_tese_H__2[[#This Row],[Coluna2]]/modelo_tese_H__2[[#This Row],[Coluna1]]</f>
        <v>-2.256410303090266</v>
      </c>
      <c r="BD436" s="8">
        <f>modelo_tese_H__2[[#This Row],[D]]-modelo_tese_H__2[[#This Row],[Dw]]-modelo_tese_H__2[[#This Row],[Dr]]</f>
        <v>0</v>
      </c>
    </row>
    <row r="437" spans="1:56" x14ac:dyDescent="0.25">
      <c r="A437">
        <v>436</v>
      </c>
      <c r="B437">
        <v>436</v>
      </c>
      <c r="C437">
        <v>4379218651841.3101</v>
      </c>
      <c r="D437">
        <v>2042208554647.6001</v>
      </c>
      <c r="E437">
        <v>1817565613636.3701</v>
      </c>
      <c r="F437">
        <v>225459278738.82999</v>
      </c>
      <c r="G437">
        <v>6326751188412.96</v>
      </c>
      <c r="H437">
        <v>1418225605320.5</v>
      </c>
      <c r="I437">
        <v>3461250497695.6899</v>
      </c>
      <c r="J437">
        <v>2540164723038.7998</v>
      </c>
      <c r="K437">
        <v>15978140326039.699</v>
      </c>
      <c r="L437">
        <v>-1419041943048.0901</v>
      </c>
      <c r="M437">
        <v>18518305049078.5</v>
      </c>
      <c r="N437">
        <v>-26947026773705.199</v>
      </c>
      <c r="O437">
        <v>3195328883036.8501</v>
      </c>
      <c r="P437">
        <v>2108917062804.3201</v>
      </c>
      <c r="Q437">
        <v>3299579615458.8999</v>
      </c>
      <c r="R437">
        <v>1649789807729.45</v>
      </c>
      <c r="S437">
        <v>1649789807729.45</v>
      </c>
      <c r="T437">
        <v>1545539075307.3999</v>
      </c>
      <c r="U437">
        <v>627570921161.78503</v>
      </c>
      <c r="V437">
        <v>11919056692145.199</v>
      </c>
      <c r="W437">
        <v>2108630706800.1899</v>
      </c>
      <c r="X437">
        <v>0.27460425881749501</v>
      </c>
      <c r="Y437">
        <v>18679580235435.602</v>
      </c>
      <c r="Z437">
        <v>8705411009545.6904</v>
      </c>
      <c r="AA437">
        <v>0.78977623944251096</v>
      </c>
      <c r="AB437">
        <v>9722751690682.0898</v>
      </c>
      <c r="AC437">
        <v>5570167560500.0098</v>
      </c>
      <c r="AD437">
        <v>7678798267300.21</v>
      </c>
      <c r="AE437">
        <v>-15027970081560</v>
      </c>
      <c r="AF437">
        <v>-791471021886.30396</v>
      </c>
      <c r="AG437">
        <v>5.5594999999999999E-2</v>
      </c>
      <c r="AH437">
        <v>-45465331822783.703</v>
      </c>
      <c r="AI437">
        <v>20624467701690.898</v>
      </c>
      <c r="AJ437">
        <v>0.06</v>
      </c>
      <c r="AK437">
        <v>0.05</v>
      </c>
      <c r="AL437">
        <v>8.8099999999999998E-2</v>
      </c>
      <c r="AM437">
        <v>3.8100000000000002E-2</v>
      </c>
      <c r="AN437">
        <v>0.89</v>
      </c>
      <c r="AO437">
        <v>0.66</v>
      </c>
      <c r="AP437">
        <v>0.42970000000000003</v>
      </c>
      <c r="AQ437">
        <v>0.57030000000000003</v>
      </c>
      <c r="AR437">
        <v>8.9999999999999993E-3</v>
      </c>
      <c r="AS437">
        <v>0.5</v>
      </c>
      <c r="AT437">
        <v>1.82</v>
      </c>
      <c r="AU437">
        <v>6.3545217126973294E-2</v>
      </c>
      <c r="AV437">
        <v>0.7893</v>
      </c>
      <c r="AW437">
        <v>3</v>
      </c>
      <c r="AX437">
        <v>0.05</v>
      </c>
      <c r="AY437">
        <v>1</v>
      </c>
      <c r="AZ437">
        <v>1</v>
      </c>
      <c r="BA437" s="2">
        <f>modelo_tese_H__2[[#This Row],[Vw]]+modelo_tese_H__2[[#This Row],[Vr]]+modelo_tese_H__2[[#This Row],[K]]-modelo_tese_H__2[[#This Row],[E]]</f>
        <v>-14866694895202.895</v>
      </c>
      <c r="BB437" s="2">
        <f>modelo_tese_H__2[[#This Row],[K]]-modelo_tese_H__2[[#This Row],[Coluna1]]</f>
        <v>33546275130638.496</v>
      </c>
      <c r="BC437">
        <f>modelo_tese_H__2[[#This Row],[Coluna2]]/modelo_tese_H__2[[#This Row],[Coluna1]]</f>
        <v>-2.2564716211040983</v>
      </c>
      <c r="BD437" s="8">
        <f>modelo_tese_H__2[[#This Row],[D]]-modelo_tese_H__2[[#This Row],[Dw]]-modelo_tese_H__2[[#This Row],[Dr]]</f>
        <v>0</v>
      </c>
    </row>
    <row r="438" spans="1:56" x14ac:dyDescent="0.25">
      <c r="A438">
        <v>437</v>
      </c>
      <c r="B438">
        <v>437</v>
      </c>
      <c r="C438">
        <v>4622750842505.7803</v>
      </c>
      <c r="D438">
        <v>2155815634909.0901</v>
      </c>
      <c r="E438">
        <v>1918675915069.0901</v>
      </c>
      <c r="F438">
        <v>237993079600.70001</v>
      </c>
      <c r="G438">
        <v>6678537507083.0898</v>
      </c>
      <c r="H438">
        <v>1497071857848.29</v>
      </c>
      <c r="I438">
        <v>3653740852518.0801</v>
      </c>
      <c r="J438">
        <v>2681377526691.7202</v>
      </c>
      <c r="K438">
        <v>16866445037465.9</v>
      </c>
      <c r="L438">
        <v>-1497925217608.99</v>
      </c>
      <c r="M438">
        <v>19547822564157.602</v>
      </c>
      <c r="N438">
        <v>-28444951991314.199</v>
      </c>
      <c r="O438">
        <v>3372998740951.0601</v>
      </c>
      <c r="P438">
        <v>2226179169027.7002</v>
      </c>
      <c r="Q438">
        <v>3483072132254.48</v>
      </c>
      <c r="R438">
        <v>1741536066127.24</v>
      </c>
      <c r="S438">
        <v>1741536066127.24</v>
      </c>
      <c r="T438">
        <v>1631462674823.8101</v>
      </c>
      <c r="U438">
        <v>662452684836.11694</v>
      </c>
      <c r="V438">
        <v>12581509376981.301</v>
      </c>
      <c r="W438">
        <v>2225902953214.48</v>
      </c>
      <c r="X438">
        <v>0.27460542379796898</v>
      </c>
      <c r="Y438">
        <v>19718485206748.602</v>
      </c>
      <c r="Z438">
        <v>9189777896632.9297</v>
      </c>
      <c r="AA438">
        <v>0.78977137752151705</v>
      </c>
      <c r="AB438">
        <v>10263505623865.699</v>
      </c>
      <c r="AC438">
        <v>5879920021545.7803</v>
      </c>
      <c r="AD438">
        <v>8105822974760.2598</v>
      </c>
      <c r="AE438">
        <v>-15863442614332.9</v>
      </c>
      <c r="AF438">
        <v>-835472532772.87195</v>
      </c>
      <c r="AG438">
        <v>5.5594999999999999E-2</v>
      </c>
      <c r="AH438">
        <v>-47992774555471.797</v>
      </c>
      <c r="AI438">
        <v>21771287273614.301</v>
      </c>
      <c r="AJ438">
        <v>0.06</v>
      </c>
      <c r="AK438">
        <v>0.05</v>
      </c>
      <c r="AL438">
        <v>8.8099999999999998E-2</v>
      </c>
      <c r="AM438">
        <v>3.8100000000000002E-2</v>
      </c>
      <c r="AN438">
        <v>0.89</v>
      </c>
      <c r="AO438">
        <v>0.66</v>
      </c>
      <c r="AP438">
        <v>0.42970000000000003</v>
      </c>
      <c r="AQ438">
        <v>0.57030000000000003</v>
      </c>
      <c r="AR438">
        <v>8.9999999999999993E-3</v>
      </c>
      <c r="AS438">
        <v>0.5</v>
      </c>
      <c r="AT438">
        <v>1.82</v>
      </c>
      <c r="AU438">
        <v>6.3545217126973294E-2</v>
      </c>
      <c r="AV438">
        <v>0.7893</v>
      </c>
      <c r="AW438">
        <v>3</v>
      </c>
      <c r="AX438">
        <v>0.05</v>
      </c>
      <c r="AY438">
        <v>1</v>
      </c>
      <c r="AZ438">
        <v>1</v>
      </c>
      <c r="BA438" s="2">
        <f>modelo_tese_H__2[[#This Row],[Vw]]+modelo_tese_H__2[[#This Row],[Vr]]+modelo_tese_H__2[[#This Row],[K]]-modelo_tese_H__2[[#This Row],[E]]</f>
        <v>-15692779971741.824</v>
      </c>
      <c r="BB438" s="2">
        <f>modelo_tese_H__2[[#This Row],[K]]-modelo_tese_H__2[[#This Row],[Coluna1]]</f>
        <v>35411265178490.422</v>
      </c>
      <c r="BC438">
        <f>modelo_tese_H__2[[#This Row],[Coluna2]]/modelo_tese_H__2[[#This Row],[Coluna1]]</f>
        <v>-2.2565323188278881</v>
      </c>
      <c r="BD438" s="8">
        <f>modelo_tese_H__2[[#This Row],[D]]-modelo_tese_H__2[[#This Row],[Dw]]-modelo_tese_H__2[[#This Row],[Dr]]</f>
        <v>0</v>
      </c>
    </row>
    <row r="439" spans="1:56" x14ac:dyDescent="0.25">
      <c r="A439">
        <v>438</v>
      </c>
      <c r="B439">
        <v>438</v>
      </c>
      <c r="C439">
        <v>4879825324016.79</v>
      </c>
      <c r="D439">
        <v>2275741862838.5801</v>
      </c>
      <c r="E439">
        <v>2025410257926.3301</v>
      </c>
      <c r="F439">
        <v>251223669860.91299</v>
      </c>
      <c r="G439">
        <v>7049883655144.5996</v>
      </c>
      <c r="H439">
        <v>1580301567785.3601</v>
      </c>
      <c r="I439">
        <v>3856935495572.6099</v>
      </c>
      <c r="J439">
        <v>2830440712785.6802</v>
      </c>
      <c r="K439">
        <v>17804135049323.801</v>
      </c>
      <c r="L439">
        <v>-1581193632734.03</v>
      </c>
      <c r="M439">
        <v>20634575762109.5</v>
      </c>
      <c r="N439">
        <v>-30026145624048.301</v>
      </c>
      <c r="O439">
        <v>3560547300578.0801</v>
      </c>
      <c r="P439">
        <v>2349961218381.5298</v>
      </c>
      <c r="Q439">
        <v>3676768265351.5898</v>
      </c>
      <c r="R439">
        <v>1838384132675.8</v>
      </c>
      <c r="S439">
        <v>1838384132675.8</v>
      </c>
      <c r="T439">
        <v>1722163167902.28</v>
      </c>
      <c r="U439">
        <v>699273339458.10596</v>
      </c>
      <c r="V439">
        <v>13280782716439.5</v>
      </c>
      <c r="W439">
        <v>2349696875414.2402</v>
      </c>
      <c r="X439">
        <v>0.27460657688997597</v>
      </c>
      <c r="Y439">
        <v>20815166658285</v>
      </c>
      <c r="Z439">
        <v>9701090639371.3691</v>
      </c>
      <c r="AA439">
        <v>0.789766565198458</v>
      </c>
      <c r="AB439">
        <v>10834332531180.6</v>
      </c>
      <c r="AC439">
        <v>6206896713954.1396</v>
      </c>
      <c r="AD439">
        <v>8556593589368.3799</v>
      </c>
      <c r="AE439">
        <v>-16745362907608.801</v>
      </c>
      <c r="AF439">
        <v>-881920293275.92896</v>
      </c>
      <c r="AG439">
        <v>5.5594999999999999E-2</v>
      </c>
      <c r="AH439">
        <v>-50660721386157.703</v>
      </c>
      <c r="AI439">
        <v>22981873355810.801</v>
      </c>
      <c r="AJ439">
        <v>0.06</v>
      </c>
      <c r="AK439">
        <v>0.05</v>
      </c>
      <c r="AL439">
        <v>8.8099999999999998E-2</v>
      </c>
      <c r="AM439">
        <v>3.8100000000000002E-2</v>
      </c>
      <c r="AN439">
        <v>0.89</v>
      </c>
      <c r="AO439">
        <v>0.66</v>
      </c>
      <c r="AP439">
        <v>0.42970000000000003</v>
      </c>
      <c r="AQ439">
        <v>0.57030000000000003</v>
      </c>
      <c r="AR439">
        <v>8.9999999999999993E-3</v>
      </c>
      <c r="AS439">
        <v>0.5</v>
      </c>
      <c r="AT439">
        <v>1.82</v>
      </c>
      <c r="AU439">
        <v>6.3545217126973294E-2</v>
      </c>
      <c r="AV439">
        <v>0.7893</v>
      </c>
      <c r="AW439">
        <v>3</v>
      </c>
      <c r="AX439">
        <v>0.05</v>
      </c>
      <c r="AY439">
        <v>1</v>
      </c>
      <c r="AZ439">
        <v>1</v>
      </c>
      <c r="BA439" s="2">
        <f>modelo_tese_H__2[[#This Row],[Vw]]+modelo_tese_H__2[[#This Row],[Vr]]+modelo_tese_H__2[[#This Row],[K]]-modelo_tese_H__2[[#This Row],[E]]</f>
        <v>-16564772011433.271</v>
      </c>
      <c r="BB439" s="2">
        <f>modelo_tese_H__2[[#This Row],[K]]-modelo_tese_H__2[[#This Row],[Coluna1]]</f>
        <v>37379938669718.273</v>
      </c>
      <c r="BC439">
        <f>modelo_tese_H__2[[#This Row],[Coluna2]]/modelo_tese_H__2[[#This Row],[Coluna1]]</f>
        <v>-2.256592402474241</v>
      </c>
      <c r="BD439" s="8">
        <f>modelo_tese_H__2[[#This Row],[D]]-modelo_tese_H__2[[#This Row],[Dw]]-modelo_tese_H__2[[#This Row],[Dr]]</f>
        <v>0</v>
      </c>
    </row>
    <row r="440" spans="1:56" x14ac:dyDescent="0.25">
      <c r="A440">
        <v>439</v>
      </c>
      <c r="B440">
        <v>439</v>
      </c>
      <c r="C440">
        <v>5151195119888.9404</v>
      </c>
      <c r="D440">
        <v>2402338693249.1699</v>
      </c>
      <c r="E440">
        <v>2138081436991.76</v>
      </c>
      <c r="F440">
        <v>265189786303.57101</v>
      </c>
      <c r="G440">
        <v>7441877163063.1904</v>
      </c>
      <c r="H440">
        <v>1668158433446.3899</v>
      </c>
      <c r="I440">
        <v>4071429656741.73</v>
      </c>
      <c r="J440">
        <v>2987790707932.1201</v>
      </c>
      <c r="K440">
        <v>18793955937390.898</v>
      </c>
      <c r="L440">
        <v>-1669090963492.55</v>
      </c>
      <c r="M440">
        <v>21781746645323.102</v>
      </c>
      <c r="N440">
        <v>-31695236587540.801</v>
      </c>
      <c r="O440">
        <v>3758523819728.8799</v>
      </c>
      <c r="P440">
        <v>2480625721021.0601</v>
      </c>
      <c r="Q440">
        <v>3881235390174.0801</v>
      </c>
      <c r="R440">
        <v>1940617695087.04</v>
      </c>
      <c r="S440">
        <v>1940617695087.04</v>
      </c>
      <c r="T440">
        <v>1817906124641.8401</v>
      </c>
      <c r="U440">
        <v>738140661494.62903</v>
      </c>
      <c r="V440">
        <v>14018923377934.1</v>
      </c>
      <c r="W440">
        <v>2480375132300.23</v>
      </c>
      <c r="X440">
        <v>0.27460771821469498</v>
      </c>
      <c r="Y440">
        <v>21972837505750.398</v>
      </c>
      <c r="Z440">
        <v>10240848076584.6</v>
      </c>
      <c r="AA440">
        <v>0.78976180196815904</v>
      </c>
      <c r="AB440">
        <v>11436904757299.4</v>
      </c>
      <c r="AC440">
        <v>6552055377762.79</v>
      </c>
      <c r="AD440">
        <v>9032430510063.0195</v>
      </c>
      <c r="AE440">
        <v>-17676313209606.699</v>
      </c>
      <c r="AF440">
        <v>-930950301997.92603</v>
      </c>
      <c r="AG440">
        <v>5.5594999999999999E-2</v>
      </c>
      <c r="AH440">
        <v>-53476983232863.898</v>
      </c>
      <c r="AI440">
        <v>24259771454518.602</v>
      </c>
      <c r="AJ440">
        <v>0.06</v>
      </c>
      <c r="AK440">
        <v>0.05</v>
      </c>
      <c r="AL440">
        <v>8.8099999999999998E-2</v>
      </c>
      <c r="AM440">
        <v>3.8100000000000002E-2</v>
      </c>
      <c r="AN440">
        <v>0.89</v>
      </c>
      <c r="AO440">
        <v>0.66</v>
      </c>
      <c r="AP440">
        <v>0.42970000000000003</v>
      </c>
      <c r="AQ440">
        <v>0.57030000000000003</v>
      </c>
      <c r="AR440">
        <v>8.9999999999999993E-3</v>
      </c>
      <c r="AS440">
        <v>0.5</v>
      </c>
      <c r="AT440">
        <v>1.82</v>
      </c>
      <c r="AU440">
        <v>6.3545217126973294E-2</v>
      </c>
      <c r="AV440">
        <v>0.7893</v>
      </c>
      <c r="AW440">
        <v>3</v>
      </c>
      <c r="AX440">
        <v>0.05</v>
      </c>
      <c r="AY440">
        <v>1</v>
      </c>
      <c r="AZ440">
        <v>1</v>
      </c>
      <c r="BA440" s="2">
        <f>modelo_tese_H__2[[#This Row],[Vw]]+modelo_tese_H__2[[#This Row],[Vr]]+modelo_tese_H__2[[#This Row],[K]]-modelo_tese_H__2[[#This Row],[E]]</f>
        <v>-17485222349179.498</v>
      </c>
      <c r="BB440" s="2">
        <f>modelo_tese_H__2[[#This Row],[K]]-modelo_tese_H__2[[#This Row],[Coluna1]]</f>
        <v>39458059854929.898</v>
      </c>
      <c r="BC440">
        <f>modelo_tese_H__2[[#This Row],[Coluna2]]/modelo_tese_H__2[[#This Row],[Coluna1]]</f>
        <v>-2.2566518781948166</v>
      </c>
      <c r="BD440" s="8">
        <f>modelo_tese_H__2[[#This Row],[D]]-modelo_tese_H__2[[#This Row],[Dw]]-modelo_tese_H__2[[#This Row],[Dr]]</f>
        <v>0</v>
      </c>
    </row>
    <row r="441" spans="1:56" x14ac:dyDescent="0.25">
      <c r="A441">
        <v>440</v>
      </c>
      <c r="B441">
        <v>440</v>
      </c>
      <c r="C441">
        <v>5437655124249.3496</v>
      </c>
      <c r="D441">
        <v>2535977126441.7002</v>
      </c>
      <c r="E441">
        <v>2257019642533.1099</v>
      </c>
      <c r="F441">
        <v>279932319229.47699</v>
      </c>
      <c r="G441">
        <v>7855666027122.6602</v>
      </c>
      <c r="H441">
        <v>1760899701553.8401</v>
      </c>
      <c r="I441">
        <v>4297851663316.4302</v>
      </c>
      <c r="J441">
        <v>3153888201189.3799</v>
      </c>
      <c r="K441">
        <v>19838805917730.199</v>
      </c>
      <c r="L441">
        <v>-1761874536874.73</v>
      </c>
      <c r="M441">
        <v>22992694118919.602</v>
      </c>
      <c r="N441">
        <v>-33457111124415.602</v>
      </c>
      <c r="O441">
        <v>3967508094506.3901</v>
      </c>
      <c r="P441">
        <v>2618555342374.2202</v>
      </c>
      <c r="Q441">
        <v>4097072430106.8599</v>
      </c>
      <c r="R441">
        <v>2048536215053.4299</v>
      </c>
      <c r="S441">
        <v>2048536215053.4299</v>
      </c>
      <c r="T441">
        <v>1918971879452.96</v>
      </c>
      <c r="U441">
        <v>779168418520.04395</v>
      </c>
      <c r="V441">
        <v>14798091796454.1</v>
      </c>
      <c r="W441">
        <v>2618320548665.5601</v>
      </c>
      <c r="X441">
        <v>0.27460884789207402</v>
      </c>
      <c r="Y441">
        <v>23194889324217.301</v>
      </c>
      <c r="Z441">
        <v>10810632410196.699</v>
      </c>
      <c r="AA441">
        <v>0.78975708733052297</v>
      </c>
      <c r="AB441">
        <v>12072987640522.199</v>
      </c>
      <c r="AC441">
        <v>6916407005690.6504</v>
      </c>
      <c r="AD441">
        <v>9534727554356.2109</v>
      </c>
      <c r="AE441">
        <v>-18659019327961.398</v>
      </c>
      <c r="AF441">
        <v>-982706118354.68994</v>
      </c>
      <c r="AG441">
        <v>5.5594999999999999E-2</v>
      </c>
      <c r="AH441">
        <v>-56449805243335.102</v>
      </c>
      <c r="AI441">
        <v>25608724206650.801</v>
      </c>
      <c r="AJ441">
        <v>0.06</v>
      </c>
      <c r="AK441">
        <v>0.05</v>
      </c>
      <c r="AL441">
        <v>8.8099999999999998E-2</v>
      </c>
      <c r="AM441">
        <v>3.8100000000000002E-2</v>
      </c>
      <c r="AN441">
        <v>0.89</v>
      </c>
      <c r="AO441">
        <v>0.66</v>
      </c>
      <c r="AP441">
        <v>0.42970000000000003</v>
      </c>
      <c r="AQ441">
        <v>0.57030000000000003</v>
      </c>
      <c r="AR441">
        <v>8.9999999999999993E-3</v>
      </c>
      <c r="AS441">
        <v>0.5</v>
      </c>
      <c r="AT441">
        <v>1.82</v>
      </c>
      <c r="AU441">
        <v>6.3545217126973294E-2</v>
      </c>
      <c r="AV441">
        <v>0.7893</v>
      </c>
      <c r="AW441">
        <v>3</v>
      </c>
      <c r="AX441">
        <v>0.05</v>
      </c>
      <c r="AY441">
        <v>1</v>
      </c>
      <c r="AZ441">
        <v>1</v>
      </c>
      <c r="BA441" s="2">
        <f>modelo_tese_H__2[[#This Row],[Vw]]+modelo_tese_H__2[[#This Row],[Vr]]+modelo_tese_H__2[[#This Row],[K]]-modelo_tese_H__2[[#This Row],[E]]</f>
        <v>-18456824122663.699</v>
      </c>
      <c r="BB441" s="2">
        <f>modelo_tese_H__2[[#This Row],[K]]-modelo_tese_H__2[[#This Row],[Coluna1]]</f>
        <v>41651713446881</v>
      </c>
      <c r="BC441">
        <f>modelo_tese_H__2[[#This Row],[Coluna2]]/modelo_tese_H__2[[#This Row],[Coluna1]]</f>
        <v>-2.2567107520808842</v>
      </c>
      <c r="BD441" s="8">
        <f>modelo_tese_H__2[[#This Row],[D]]-modelo_tese_H__2[[#This Row],[Dw]]-modelo_tese_H__2[[#This Row],[Dr]]</f>
        <v>0.103515625</v>
      </c>
    </row>
    <row r="442" spans="1:56" x14ac:dyDescent="0.25">
      <c r="A442">
        <v>441</v>
      </c>
      <c r="B442">
        <v>441</v>
      </c>
      <c r="C442">
        <v>5740044429915.9004</v>
      </c>
      <c r="D442">
        <v>2677048795121.5298</v>
      </c>
      <c r="E442">
        <v>2382573427658.1602</v>
      </c>
      <c r="F442">
        <v>295494432178.43701</v>
      </c>
      <c r="G442">
        <v>8292462071226.9004</v>
      </c>
      <c r="H442">
        <v>1858796920461.73</v>
      </c>
      <c r="I442">
        <v>4536864780298.3301</v>
      </c>
      <c r="J442">
        <v>3329219492902.5</v>
      </c>
      <c r="K442">
        <v>20941744332726.398</v>
      </c>
      <c r="L442">
        <v>-1859815985176.8</v>
      </c>
      <c r="M442">
        <v>24270963825628.898</v>
      </c>
      <c r="N442">
        <v>-35316927109592.398</v>
      </c>
      <c r="O442">
        <v>4188112157185.2998</v>
      </c>
      <c r="P442">
        <v>2764154023742.2998</v>
      </c>
      <c r="Q442">
        <v>4324911610616.98</v>
      </c>
      <c r="R442">
        <v>2162455805308.49</v>
      </c>
      <c r="S442">
        <v>2162455805308.49</v>
      </c>
      <c r="T442">
        <v>2025656351876.8101</v>
      </c>
      <c r="U442">
        <v>822476702259.24695</v>
      </c>
      <c r="V442">
        <v>15620568498713.4</v>
      </c>
      <c r="W442">
        <v>2763937236492.2402</v>
      </c>
      <c r="X442">
        <v>0.27460996604084298</v>
      </c>
      <c r="Y442">
        <v>24484902282366.102</v>
      </c>
      <c r="Z442">
        <v>11412113841380.4</v>
      </c>
      <c r="AA442">
        <v>0.78975242079056396</v>
      </c>
      <c r="AB442">
        <v>12744444683635.9</v>
      </c>
      <c r="AC442">
        <v>7301018804040.6299</v>
      </c>
      <c r="AD442">
        <v>10064956040532.9</v>
      </c>
      <c r="AE442">
        <v>-19696358610879</v>
      </c>
      <c r="AF442">
        <v>-1037339282917.55</v>
      </c>
      <c r="AG442">
        <v>5.5594999999999999E-2</v>
      </c>
      <c r="AH442">
        <v>-59587890935221.203</v>
      </c>
      <c r="AI442">
        <v>27032682340093.801</v>
      </c>
      <c r="AJ442">
        <v>0.06</v>
      </c>
      <c r="AK442">
        <v>0.05</v>
      </c>
      <c r="AL442">
        <v>8.8099999999999998E-2</v>
      </c>
      <c r="AM442">
        <v>3.8100000000000002E-2</v>
      </c>
      <c r="AN442">
        <v>0.89</v>
      </c>
      <c r="AO442">
        <v>0.66</v>
      </c>
      <c r="AP442">
        <v>0.42970000000000003</v>
      </c>
      <c r="AQ442">
        <v>0.57030000000000003</v>
      </c>
      <c r="AR442">
        <v>8.9999999999999993E-3</v>
      </c>
      <c r="AS442">
        <v>0.5</v>
      </c>
      <c r="AT442">
        <v>1.82</v>
      </c>
      <c r="AU442">
        <v>6.3545217126973294E-2</v>
      </c>
      <c r="AV442">
        <v>0.7893</v>
      </c>
      <c r="AW442">
        <v>3</v>
      </c>
      <c r="AX442">
        <v>0.05</v>
      </c>
      <c r="AY442">
        <v>1</v>
      </c>
      <c r="AZ442">
        <v>1</v>
      </c>
      <c r="BA442" s="2">
        <f>modelo_tese_H__2[[#This Row],[Vw]]+modelo_tese_H__2[[#This Row],[Vr]]+modelo_tese_H__2[[#This Row],[K]]-modelo_tese_H__2[[#This Row],[E]]</f>
        <v>-19482420154141.703</v>
      </c>
      <c r="BB442" s="2">
        <f>modelo_tese_H__2[[#This Row],[K]]-modelo_tese_H__2[[#This Row],[Coluna1]]</f>
        <v>43967322436507.805</v>
      </c>
      <c r="BC442">
        <f>modelo_tese_H__2[[#This Row],[Coluna2]]/modelo_tese_H__2[[#This Row],[Coluna1]]</f>
        <v>-2.2567690301638903</v>
      </c>
      <c r="BD442" s="8">
        <f>modelo_tese_H__2[[#This Row],[D]]-modelo_tese_H__2[[#This Row],[Dw]]-modelo_tese_H__2[[#This Row],[Dr]]</f>
        <v>0</v>
      </c>
    </row>
    <row r="443" spans="1:56" x14ac:dyDescent="0.25">
      <c r="A443">
        <v>442</v>
      </c>
      <c r="B443">
        <v>442</v>
      </c>
      <c r="C443">
        <v>6059248785916.9805</v>
      </c>
      <c r="D443">
        <v>2825967111754.73</v>
      </c>
      <c r="E443">
        <v>2515110729461.71</v>
      </c>
      <c r="F443">
        <v>311921688307.41302</v>
      </c>
      <c r="G443">
        <v>8753544495609.9697</v>
      </c>
      <c r="H443">
        <v>1962136735254.8</v>
      </c>
      <c r="I443">
        <v>4789169153023.9199</v>
      </c>
      <c r="J443">
        <v>3514297918530.3301</v>
      </c>
      <c r="K443">
        <v>22106000608904.301</v>
      </c>
      <c r="L443">
        <v>-1963202041269.1899</v>
      </c>
      <c r="M443">
        <v>25620298527434.699</v>
      </c>
      <c r="N443">
        <v>-37280129150861.5</v>
      </c>
      <c r="O443">
        <v>4420982068489.8799</v>
      </c>
      <c r="P443">
        <v>2917848165203.3198</v>
      </c>
      <c r="Q443">
        <v>4565420310903.96</v>
      </c>
      <c r="R443">
        <v>2282710155451.98</v>
      </c>
      <c r="S443">
        <v>2282710155451.98</v>
      </c>
      <c r="T443">
        <v>2138271913037.9099</v>
      </c>
      <c r="U443">
        <v>868192280144.84497</v>
      </c>
      <c r="V443">
        <v>16488760778858.199</v>
      </c>
      <c r="W443">
        <v>2917651778593.6899</v>
      </c>
      <c r="X443">
        <v>0.27461107277852098</v>
      </c>
      <c r="Y443">
        <v>25846655629094.102</v>
      </c>
      <c r="Z443">
        <v>12047055464522.199</v>
      </c>
      <c r="AA443">
        <v>0.78974780185830995</v>
      </c>
      <c r="AB443">
        <v>13453243012289</v>
      </c>
      <c r="AC443">
        <v>7707017318227.2402</v>
      </c>
      <c r="AD443">
        <v>10624669096820.9</v>
      </c>
      <c r="AE443">
        <v>-20791368372003.301</v>
      </c>
      <c r="AF443">
        <v>-1095009761124.35</v>
      </c>
      <c r="AG443">
        <v>5.5594999999999999E-2</v>
      </c>
      <c r="AH443">
        <v>-62900427678296.203</v>
      </c>
      <c r="AI443">
        <v>28535816243380.398</v>
      </c>
      <c r="AJ443">
        <v>0.06</v>
      </c>
      <c r="AK443">
        <v>0.05</v>
      </c>
      <c r="AL443">
        <v>8.8099999999999998E-2</v>
      </c>
      <c r="AM443">
        <v>3.8100000000000002E-2</v>
      </c>
      <c r="AN443">
        <v>0.89</v>
      </c>
      <c r="AO443">
        <v>0.66</v>
      </c>
      <c r="AP443">
        <v>0.42970000000000003</v>
      </c>
      <c r="AQ443">
        <v>0.57030000000000003</v>
      </c>
      <c r="AR443">
        <v>8.9999999999999993E-3</v>
      </c>
      <c r="AS443">
        <v>0.5</v>
      </c>
      <c r="AT443">
        <v>1.82</v>
      </c>
      <c r="AU443">
        <v>6.3545217126973294E-2</v>
      </c>
      <c r="AV443">
        <v>0.7893</v>
      </c>
      <c r="AW443">
        <v>3</v>
      </c>
      <c r="AX443">
        <v>0.05</v>
      </c>
      <c r="AY443">
        <v>1</v>
      </c>
      <c r="AZ443">
        <v>1</v>
      </c>
      <c r="BA443" s="2">
        <f>modelo_tese_H__2[[#This Row],[Vw]]+modelo_tese_H__2[[#This Row],[Vr]]+modelo_tese_H__2[[#This Row],[K]]-modelo_tese_H__2[[#This Row],[E]]</f>
        <v>-20565011270343.902</v>
      </c>
      <c r="BB443" s="2">
        <f>modelo_tese_H__2[[#This Row],[K]]-modelo_tese_H__2[[#This Row],[Coluna1]]</f>
        <v>46411666899438</v>
      </c>
      <c r="BC443">
        <f>modelo_tese_H__2[[#This Row],[Coluna2]]/modelo_tese_H__2[[#This Row],[Coluna1]]</f>
        <v>-2.256826718415986</v>
      </c>
      <c r="BD443" s="8">
        <f>modelo_tese_H__2[[#This Row],[D]]-modelo_tese_H__2[[#This Row],[Dw]]-modelo_tese_H__2[[#This Row],[Dr]]</f>
        <v>0</v>
      </c>
    </row>
    <row r="444" spans="1:56" x14ac:dyDescent="0.25">
      <c r="A444">
        <v>443</v>
      </c>
      <c r="B444">
        <v>443</v>
      </c>
      <c r="C444">
        <v>6396203191650.29</v>
      </c>
      <c r="D444">
        <v>2983168479724.8799</v>
      </c>
      <c r="E444">
        <v>2655019946955.1401</v>
      </c>
      <c r="F444">
        <v>329262183794.56299</v>
      </c>
      <c r="G444">
        <v>9240263622846.3906</v>
      </c>
      <c r="H444">
        <v>2071221727051.29</v>
      </c>
      <c r="I444">
        <v>5055503857800.9902</v>
      </c>
      <c r="J444">
        <v>3709665351628.8901</v>
      </c>
      <c r="K444">
        <v>23334983712756.398</v>
      </c>
      <c r="L444">
        <v>-2072335378076.1201</v>
      </c>
      <c r="M444">
        <v>27044649064385.199</v>
      </c>
      <c r="N444">
        <v>-39352464528937.703</v>
      </c>
      <c r="O444">
        <v>4666799809518.3799</v>
      </c>
      <c r="P444">
        <v>3080087874282.1299</v>
      </c>
      <c r="Q444">
        <v>4819303018502.7695</v>
      </c>
      <c r="R444">
        <v>2409651509251.3901</v>
      </c>
      <c r="S444">
        <v>2409651509251.3901</v>
      </c>
      <c r="T444">
        <v>2257148300266.9902</v>
      </c>
      <c r="U444">
        <v>916448966417.69202</v>
      </c>
      <c r="V444">
        <v>17405209745275.9</v>
      </c>
      <c r="W444">
        <v>3079914478069.9399</v>
      </c>
      <c r="X444">
        <v>0.27461216822143297</v>
      </c>
      <c r="Y444">
        <v>27284138763207.102</v>
      </c>
      <c r="Z444">
        <v>12717318433340.699</v>
      </c>
      <c r="AA444">
        <v>0.78974323004875402</v>
      </c>
      <c r="AB444">
        <v>14201459136864.9</v>
      </c>
      <c r="AC444">
        <v>8135591732083.1201</v>
      </c>
      <c r="AD444">
        <v>11215506210153.1</v>
      </c>
      <c r="AE444">
        <v>-21947254783661.801</v>
      </c>
      <c r="AF444">
        <v>-1155886411658.4199</v>
      </c>
      <c r="AG444">
        <v>5.5594999999999999E-2</v>
      </c>
      <c r="AH444">
        <v>-66397113593322.898</v>
      </c>
      <c r="AI444">
        <v>30122528178616.602</v>
      </c>
      <c r="AJ444">
        <v>0.06</v>
      </c>
      <c r="AK444">
        <v>0.05</v>
      </c>
      <c r="AL444">
        <v>8.8099999999999998E-2</v>
      </c>
      <c r="AM444">
        <v>3.8100000000000002E-2</v>
      </c>
      <c r="AN444">
        <v>0.89</v>
      </c>
      <c r="AO444">
        <v>0.66</v>
      </c>
      <c r="AP444">
        <v>0.42970000000000003</v>
      </c>
      <c r="AQ444">
        <v>0.57030000000000003</v>
      </c>
      <c r="AR444">
        <v>8.9999999999999993E-3</v>
      </c>
      <c r="AS444">
        <v>0.5</v>
      </c>
      <c r="AT444">
        <v>1.82</v>
      </c>
      <c r="AU444">
        <v>6.3545217126973294E-2</v>
      </c>
      <c r="AV444">
        <v>0.7893</v>
      </c>
      <c r="AW444">
        <v>3</v>
      </c>
      <c r="AX444">
        <v>0.05</v>
      </c>
      <c r="AY444">
        <v>1</v>
      </c>
      <c r="AZ444">
        <v>1</v>
      </c>
      <c r="BA444" s="2">
        <f>modelo_tese_H__2[[#This Row],[Vw]]+modelo_tese_H__2[[#This Row],[Vr]]+modelo_tese_H__2[[#This Row],[K]]-modelo_tese_H__2[[#This Row],[E]]</f>
        <v>-21707765084839.895</v>
      </c>
      <c r="BB444" s="2">
        <f>modelo_tese_H__2[[#This Row],[K]]-modelo_tese_H__2[[#This Row],[Coluna1]]</f>
        <v>48991903848047</v>
      </c>
      <c r="BC444">
        <f>modelo_tese_H__2[[#This Row],[Coluna2]]/modelo_tese_H__2[[#This Row],[Coluna1]]</f>
        <v>-2.2568838227506709</v>
      </c>
      <c r="BD444" s="8">
        <f>modelo_tese_H__2[[#This Row],[D]]-modelo_tese_H__2[[#This Row],[Dw]]-modelo_tese_H__2[[#This Row],[Dr]]</f>
        <v>0</v>
      </c>
    </row>
    <row r="445" spans="1:56" x14ac:dyDescent="0.25">
      <c r="A445">
        <v>444</v>
      </c>
      <c r="B445">
        <v>444</v>
      </c>
      <c r="C445">
        <v>6751894635277.8896</v>
      </c>
      <c r="D445">
        <v>3149113571838.3701</v>
      </c>
      <c r="E445">
        <v>2802711078936.1499</v>
      </c>
      <c r="F445">
        <v>347566688659.74298</v>
      </c>
      <c r="G445">
        <v>9754044852131</v>
      </c>
      <c r="H445">
        <v>2186371298966.71</v>
      </c>
      <c r="I445">
        <v>5336649066562.5996</v>
      </c>
      <c r="J445">
        <v>3915893790391.5698</v>
      </c>
      <c r="K445">
        <v>24632292132267.102</v>
      </c>
      <c r="L445">
        <v>-2187535494724.23</v>
      </c>
      <c r="M445">
        <v>28548185922658.602</v>
      </c>
      <c r="N445">
        <v>-41540000023661.898</v>
      </c>
      <c r="O445">
        <v>4926285278854.04</v>
      </c>
      <c r="P445">
        <v>3251348284043.6699</v>
      </c>
      <c r="Q445">
        <v>5087303392563.4004</v>
      </c>
      <c r="R445">
        <v>2543651696281.7002</v>
      </c>
      <c r="S445">
        <v>2543651696281.7002</v>
      </c>
      <c r="T445">
        <v>2382633582572.3398</v>
      </c>
      <c r="U445">
        <v>967388013857.05396</v>
      </c>
      <c r="V445">
        <v>18372597759133</v>
      </c>
      <c r="W445">
        <v>3251200677235.02</v>
      </c>
      <c r="X445">
        <v>0.27461325248472301</v>
      </c>
      <c r="Y445">
        <v>28801562918611.699</v>
      </c>
      <c r="Z445">
        <v>13424867414294</v>
      </c>
      <c r="AA445">
        <v>0.78973870488182296</v>
      </c>
      <c r="AB445">
        <v>14991285034729.199</v>
      </c>
      <c r="AC445">
        <v>8587997350606.2695</v>
      </c>
      <c r="AD445">
        <v>11839198027841.301</v>
      </c>
      <c r="AE445">
        <v>-23167402264528.898</v>
      </c>
      <c r="AF445">
        <v>-1220147480867.1699</v>
      </c>
      <c r="AG445">
        <v>5.5594999999999999E-2</v>
      </c>
      <c r="AH445">
        <v>-70088185946320.5</v>
      </c>
      <c r="AI445">
        <v>31797465173427</v>
      </c>
      <c r="AJ445">
        <v>0.06</v>
      </c>
      <c r="AK445">
        <v>0.05</v>
      </c>
      <c r="AL445">
        <v>8.8099999999999998E-2</v>
      </c>
      <c r="AM445">
        <v>3.8100000000000002E-2</v>
      </c>
      <c r="AN445">
        <v>0.89</v>
      </c>
      <c r="AO445">
        <v>0.66</v>
      </c>
      <c r="AP445">
        <v>0.42970000000000003</v>
      </c>
      <c r="AQ445">
        <v>0.57030000000000003</v>
      </c>
      <c r="AR445">
        <v>8.9999999999999993E-3</v>
      </c>
      <c r="AS445">
        <v>0.5</v>
      </c>
      <c r="AT445">
        <v>1.82</v>
      </c>
      <c r="AU445">
        <v>6.3545217126973294E-2</v>
      </c>
      <c r="AV445">
        <v>0.7893</v>
      </c>
      <c r="AW445">
        <v>3</v>
      </c>
      <c r="AX445">
        <v>0.05</v>
      </c>
      <c r="AY445">
        <v>1</v>
      </c>
      <c r="AZ445">
        <v>1</v>
      </c>
      <c r="BA445" s="2">
        <f>modelo_tese_H__2[[#This Row],[Vw]]+modelo_tese_H__2[[#This Row],[Vr]]+modelo_tese_H__2[[#This Row],[K]]-modelo_tese_H__2[[#This Row],[E]]</f>
        <v>-22914025268575.801</v>
      </c>
      <c r="BB445" s="2">
        <f>modelo_tese_H__2[[#This Row],[K]]-modelo_tese_H__2[[#This Row],[Coluna1]]</f>
        <v>51715588187187.5</v>
      </c>
      <c r="BC445">
        <f>modelo_tese_H__2[[#This Row],[Coluna2]]/modelo_tese_H__2[[#This Row],[Coluna1]]</f>
        <v>-2.25694034902327</v>
      </c>
      <c r="BD445" s="8">
        <f>modelo_tese_H__2[[#This Row],[D]]-modelo_tese_H__2[[#This Row],[Dw]]-modelo_tese_H__2[[#This Row],[Dr]]</f>
        <v>0</v>
      </c>
    </row>
    <row r="446" spans="1:56" x14ac:dyDescent="0.25">
      <c r="A446">
        <v>445</v>
      </c>
      <c r="B446">
        <v>445</v>
      </c>
      <c r="C446">
        <v>7127364984376.7305</v>
      </c>
      <c r="D446">
        <v>3324288679922.8398</v>
      </c>
      <c r="E446">
        <v>2958616925131.3301</v>
      </c>
      <c r="F446">
        <v>366888795413.81299</v>
      </c>
      <c r="G446">
        <v>10296392833407.6</v>
      </c>
      <c r="H446">
        <v>2307922611332.7598</v>
      </c>
      <c r="I446">
        <v>5633428331877.9004</v>
      </c>
      <c r="J446">
        <v>4133587032391.46</v>
      </c>
      <c r="K446">
        <v>26001724413360.398</v>
      </c>
      <c r="L446">
        <v>-2309139651955.0601</v>
      </c>
      <c r="M446">
        <v>30135311445751.898</v>
      </c>
      <c r="N446">
        <v>-43849139675617</v>
      </c>
      <c r="O446">
        <v>5200198400710.9004</v>
      </c>
      <c r="P446">
        <v>3432130944469.1899</v>
      </c>
      <c r="Q446">
        <v>5370206441849.3398</v>
      </c>
      <c r="R446">
        <v>2685103220924.6699</v>
      </c>
      <c r="S446">
        <v>2685103220924.6699</v>
      </c>
      <c r="T446">
        <v>2515095179786.2202</v>
      </c>
      <c r="U446">
        <v>1021158527287.4</v>
      </c>
      <c r="V446">
        <v>19393756286420.398</v>
      </c>
      <c r="W446">
        <v>3432012149878.98</v>
      </c>
      <c r="X446">
        <v>0.27461432568235999</v>
      </c>
      <c r="Y446">
        <v>30403373499231.301</v>
      </c>
      <c r="Z446">
        <v>14171776343248.301</v>
      </c>
      <c r="AA446">
        <v>0.78973422588234499</v>
      </c>
      <c r="AB446">
        <v>15825034570665.801</v>
      </c>
      <c r="AC446">
        <v>9065559276347.0898</v>
      </c>
      <c r="AD446">
        <v>12497571426226.1</v>
      </c>
      <c r="AE446">
        <v>-24455383389196.602</v>
      </c>
      <c r="AF446">
        <v>-1287981124667.6599</v>
      </c>
      <c r="AG446">
        <v>5.5594999999999999E-2</v>
      </c>
      <c r="AH446">
        <v>-73984451121368.797</v>
      </c>
      <c r="AI446">
        <v>33565532629668.699</v>
      </c>
      <c r="AJ446">
        <v>0.06</v>
      </c>
      <c r="AK446">
        <v>0.05</v>
      </c>
      <c r="AL446">
        <v>8.8099999999999998E-2</v>
      </c>
      <c r="AM446">
        <v>3.8100000000000002E-2</v>
      </c>
      <c r="AN446">
        <v>0.89</v>
      </c>
      <c r="AO446">
        <v>0.66</v>
      </c>
      <c r="AP446">
        <v>0.42970000000000003</v>
      </c>
      <c r="AQ446">
        <v>0.57030000000000003</v>
      </c>
      <c r="AR446">
        <v>8.9999999999999993E-3</v>
      </c>
      <c r="AS446">
        <v>0.5</v>
      </c>
      <c r="AT446">
        <v>1.82</v>
      </c>
      <c r="AU446">
        <v>6.3545217126973294E-2</v>
      </c>
      <c r="AV446">
        <v>0.7893</v>
      </c>
      <c r="AW446">
        <v>3</v>
      </c>
      <c r="AX446">
        <v>0.05</v>
      </c>
      <c r="AY446">
        <v>1</v>
      </c>
      <c r="AZ446">
        <v>1</v>
      </c>
      <c r="BA446" s="2">
        <f>modelo_tese_H__2[[#This Row],[Vw]]+modelo_tese_H__2[[#This Row],[Vr]]+modelo_tese_H__2[[#This Row],[K]]-modelo_tese_H__2[[#This Row],[E]]</f>
        <v>-24187321335717.094</v>
      </c>
      <c r="BB446" s="2">
        <f>modelo_tese_H__2[[#This Row],[K]]-modelo_tese_H__2[[#This Row],[Coluna1]]</f>
        <v>54590694834948.391</v>
      </c>
      <c r="BC446">
        <f>modelo_tese_H__2[[#This Row],[Coluna2]]/modelo_tese_H__2[[#This Row],[Coluna1]]</f>
        <v>-2.2569963030314995</v>
      </c>
      <c r="BD446" s="8">
        <f>modelo_tese_H__2[[#This Row],[D]]-modelo_tese_H__2[[#This Row],[Dw]]-modelo_tese_H__2[[#This Row],[Dr]]</f>
        <v>0</v>
      </c>
    </row>
    <row r="447" spans="1:56" x14ac:dyDescent="0.25">
      <c r="A447">
        <v>446</v>
      </c>
      <c r="B447">
        <v>446</v>
      </c>
      <c r="C447">
        <v>7523714037308.9102</v>
      </c>
      <c r="D447">
        <v>3509207139470.6401</v>
      </c>
      <c r="E447">
        <v>3123194354128.8701</v>
      </c>
      <c r="F447">
        <v>387285075971.966</v>
      </c>
      <c r="G447">
        <v>10868895873568.199</v>
      </c>
      <c r="H447">
        <v>2436231568909.8101</v>
      </c>
      <c r="I447">
        <v>5946710999010.6396</v>
      </c>
      <c r="J447">
        <v>4363382442429.3101</v>
      </c>
      <c r="K447">
        <v>27447290282121.199</v>
      </c>
      <c r="L447">
        <v>-2437503859540</v>
      </c>
      <c r="M447">
        <v>31810672724550.5</v>
      </c>
      <c r="N447">
        <v>-46286643535157</v>
      </c>
      <c r="O447">
        <v>5489341350286.96</v>
      </c>
      <c r="P447">
        <v>3622965291189.3901</v>
      </c>
      <c r="Q447">
        <v>5668840823832.4404</v>
      </c>
      <c r="R447">
        <v>2834420411916.2202</v>
      </c>
      <c r="S447">
        <v>2834420411916.2202</v>
      </c>
      <c r="T447">
        <v>2654920938370.7402</v>
      </c>
      <c r="U447">
        <v>1077917900072.47</v>
      </c>
      <c r="V447">
        <v>20471674186492.801</v>
      </c>
      <c r="W447">
        <v>3622878570941.3198</v>
      </c>
      <c r="X447">
        <v>0.27461538792715501</v>
      </c>
      <c r="Y447">
        <v>32094263099771.5</v>
      </c>
      <c r="Z447">
        <v>14960234502273.4</v>
      </c>
      <c r="AA447">
        <v>0.78972979257990294</v>
      </c>
      <c r="AB447">
        <v>16705150274302.9</v>
      </c>
      <c r="AC447">
        <v>9569676290200.0391</v>
      </c>
      <c r="AD447">
        <v>13192554861141.4</v>
      </c>
      <c r="AE447">
        <v>-25814969348664.102</v>
      </c>
      <c r="AF447">
        <v>-1359585959467.54</v>
      </c>
      <c r="AG447">
        <v>5.5594999999999999E-2</v>
      </c>
      <c r="AH447">
        <v>-78097316259707.5</v>
      </c>
      <c r="AI447">
        <v>35431908688766.297</v>
      </c>
      <c r="AJ447">
        <v>0.06</v>
      </c>
      <c r="AK447">
        <v>0.05</v>
      </c>
      <c r="AL447">
        <v>8.8099999999999998E-2</v>
      </c>
      <c r="AM447">
        <v>3.8100000000000002E-2</v>
      </c>
      <c r="AN447">
        <v>0.89</v>
      </c>
      <c r="AO447">
        <v>0.66</v>
      </c>
      <c r="AP447">
        <v>0.42970000000000003</v>
      </c>
      <c r="AQ447">
        <v>0.57030000000000003</v>
      </c>
      <c r="AR447">
        <v>8.9999999999999993E-3</v>
      </c>
      <c r="AS447">
        <v>0.5</v>
      </c>
      <c r="AT447">
        <v>1.82</v>
      </c>
      <c r="AU447">
        <v>6.3545217126973294E-2</v>
      </c>
      <c r="AV447">
        <v>0.7893</v>
      </c>
      <c r="AW447">
        <v>3</v>
      </c>
      <c r="AX447">
        <v>0.05</v>
      </c>
      <c r="AY447">
        <v>1</v>
      </c>
      <c r="AZ447">
        <v>1</v>
      </c>
      <c r="BA447" s="2">
        <f>modelo_tese_H__2[[#This Row],[Vw]]+modelo_tese_H__2[[#This Row],[Vr]]+modelo_tese_H__2[[#This Row],[K]]-modelo_tese_H__2[[#This Row],[E]]</f>
        <v>-25531378973443.102</v>
      </c>
      <c r="BB447" s="2">
        <f>modelo_tese_H__2[[#This Row],[K]]-modelo_tese_H__2[[#This Row],[Coluna1]]</f>
        <v>57625642073214.602</v>
      </c>
      <c r="BC447">
        <f>modelo_tese_H__2[[#This Row],[Coluna2]]/modelo_tese_H__2[[#This Row],[Coluna1]]</f>
        <v>-2.2570516905160076</v>
      </c>
      <c r="BD447" s="8">
        <f>modelo_tese_H__2[[#This Row],[D]]-modelo_tese_H__2[[#This Row],[Dw]]-modelo_tese_H__2[[#This Row],[Dr]]</f>
        <v>9.765625E-2</v>
      </c>
    </row>
    <row r="448" spans="1:56" x14ac:dyDescent="0.25">
      <c r="A448">
        <v>447</v>
      </c>
      <c r="B448">
        <v>447</v>
      </c>
      <c r="C448">
        <v>7942102744250.7803</v>
      </c>
      <c r="D448">
        <v>3704410833503.5801</v>
      </c>
      <c r="E448">
        <v>3296925641818.1899</v>
      </c>
      <c r="F448">
        <v>408815247290.51001</v>
      </c>
      <c r="G448">
        <v>11473230587628.4</v>
      </c>
      <c r="H448">
        <v>2571673862983.3501</v>
      </c>
      <c r="I448">
        <v>6277414752092.0498</v>
      </c>
      <c r="J448">
        <v>4605952818663.2695</v>
      </c>
      <c r="K448">
        <v>28973222385355.699</v>
      </c>
      <c r="L448">
        <v>-2573003918588.46</v>
      </c>
      <c r="M448">
        <v>33579175204019</v>
      </c>
      <c r="N448">
        <v>-48859647453745.398</v>
      </c>
      <c r="O448">
        <v>5794560902842.6201</v>
      </c>
      <c r="P448">
        <v>3824410195876.1299</v>
      </c>
      <c r="Q448">
        <v>5984081271619.4297</v>
      </c>
      <c r="R448">
        <v>2992040635809.7202</v>
      </c>
      <c r="S448">
        <v>2992040635809.7202</v>
      </c>
      <c r="T448">
        <v>2802520267032.8999</v>
      </c>
      <c r="U448">
        <v>1137832274874.1599</v>
      </c>
      <c r="V448">
        <v>21609506461367</v>
      </c>
      <c r="W448">
        <v>3824359067902.04</v>
      </c>
      <c r="X448">
        <v>0.27461643933077301</v>
      </c>
      <c r="Y448">
        <v>33879185250468.398</v>
      </c>
      <c r="Z448">
        <v>15792552934365.801</v>
      </c>
      <c r="AA448">
        <v>0.78972540450895201</v>
      </c>
      <c r="AB448">
        <v>17634210494379.898</v>
      </c>
      <c r="AC448">
        <v>10101824947968.199</v>
      </c>
      <c r="AD448">
        <v>13926184015870.199</v>
      </c>
      <c r="AE448">
        <v>-27250140992378.398</v>
      </c>
      <c r="AF448">
        <v>-1435171643714.3</v>
      </c>
      <c r="AG448">
        <v>5.5594999999999999E-2</v>
      </c>
      <c r="AH448">
        <v>-82438822657764.406</v>
      </c>
      <c r="AI448">
        <v>37402059395732.797</v>
      </c>
      <c r="AJ448">
        <v>0.06</v>
      </c>
      <c r="AK448">
        <v>0.05</v>
      </c>
      <c r="AL448">
        <v>8.8099999999999998E-2</v>
      </c>
      <c r="AM448">
        <v>3.8100000000000002E-2</v>
      </c>
      <c r="AN448">
        <v>0.89</v>
      </c>
      <c r="AO448">
        <v>0.66</v>
      </c>
      <c r="AP448">
        <v>0.42970000000000003</v>
      </c>
      <c r="AQ448">
        <v>0.57030000000000003</v>
      </c>
      <c r="AR448">
        <v>8.9999999999999993E-3</v>
      </c>
      <c r="AS448">
        <v>0.5</v>
      </c>
      <c r="AT448">
        <v>1.82</v>
      </c>
      <c r="AU448">
        <v>6.3545217126973294E-2</v>
      </c>
      <c r="AV448">
        <v>0.7893</v>
      </c>
      <c r="AW448">
        <v>3</v>
      </c>
      <c r="AX448">
        <v>0.05</v>
      </c>
      <c r="AY448">
        <v>1</v>
      </c>
      <c r="AZ448">
        <v>1</v>
      </c>
      <c r="BA448" s="2">
        <f>modelo_tese_H__2[[#This Row],[Vw]]+modelo_tese_H__2[[#This Row],[Vr]]+modelo_tese_H__2[[#This Row],[K]]-modelo_tese_H__2[[#This Row],[E]]</f>
        <v>-26950130945929.012</v>
      </c>
      <c r="BB448" s="2">
        <f>modelo_tese_H__2[[#This Row],[K]]-modelo_tese_H__2[[#This Row],[Coluna1]]</f>
        <v>60829316196397.406</v>
      </c>
      <c r="BC448">
        <f>modelo_tese_H__2[[#This Row],[Coluna2]]/modelo_tese_H__2[[#This Row],[Coluna1]]</f>
        <v>-2.2571065171609512</v>
      </c>
      <c r="BD448" s="8">
        <f>modelo_tese_H__2[[#This Row],[D]]-modelo_tese_H__2[[#This Row],[Dw]]-modelo_tese_H__2[[#This Row],[Dr]]</f>
        <v>0</v>
      </c>
    </row>
    <row r="449" spans="1:56" x14ac:dyDescent="0.25">
      <c r="A449">
        <v>448</v>
      </c>
      <c r="B449">
        <v>448</v>
      </c>
      <c r="C449">
        <v>8383756607309.4004</v>
      </c>
      <c r="D449">
        <v>3910471780059.54</v>
      </c>
      <c r="E449">
        <v>3480319884252.9902</v>
      </c>
      <c r="F449">
        <v>431542346212.08801</v>
      </c>
      <c r="G449">
        <v>12111166808494.699</v>
      </c>
      <c r="H449">
        <v>2714646071395.9102</v>
      </c>
      <c r="I449">
        <v>6626508301860.9902</v>
      </c>
      <c r="J449">
        <v>4862008362484.2803</v>
      </c>
      <c r="K449">
        <v>30583988683869.602</v>
      </c>
      <c r="L449">
        <v>-2716036521801.4399</v>
      </c>
      <c r="M449">
        <v>35445997046353.898</v>
      </c>
      <c r="N449">
        <v>-51575683975546.898</v>
      </c>
      <c r="O449">
        <v>6116750913381.1797</v>
      </c>
      <c r="P449">
        <v>4037055602831.5801</v>
      </c>
      <c r="Q449">
        <v>6316851155814.2197</v>
      </c>
      <c r="R449">
        <v>3158425577907.1099</v>
      </c>
      <c r="S449">
        <v>3158425577907.1099</v>
      </c>
      <c r="T449">
        <v>2958325335474.0698</v>
      </c>
      <c r="U449">
        <v>1201077030025.6599</v>
      </c>
      <c r="V449">
        <v>22810583491392.699</v>
      </c>
      <c r="W449">
        <v>4037043858431.0498</v>
      </c>
      <c r="X449">
        <v>0.27461748000374198</v>
      </c>
      <c r="Y449">
        <v>35763368926073.398</v>
      </c>
      <c r="Z449">
        <v>16671171214889.699</v>
      </c>
      <c r="AA449">
        <v>0.78972106120867003</v>
      </c>
      <c r="AB449">
        <v>18614936950806.801</v>
      </c>
      <c r="AC449">
        <v>10663563904692.6</v>
      </c>
      <c r="AD449">
        <v>14700607763123.6</v>
      </c>
      <c r="AE449">
        <v>-28765100484154.199</v>
      </c>
      <c r="AF449">
        <v>-1514959491775.78</v>
      </c>
      <c r="AG449">
        <v>5.5594999999999999E-2</v>
      </c>
      <c r="AH449">
        <v>-87021681021900.703</v>
      </c>
      <c r="AI449">
        <v>39481754706282.398</v>
      </c>
      <c r="AJ449">
        <v>0.06</v>
      </c>
      <c r="AK449">
        <v>0.05</v>
      </c>
      <c r="AL449">
        <v>8.8099999999999998E-2</v>
      </c>
      <c r="AM449">
        <v>3.8100000000000002E-2</v>
      </c>
      <c r="AN449">
        <v>0.89</v>
      </c>
      <c r="AO449">
        <v>0.66</v>
      </c>
      <c r="AP449">
        <v>0.42970000000000003</v>
      </c>
      <c r="AQ449">
        <v>0.57030000000000003</v>
      </c>
      <c r="AR449">
        <v>8.9999999999999993E-3</v>
      </c>
      <c r="AS449">
        <v>0.5</v>
      </c>
      <c r="AT449">
        <v>1.82</v>
      </c>
      <c r="AU449">
        <v>6.3545217126973294E-2</v>
      </c>
      <c r="AV449">
        <v>0.7893</v>
      </c>
      <c r="AW449">
        <v>3</v>
      </c>
      <c r="AX449">
        <v>0.05</v>
      </c>
      <c r="AY449">
        <v>1</v>
      </c>
      <c r="AZ449">
        <v>1</v>
      </c>
      <c r="BA449" s="2">
        <f>modelo_tese_H__2[[#This Row],[Vw]]+modelo_tese_H__2[[#This Row],[Vr]]+modelo_tese_H__2[[#This Row],[K]]-modelo_tese_H__2[[#This Row],[E]]</f>
        <v>-28447728604434.605</v>
      </c>
      <c r="BB449" s="2">
        <f>modelo_tese_H__2[[#This Row],[K]]-modelo_tese_H__2[[#This Row],[Coluna1]]</f>
        <v>64211097530508</v>
      </c>
      <c r="BC449">
        <f>modelo_tese_H__2[[#This Row],[Coluna2]]/modelo_tese_H__2[[#This Row],[Coluna1]]</f>
        <v>-2.2571607885945024</v>
      </c>
      <c r="BD449" s="8">
        <f>modelo_tese_H__2[[#This Row],[D]]-modelo_tese_H__2[[#This Row],[Dw]]-modelo_tese_H__2[[#This Row],[Dr]]</f>
        <v>0</v>
      </c>
    </row>
    <row r="450" spans="1:56" x14ac:dyDescent="0.25">
      <c r="A450">
        <v>449</v>
      </c>
      <c r="B450">
        <v>449</v>
      </c>
      <c r="C450">
        <v>8849969269685.3203</v>
      </c>
      <c r="D450">
        <v>4127993807952.3599</v>
      </c>
      <c r="E450">
        <v>3673914489077.6001</v>
      </c>
      <c r="F450">
        <v>455532914031.28101</v>
      </c>
      <c r="G450">
        <v>12784572769703.199</v>
      </c>
      <c r="H450">
        <v>2865566819735.1602</v>
      </c>
      <c r="I450">
        <v>6995014222844.04</v>
      </c>
      <c r="J450">
        <v>5132298757904.9102</v>
      </c>
      <c r="K450">
        <v>32284305534749.301</v>
      </c>
      <c r="L450">
        <v>-2867020414891.6802</v>
      </c>
      <c r="M450">
        <v>37416604292654.203</v>
      </c>
      <c r="N450">
        <v>-54442704390438.5</v>
      </c>
      <c r="O450">
        <v>6456854934193.5498</v>
      </c>
      <c r="P450">
        <v>4261524256567.7402</v>
      </c>
      <c r="Q450">
        <v>6668125188819.54</v>
      </c>
      <c r="R450">
        <v>3334062594409.77</v>
      </c>
      <c r="S450">
        <v>3334062594409.77</v>
      </c>
      <c r="T450">
        <v>3122792339783.7798</v>
      </c>
      <c r="U450">
        <v>1267837292942.5</v>
      </c>
      <c r="V450">
        <v>24078420784335.102</v>
      </c>
      <c r="W450">
        <v>4261555979093.0801</v>
      </c>
      <c r="X450">
        <v>0.274618510055465</v>
      </c>
      <c r="Y450">
        <v>37752333861567.102</v>
      </c>
      <c r="Z450">
        <v>17598664599573</v>
      </c>
      <c r="AA450">
        <v>0.78971676222281695</v>
      </c>
      <c r="AB450">
        <v>19650202706633.801</v>
      </c>
      <c r="AC450">
        <v>11256538479411.801</v>
      </c>
      <c r="AD450">
        <v>15518094458504.9</v>
      </c>
      <c r="AE450">
        <v>-30364283606103.398</v>
      </c>
      <c r="AF450">
        <v>-1599183121949.1899</v>
      </c>
      <c r="AG450">
        <v>5.5594999999999999E-2</v>
      </c>
      <c r="AH450">
        <v>-91859308683092.797</v>
      </c>
      <c r="AI450">
        <v>41677085383908.203</v>
      </c>
      <c r="AJ450">
        <v>0.06</v>
      </c>
      <c r="AK450">
        <v>0.05</v>
      </c>
      <c r="AL450">
        <v>8.8099999999999998E-2</v>
      </c>
      <c r="AM450">
        <v>3.8100000000000002E-2</v>
      </c>
      <c r="AN450">
        <v>0.89</v>
      </c>
      <c r="AO450">
        <v>0.66</v>
      </c>
      <c r="AP450">
        <v>0.42970000000000003</v>
      </c>
      <c r="AQ450">
        <v>0.57030000000000003</v>
      </c>
      <c r="AR450">
        <v>8.9999999999999993E-3</v>
      </c>
      <c r="AS450">
        <v>0.5</v>
      </c>
      <c r="AT450">
        <v>1.82</v>
      </c>
      <c r="AU450">
        <v>6.3545217126973294E-2</v>
      </c>
      <c r="AV450">
        <v>0.7893</v>
      </c>
      <c r="AW450">
        <v>3</v>
      </c>
      <c r="AX450">
        <v>0.05</v>
      </c>
      <c r="AY450">
        <v>1</v>
      </c>
      <c r="AZ450">
        <v>1</v>
      </c>
      <c r="BA450" s="2">
        <f>modelo_tese_H__2[[#This Row],[Vw]]+modelo_tese_H__2[[#This Row],[Vr]]+modelo_tese_H__2[[#This Row],[K]]-modelo_tese_H__2[[#This Row],[E]]</f>
        <v>-30028554037190.492</v>
      </c>
      <c r="BB450" s="2">
        <f>modelo_tese_H__2[[#This Row],[K]]-modelo_tese_H__2[[#This Row],[Coluna1]]</f>
        <v>67780887898757.594</v>
      </c>
      <c r="BC450">
        <f>modelo_tese_H__2[[#This Row],[Coluna2]]/modelo_tese_H__2[[#This Row],[Coluna1]]</f>
        <v>-2.257214510389367</v>
      </c>
      <c r="BD450" s="8">
        <f>modelo_tese_H__2[[#This Row],[D]]-modelo_tese_H__2[[#This Row],[Dw]]-modelo_tese_H__2[[#This Row],[Dr]]</f>
        <v>0</v>
      </c>
    </row>
    <row r="451" spans="1:56" x14ac:dyDescent="0.25">
      <c r="A451">
        <v>450</v>
      </c>
      <c r="B451">
        <v>450</v>
      </c>
      <c r="C451">
        <v>9342106304395.9609</v>
      </c>
      <c r="D451">
        <v>4357614325717.0298</v>
      </c>
      <c r="E451">
        <v>3878276749888.1602</v>
      </c>
      <c r="F451">
        <v>480857191320.95099</v>
      </c>
      <c r="G451">
        <v>13495420576307.199</v>
      </c>
      <c r="H451">
        <v>3024878007078.3398</v>
      </c>
      <c r="I451">
        <v>7384011948287.4502</v>
      </c>
      <c r="J451">
        <v>5417615366549.6904</v>
      </c>
      <c r="K451">
        <v>34079151500953.699</v>
      </c>
      <c r="L451">
        <v>-3026397622570.4199</v>
      </c>
      <c r="M451">
        <v>39496766867503.398</v>
      </c>
      <c r="N451">
        <v>-57469102013009</v>
      </c>
      <c r="O451">
        <v>6815868977932.9199</v>
      </c>
      <c r="P451">
        <v>4498473525435.7305</v>
      </c>
      <c r="Q451">
        <v>7038932279500.1699</v>
      </c>
      <c r="R451">
        <v>3519466139750.0801</v>
      </c>
      <c r="S451">
        <v>3519466139750.0801</v>
      </c>
      <c r="T451">
        <v>3296402838182.8398</v>
      </c>
      <c r="U451">
        <v>1338308482074.3301</v>
      </c>
      <c r="V451">
        <v>25416729266409.5</v>
      </c>
      <c r="W451">
        <v>4498553110172.9502</v>
      </c>
      <c r="X451">
        <v>0.27461952959423103</v>
      </c>
      <c r="Y451">
        <v>39851906719456.797</v>
      </c>
      <c r="Z451">
        <v>18577751569995.898</v>
      </c>
      <c r="AA451">
        <v>0.78971250709990803</v>
      </c>
      <c r="AB451">
        <v>20743040583278.602</v>
      </c>
      <c r="AC451">
        <v>11882485473723.199</v>
      </c>
      <c r="AD451">
        <v>16381038583896.1</v>
      </c>
      <c r="AE451">
        <v>-32052372746599.5</v>
      </c>
      <c r="AF451">
        <v>-1688089140496.0901</v>
      </c>
      <c r="AG451">
        <v>5.5594999999999999E-2</v>
      </c>
      <c r="AH451">
        <v>-96965868880512.297</v>
      </c>
      <c r="AI451">
        <v>43994480836405.398</v>
      </c>
      <c r="AJ451">
        <v>0.06</v>
      </c>
      <c r="AK451">
        <v>0.05</v>
      </c>
      <c r="AL451">
        <v>8.8099999999999998E-2</v>
      </c>
      <c r="AM451">
        <v>3.8100000000000002E-2</v>
      </c>
      <c r="AN451">
        <v>0.89</v>
      </c>
      <c r="AO451">
        <v>0.66</v>
      </c>
      <c r="AP451">
        <v>0.42970000000000003</v>
      </c>
      <c r="AQ451">
        <v>0.57030000000000003</v>
      </c>
      <c r="AR451">
        <v>8.9999999999999993E-3</v>
      </c>
      <c r="AS451">
        <v>0.5</v>
      </c>
      <c r="AT451">
        <v>1.82</v>
      </c>
      <c r="AU451">
        <v>6.3545217126973294E-2</v>
      </c>
      <c r="AV451">
        <v>0.7893</v>
      </c>
      <c r="AW451">
        <v>3</v>
      </c>
      <c r="AX451">
        <v>0.05</v>
      </c>
      <c r="AY451">
        <v>1</v>
      </c>
      <c r="AZ451">
        <v>1</v>
      </c>
      <c r="BA451" s="2">
        <f>modelo_tese_H__2[[#This Row],[Vw]]+modelo_tese_H__2[[#This Row],[Vr]]+modelo_tese_H__2[[#This Row],[K]]-modelo_tese_H__2[[#This Row],[E]]</f>
        <v>-31697232894646</v>
      </c>
      <c r="BB451" s="2">
        <f>modelo_tese_H__2[[#This Row],[K]]-modelo_tese_H__2[[#This Row],[Coluna1]]</f>
        <v>71549139614102.797</v>
      </c>
      <c r="BC451">
        <f>modelo_tese_H__2[[#This Row],[Coluna2]]/modelo_tese_H__2[[#This Row],[Coluna1]]</f>
        <v>-2.2572676880633389</v>
      </c>
      <c r="BD451" s="8">
        <f>modelo_tese_H__2[[#This Row],[D]]-modelo_tese_H__2[[#This Row],[Dw]]-modelo_tese_H__2[[#This Row],[Dr]]</f>
        <v>0</v>
      </c>
    </row>
    <row r="452" spans="1:56" x14ac:dyDescent="0.25">
      <c r="A452">
        <v>451</v>
      </c>
      <c r="B452">
        <v>451</v>
      </c>
      <c r="C452">
        <v>9861609213647.6504</v>
      </c>
      <c r="D452">
        <v>4600006188914.2598</v>
      </c>
      <c r="E452">
        <v>4094005508133.6899</v>
      </c>
      <c r="F452">
        <v>507589323589.82001</v>
      </c>
      <c r="G452">
        <v>14245791979930.1</v>
      </c>
      <c r="H452">
        <v>3193046099881.8599</v>
      </c>
      <c r="I452">
        <v>7794640931605.3701</v>
      </c>
      <c r="J452">
        <v>5718793544673.96</v>
      </c>
      <c r="K452">
        <v>35973781928649.203</v>
      </c>
      <c r="L452">
        <v>-3194634742691.1099</v>
      </c>
      <c r="M452">
        <v>41692575473323.203</v>
      </c>
      <c r="N452">
        <v>-60663736755700.102</v>
      </c>
      <c r="O452">
        <v>7194844434308.1299</v>
      </c>
      <c r="P452">
        <v>4748597326643.3604</v>
      </c>
      <c r="Q452">
        <v>7430358546562.1504</v>
      </c>
      <c r="R452">
        <v>3715179273281.0801</v>
      </c>
      <c r="S452">
        <v>3715179273281.0801</v>
      </c>
      <c r="T452">
        <v>3479665161027.0498</v>
      </c>
      <c r="U452">
        <v>1412696878984.77</v>
      </c>
      <c r="V452">
        <v>26829426145394.199</v>
      </c>
      <c r="W452">
        <v>4748729501961.0703</v>
      </c>
      <c r="X452">
        <v>0.27462053872723002</v>
      </c>
      <c r="Y452">
        <v>42068238156006.102</v>
      </c>
      <c r="Z452">
        <v>19611301798675.898</v>
      </c>
      <c r="AA452">
        <v>0.78970829539296905</v>
      </c>
      <c r="AB452">
        <v>21896652043657.602</v>
      </c>
      <c r="AC452">
        <v>12543238258248.699</v>
      </c>
      <c r="AD452">
        <v>17291967760209.801</v>
      </c>
      <c r="AE452">
        <v>-33834310610305.801</v>
      </c>
      <c r="AF452">
        <v>-1781937863706.3401</v>
      </c>
      <c r="AG452">
        <v>5.5594999999999999E-2</v>
      </c>
      <c r="AH452">
        <v>-102356312229023</v>
      </c>
      <c r="AI452">
        <v>46440727944070.102</v>
      </c>
      <c r="AJ452">
        <v>0.06</v>
      </c>
      <c r="AK452">
        <v>0.05</v>
      </c>
      <c r="AL452">
        <v>8.8099999999999998E-2</v>
      </c>
      <c r="AM452">
        <v>3.8100000000000002E-2</v>
      </c>
      <c r="AN452">
        <v>0.89</v>
      </c>
      <c r="AO452">
        <v>0.66</v>
      </c>
      <c r="AP452">
        <v>0.42970000000000003</v>
      </c>
      <c r="AQ452">
        <v>0.57030000000000003</v>
      </c>
      <c r="AR452">
        <v>8.9999999999999993E-3</v>
      </c>
      <c r="AS452">
        <v>0.5</v>
      </c>
      <c r="AT452">
        <v>1.82</v>
      </c>
      <c r="AU452">
        <v>6.3545217126973294E-2</v>
      </c>
      <c r="AV452">
        <v>0.7893</v>
      </c>
      <c r="AW452">
        <v>3</v>
      </c>
      <c r="AX452">
        <v>0.05</v>
      </c>
      <c r="AY452">
        <v>1</v>
      </c>
      <c r="AZ452">
        <v>1</v>
      </c>
      <c r="BA452" s="2">
        <f>modelo_tese_H__2[[#This Row],[Vw]]+modelo_tese_H__2[[#This Row],[Vr]]+modelo_tese_H__2[[#This Row],[K]]-modelo_tese_H__2[[#This Row],[E]]</f>
        <v>-33458647927622.695</v>
      </c>
      <c r="BB452" s="2">
        <f>modelo_tese_H__2[[#This Row],[K]]-modelo_tese_H__2[[#This Row],[Coluna1]]</f>
        <v>75526886083628.797</v>
      </c>
      <c r="BC452">
        <f>modelo_tese_H__2[[#This Row],[Coluna2]]/modelo_tese_H__2[[#This Row],[Coluna1]]</f>
        <v>-2.2573203270797899</v>
      </c>
      <c r="BD452" s="8">
        <f>modelo_tese_H__2[[#This Row],[D]]-modelo_tese_H__2[[#This Row],[Dw]]-modelo_tese_H__2[[#This Row],[Dr]]</f>
        <v>0.1015625</v>
      </c>
    </row>
    <row r="453" spans="1:56" x14ac:dyDescent="0.25">
      <c r="A453">
        <v>452</v>
      </c>
      <c r="B453">
        <v>452</v>
      </c>
      <c r="C453">
        <v>10409999650575.801</v>
      </c>
      <c r="D453">
        <v>4855879671271.0195</v>
      </c>
      <c r="E453">
        <v>4321732907431.21</v>
      </c>
      <c r="F453">
        <v>535807578373.38702</v>
      </c>
      <c r="G453">
        <v>15037884474898.9</v>
      </c>
      <c r="H453">
        <v>3370563497804.79</v>
      </c>
      <c r="I453">
        <v>8228103983609.3799</v>
      </c>
      <c r="J453">
        <v>6036715088995.2695</v>
      </c>
      <c r="K453">
        <v>37973744334972.5</v>
      </c>
      <c r="L453">
        <v>-3372224312338.3599</v>
      </c>
      <c r="M453">
        <v>44010459423967.797</v>
      </c>
      <c r="N453">
        <v>-64035961068038.398</v>
      </c>
      <c r="O453">
        <v>7594891148938.8604</v>
      </c>
      <c r="P453">
        <v>5012628158299.6504</v>
      </c>
      <c r="Q453">
        <v>7843550499478.1699</v>
      </c>
      <c r="R453">
        <v>3921775249739.0801</v>
      </c>
      <c r="S453">
        <v>3921775249739.0801</v>
      </c>
      <c r="T453">
        <v>3673115899199.77</v>
      </c>
      <c r="U453">
        <v>1491220232233.4099</v>
      </c>
      <c r="V453">
        <v>28320646377627.602</v>
      </c>
      <c r="W453">
        <v>5012818008144.8896</v>
      </c>
      <c r="X453">
        <v>0.27462153756055901</v>
      </c>
      <c r="Y453">
        <v>44407820836378.398</v>
      </c>
      <c r="Z453">
        <v>20702344557081.699</v>
      </c>
      <c r="AA453">
        <v>0.78970412665962997</v>
      </c>
      <c r="AB453">
        <v>23114416569234.102</v>
      </c>
      <c r="AC453">
        <v>13240732141909</v>
      </c>
      <c r="AD453">
        <v>18253550150053.898</v>
      </c>
      <c r="AE453">
        <v>-35715314690410.797</v>
      </c>
      <c r="AF453">
        <v>-1881004080104.96</v>
      </c>
      <c r="AG453">
        <v>5.5594999999999999E-2</v>
      </c>
      <c r="AH453">
        <v>-108046420492006</v>
      </c>
      <c r="AI453">
        <v>49022990934709.297</v>
      </c>
      <c r="AJ453">
        <v>0.06</v>
      </c>
      <c r="AK453">
        <v>0.05</v>
      </c>
      <c r="AL453">
        <v>8.8099999999999998E-2</v>
      </c>
      <c r="AM453">
        <v>3.8100000000000002E-2</v>
      </c>
      <c r="AN453">
        <v>0.89</v>
      </c>
      <c r="AO453">
        <v>0.66</v>
      </c>
      <c r="AP453">
        <v>0.42970000000000003</v>
      </c>
      <c r="AQ453">
        <v>0.57030000000000003</v>
      </c>
      <c r="AR453">
        <v>8.9999999999999993E-3</v>
      </c>
      <c r="AS453">
        <v>0.5</v>
      </c>
      <c r="AT453">
        <v>1.82</v>
      </c>
      <c r="AU453">
        <v>6.3545217126973294E-2</v>
      </c>
      <c r="AV453">
        <v>0.7893</v>
      </c>
      <c r="AW453">
        <v>3</v>
      </c>
      <c r="AX453">
        <v>0.05</v>
      </c>
      <c r="AY453">
        <v>1</v>
      </c>
      <c r="AZ453">
        <v>1</v>
      </c>
      <c r="BA453" s="2">
        <f>modelo_tese_H__2[[#This Row],[Vw]]+modelo_tese_H__2[[#This Row],[Vr]]+modelo_tese_H__2[[#This Row],[K]]-modelo_tese_H__2[[#This Row],[E]]</f>
        <v>-35317953278000</v>
      </c>
      <c r="BB453" s="2">
        <f>modelo_tese_H__2[[#This Row],[K]]-modelo_tese_H__2[[#This Row],[Coluna1]]</f>
        <v>79725774114378.406</v>
      </c>
      <c r="BC453">
        <f>modelo_tese_H__2[[#This Row],[Coluna2]]/modelo_tese_H__2[[#This Row],[Coluna1]]</f>
        <v>-2.2573724328482139</v>
      </c>
      <c r="BD453" s="8">
        <f>modelo_tese_H__2[[#This Row],[D]]-modelo_tese_H__2[[#This Row],[Dw]]-modelo_tese_H__2[[#This Row],[Dr]]</f>
        <v>0</v>
      </c>
    </row>
    <row r="454" spans="1:56" x14ac:dyDescent="0.25">
      <c r="A454">
        <v>453</v>
      </c>
      <c r="B454">
        <v>453</v>
      </c>
      <c r="C454">
        <v>10988883875709.4</v>
      </c>
      <c r="D454">
        <v>5125984545423.9199</v>
      </c>
      <c r="E454">
        <v>4562126245427.29</v>
      </c>
      <c r="F454">
        <v>565594574393.86401</v>
      </c>
      <c r="G454">
        <v>15874017733304.6</v>
      </c>
      <c r="H454">
        <v>3557949975465.25</v>
      </c>
      <c r="I454">
        <v>8685670795286.4004</v>
      </c>
      <c r="J454">
        <v>6372310818498.4199</v>
      </c>
      <c r="K454">
        <v>40084894651275.297</v>
      </c>
      <c r="L454">
        <v>-3559686249862.48</v>
      </c>
      <c r="M454">
        <v>46457205469773.703</v>
      </c>
      <c r="N454">
        <v>-67595647317900.898</v>
      </c>
      <c r="O454">
        <v>8017180673386.1504</v>
      </c>
      <c r="P454">
        <v>5291339244434.8604</v>
      </c>
      <c r="Q454">
        <v>8279718396269.1797</v>
      </c>
      <c r="R454">
        <v>4139859198134.5898</v>
      </c>
      <c r="S454">
        <v>4139859198134.5898</v>
      </c>
      <c r="T454">
        <v>3877321475251.5601</v>
      </c>
      <c r="U454">
        <v>1574108394828.6001</v>
      </c>
      <c r="V454">
        <v>29894754772456.199</v>
      </c>
      <c r="W454">
        <v>5291592232257.2803</v>
      </c>
      <c r="X454">
        <v>0.27462252619923599</v>
      </c>
      <c r="Y454">
        <v>46877508451452.297</v>
      </c>
      <c r="Z454">
        <v>21854077591204.398</v>
      </c>
      <c r="AA454">
        <v>0.78970000046192201</v>
      </c>
      <c r="AB454">
        <v>24399901558449.699</v>
      </c>
      <c r="AC454">
        <v>13977010039721.301</v>
      </c>
      <c r="AD454">
        <v>19268602271978.5</v>
      </c>
      <c r="AE454">
        <v>-37700892545444.602</v>
      </c>
      <c r="AF454">
        <v>-1985577855033.8799</v>
      </c>
      <c r="AG454">
        <v>5.5594999999999999E-2</v>
      </c>
      <c r="AH454">
        <v>-114052852787675</v>
      </c>
      <c r="AI454">
        <v>51748832363660.602</v>
      </c>
      <c r="AJ454">
        <v>0.06</v>
      </c>
      <c r="AK454">
        <v>0.05</v>
      </c>
      <c r="AL454">
        <v>8.8099999999999998E-2</v>
      </c>
      <c r="AM454">
        <v>3.8100000000000002E-2</v>
      </c>
      <c r="AN454">
        <v>0.89</v>
      </c>
      <c r="AO454">
        <v>0.66</v>
      </c>
      <c r="AP454">
        <v>0.42970000000000003</v>
      </c>
      <c r="AQ454">
        <v>0.57030000000000003</v>
      </c>
      <c r="AR454">
        <v>8.9999999999999993E-3</v>
      </c>
      <c r="AS454">
        <v>0.5</v>
      </c>
      <c r="AT454">
        <v>1.82</v>
      </c>
      <c r="AU454">
        <v>6.3545217126973294E-2</v>
      </c>
      <c r="AV454">
        <v>0.7893</v>
      </c>
      <c r="AW454">
        <v>3</v>
      </c>
      <c r="AX454">
        <v>0.05</v>
      </c>
      <c r="AY454">
        <v>1</v>
      </c>
      <c r="AZ454">
        <v>1</v>
      </c>
      <c r="BA454" s="2">
        <f>modelo_tese_H__2[[#This Row],[Vw]]+modelo_tese_H__2[[#This Row],[Vr]]+modelo_tese_H__2[[#This Row],[K]]-modelo_tese_H__2[[#This Row],[E]]</f>
        <v>-37280589563766.5</v>
      </c>
      <c r="BB454" s="2">
        <f>modelo_tese_H__2[[#This Row],[K]]-modelo_tese_H__2[[#This Row],[Coluna1]]</f>
        <v>84158098015218.797</v>
      </c>
      <c r="BC454">
        <f>modelo_tese_H__2[[#This Row],[Coluna2]]/modelo_tese_H__2[[#This Row],[Coluna1]]</f>
        <v>-2.2574240107246899</v>
      </c>
      <c r="BD454" s="8">
        <f>modelo_tese_H__2[[#This Row],[D]]-modelo_tese_H__2[[#This Row],[Dw]]-modelo_tese_H__2[[#This Row],[Dr]]</f>
        <v>9.765625E-2</v>
      </c>
    </row>
    <row r="455" spans="1:56" x14ac:dyDescent="0.25">
      <c r="A455">
        <v>454</v>
      </c>
      <c r="B455">
        <v>454</v>
      </c>
      <c r="C455">
        <v>11599957461219</v>
      </c>
      <c r="D455">
        <v>5411112279367.6104</v>
      </c>
      <c r="E455">
        <v>4815889928637.1699</v>
      </c>
      <c r="F455">
        <v>597037523460.03894</v>
      </c>
      <c r="G455">
        <v>16756640397838</v>
      </c>
      <c r="H455">
        <v>3755754204351.2402</v>
      </c>
      <c r="I455">
        <v>9168681656448.4492</v>
      </c>
      <c r="J455">
        <v>6726563299773.6699</v>
      </c>
      <c r="K455">
        <v>42313414369412.898</v>
      </c>
      <c r="L455">
        <v>-3757569377080.8398</v>
      </c>
      <c r="M455">
        <v>49039977669186.602</v>
      </c>
      <c r="N455">
        <v>-71353216694981.703</v>
      </c>
      <c r="O455">
        <v>8462949695877.75</v>
      </c>
      <c r="P455">
        <v>5585546799279.3203</v>
      </c>
      <c r="Q455">
        <v>8740139787981.3896</v>
      </c>
      <c r="R455">
        <v>4370069893990.6899</v>
      </c>
      <c r="S455">
        <v>4370069893990.6899</v>
      </c>
      <c r="T455">
        <v>4092879801887.0601</v>
      </c>
      <c r="U455">
        <v>1661603997116.55</v>
      </c>
      <c r="V455">
        <v>31556358769572.801</v>
      </c>
      <c r="W455">
        <v>5585868793472.5801</v>
      </c>
      <c r="X455">
        <v>0.27462350474720998</v>
      </c>
      <c r="Y455">
        <v>49484535792005.797</v>
      </c>
      <c r="Z455">
        <v>23069876490686.301</v>
      </c>
      <c r="AA455">
        <v>0.789695916366429</v>
      </c>
      <c r="AB455">
        <v>25756872775523.199</v>
      </c>
      <c r="AC455">
        <v>14754228455727.801</v>
      </c>
      <c r="AD455">
        <v>20340097249200.301</v>
      </c>
      <c r="AE455">
        <v>-39796857925408.898</v>
      </c>
      <c r="AF455">
        <v>-2095965379964.28</v>
      </c>
      <c r="AG455">
        <v>5.5594999999999999E-2</v>
      </c>
      <c r="AH455">
        <v>-120393194364168</v>
      </c>
      <c r="AI455">
        <v>54626235260259.102</v>
      </c>
      <c r="AJ455">
        <v>0.06</v>
      </c>
      <c r="AK455">
        <v>0.05</v>
      </c>
      <c r="AL455">
        <v>8.8099999999999998E-2</v>
      </c>
      <c r="AM455">
        <v>3.8100000000000002E-2</v>
      </c>
      <c r="AN455">
        <v>0.89</v>
      </c>
      <c r="AO455">
        <v>0.66</v>
      </c>
      <c r="AP455">
        <v>0.42970000000000003</v>
      </c>
      <c r="AQ455">
        <v>0.57030000000000003</v>
      </c>
      <c r="AR455">
        <v>8.9999999999999993E-3</v>
      </c>
      <c r="AS455">
        <v>0.5</v>
      </c>
      <c r="AT455">
        <v>1.82</v>
      </c>
      <c r="AU455">
        <v>6.3545217126973294E-2</v>
      </c>
      <c r="AV455">
        <v>0.7893</v>
      </c>
      <c r="AW455">
        <v>3</v>
      </c>
      <c r="AX455">
        <v>0.05</v>
      </c>
      <c r="AY455">
        <v>1</v>
      </c>
      <c r="AZ455">
        <v>1</v>
      </c>
      <c r="BA455" s="2">
        <f>modelo_tese_H__2[[#This Row],[Vw]]+modelo_tese_H__2[[#This Row],[Vr]]+modelo_tese_H__2[[#This Row],[K]]-modelo_tese_H__2[[#This Row],[E]]</f>
        <v>-39352299802589.406</v>
      </c>
      <c r="BB455" s="2">
        <f>modelo_tese_H__2[[#This Row],[K]]-modelo_tese_H__2[[#This Row],[Coluna1]]</f>
        <v>88836835594595.203</v>
      </c>
      <c r="BC455">
        <f>modelo_tese_H__2[[#This Row],[Coluna2]]/modelo_tese_H__2[[#This Row],[Coluna1]]</f>
        <v>-2.2574750660125251</v>
      </c>
      <c r="BD455" s="8">
        <f>modelo_tese_H__2[[#This Row],[D]]-modelo_tese_H__2[[#This Row],[Dw]]-modelo_tese_H__2[[#This Row],[Dr]]</f>
        <v>0</v>
      </c>
    </row>
    <row r="456" spans="1:56" x14ac:dyDescent="0.25">
      <c r="A456">
        <v>455</v>
      </c>
      <c r="B456">
        <v>455</v>
      </c>
      <c r="C456">
        <v>12245010256715.301</v>
      </c>
      <c r="D456">
        <v>5712098355033.6299</v>
      </c>
      <c r="E456">
        <v>5083767535979.9297</v>
      </c>
      <c r="F456">
        <v>630228485815.38904</v>
      </c>
      <c r="G456">
        <v>17688337252287.699</v>
      </c>
      <c r="H456">
        <v>3964555359342.1401</v>
      </c>
      <c r="I456">
        <v>9678551381137.4707</v>
      </c>
      <c r="J456">
        <v>7100509723867.6797</v>
      </c>
      <c r="K456">
        <v>44665828641280.398</v>
      </c>
      <c r="L456">
        <v>-3966453026103.8301</v>
      </c>
      <c r="M456">
        <v>51766338365148.102</v>
      </c>
      <c r="N456">
        <v>-75319669721085.594</v>
      </c>
      <c r="O456">
        <v>8933503662771.5703</v>
      </c>
      <c r="P456">
        <v>5896112417429.2402</v>
      </c>
      <c r="Q456">
        <v>9226163260232.4707</v>
      </c>
      <c r="R456">
        <v>4613081630116.2305</v>
      </c>
      <c r="S456">
        <v>4613081630116.2305</v>
      </c>
      <c r="T456">
        <v>4320422032655.3398</v>
      </c>
      <c r="U456">
        <v>1753963157077.48</v>
      </c>
      <c r="V456">
        <v>33310321926650.301</v>
      </c>
      <c r="W456">
        <v>5896509718381.0898</v>
      </c>
      <c r="X456">
        <v>0.274624473307374</v>
      </c>
      <c r="Y456">
        <v>52236539939056.398</v>
      </c>
      <c r="Z456">
        <v>24353304578951.102</v>
      </c>
      <c r="AA456">
        <v>0.78969187394414098</v>
      </c>
      <c r="AB456">
        <v>27189305380223</v>
      </c>
      <c r="AC456">
        <v>15574663798566.699</v>
      </c>
      <c r="AD456">
        <v>21471173516947.801</v>
      </c>
      <c r="AE456">
        <v>-42009347794435.297</v>
      </c>
      <c r="AF456">
        <v>-2212489869026.3501</v>
      </c>
      <c r="AG456">
        <v>5.5594999999999999E-2</v>
      </c>
      <c r="AH456">
        <v>-127086008086234</v>
      </c>
      <c r="AI456">
        <v>57663626505601.398</v>
      </c>
      <c r="AJ456">
        <v>0.06</v>
      </c>
      <c r="AK456">
        <v>0.05</v>
      </c>
      <c r="AL456">
        <v>8.8099999999999998E-2</v>
      </c>
      <c r="AM456">
        <v>3.8100000000000002E-2</v>
      </c>
      <c r="AN456">
        <v>0.89</v>
      </c>
      <c r="AO456">
        <v>0.66</v>
      </c>
      <c r="AP456">
        <v>0.42970000000000003</v>
      </c>
      <c r="AQ456">
        <v>0.57030000000000003</v>
      </c>
      <c r="AR456">
        <v>8.9999999999999993E-3</v>
      </c>
      <c r="AS456">
        <v>0.5</v>
      </c>
      <c r="AT456">
        <v>1.82</v>
      </c>
      <c r="AU456">
        <v>6.3545217126973294E-2</v>
      </c>
      <c r="AV456">
        <v>0.7893</v>
      </c>
      <c r="AW456">
        <v>3</v>
      </c>
      <c r="AX456">
        <v>0.05</v>
      </c>
      <c r="AY456">
        <v>1</v>
      </c>
      <c r="AZ456">
        <v>1</v>
      </c>
      <c r="BA456" s="2">
        <f>modelo_tese_H__2[[#This Row],[Vw]]+modelo_tese_H__2[[#This Row],[Vr]]+modelo_tese_H__2[[#This Row],[K]]-modelo_tese_H__2[[#This Row],[E]]</f>
        <v>-41539146220527.305</v>
      </c>
      <c r="BB456" s="2">
        <f>modelo_tese_H__2[[#This Row],[K]]-modelo_tese_H__2[[#This Row],[Coluna1]]</f>
        <v>93775686159583.703</v>
      </c>
      <c r="BC456">
        <f>modelo_tese_H__2[[#This Row],[Coluna2]]/modelo_tese_H__2[[#This Row],[Coluna1]]</f>
        <v>-2.2575256039625291</v>
      </c>
      <c r="BD456" s="8">
        <f>modelo_tese_H__2[[#This Row],[D]]-modelo_tese_H__2[[#This Row],[Dw]]-modelo_tese_H__2[[#This Row],[Dr]]</f>
        <v>0</v>
      </c>
    </row>
    <row r="457" spans="1:56" x14ac:dyDescent="0.25">
      <c r="A457">
        <v>456</v>
      </c>
      <c r="B457">
        <v>456</v>
      </c>
      <c r="C457">
        <v>12925931631145.199</v>
      </c>
      <c r="D457">
        <v>6029824715794.1104</v>
      </c>
      <c r="E457">
        <v>5366543997056.7598</v>
      </c>
      <c r="F457">
        <v>665264639682.073</v>
      </c>
      <c r="G457">
        <v>18671836790698.199</v>
      </c>
      <c r="H457">
        <v>4184964814544.77</v>
      </c>
      <c r="I457">
        <v>10216773451283.6</v>
      </c>
      <c r="J457">
        <v>7495244943070.3896</v>
      </c>
      <c r="K457">
        <v>47149025384592.398</v>
      </c>
      <c r="L457">
        <v>-4186948735489.4902</v>
      </c>
      <c r="M457">
        <v>54644270327662.797</v>
      </c>
      <c r="N457">
        <v>-79506618456575.094</v>
      </c>
      <c r="O457">
        <v>9430220601362.7402</v>
      </c>
      <c r="P457">
        <v>6223945596899.4102</v>
      </c>
      <c r="Q457">
        <v>9739212382786.3809</v>
      </c>
      <c r="R457">
        <v>4869606191393.1904</v>
      </c>
      <c r="S457">
        <v>4869606191393.1904</v>
      </c>
      <c r="T457">
        <v>4560614409969.5498</v>
      </c>
      <c r="U457">
        <v>1851456230107.99</v>
      </c>
      <c r="V457">
        <v>35161778156758.301</v>
      </c>
      <c r="W457">
        <v>6224424965748.5303</v>
      </c>
      <c r="X457">
        <v>0.27462543198157102</v>
      </c>
      <c r="Y457">
        <v>55141582632415.797</v>
      </c>
      <c r="Z457">
        <v>25708123353306.5</v>
      </c>
      <c r="AA457">
        <v>0.78968787277032204</v>
      </c>
      <c r="AB457">
        <v>28701395570910.102</v>
      </c>
      <c r="AC457">
        <v>16440719048183</v>
      </c>
      <c r="AD457">
        <v>22665144013931.5</v>
      </c>
      <c r="AE457">
        <v>-44344840299816.797</v>
      </c>
      <c r="AF457">
        <v>-2335492505381.5</v>
      </c>
      <c r="AG457">
        <v>5.5594999999999999E-2</v>
      </c>
      <c r="AH457">
        <v>-134150888784238</v>
      </c>
      <c r="AI457">
        <v>60869901510064.703</v>
      </c>
      <c r="AJ457">
        <v>0.06</v>
      </c>
      <c r="AK457">
        <v>0.05</v>
      </c>
      <c r="AL457">
        <v>8.8099999999999998E-2</v>
      </c>
      <c r="AM457">
        <v>3.8100000000000002E-2</v>
      </c>
      <c r="AN457">
        <v>0.89</v>
      </c>
      <c r="AO457">
        <v>0.66</v>
      </c>
      <c r="AP457">
        <v>0.42970000000000003</v>
      </c>
      <c r="AQ457">
        <v>0.57030000000000003</v>
      </c>
      <c r="AR457">
        <v>8.9999999999999993E-3</v>
      </c>
      <c r="AS457">
        <v>0.5</v>
      </c>
      <c r="AT457">
        <v>1.82</v>
      </c>
      <c r="AU457">
        <v>6.3545217126973294E-2</v>
      </c>
      <c r="AV457">
        <v>0.7893</v>
      </c>
      <c r="AW457">
        <v>3</v>
      </c>
      <c r="AX457">
        <v>0.05</v>
      </c>
      <c r="AY457">
        <v>1</v>
      </c>
      <c r="AZ457">
        <v>1</v>
      </c>
      <c r="BA457" s="2">
        <f>modelo_tese_H__2[[#This Row],[Vw]]+modelo_tese_H__2[[#This Row],[Vr]]+modelo_tese_H__2[[#This Row],[K]]-modelo_tese_H__2[[#This Row],[E]]</f>
        <v>-43847527995064</v>
      </c>
      <c r="BB457" s="2">
        <f>modelo_tese_H__2[[#This Row],[K]]-modelo_tese_H__2[[#This Row],[Coluna1]]</f>
        <v>98989110627479.797</v>
      </c>
      <c r="BC457">
        <f>modelo_tese_H__2[[#This Row],[Coluna2]]/modelo_tese_H__2[[#This Row],[Coluna1]]</f>
        <v>-2.2575756297737741</v>
      </c>
      <c r="BD457" s="8">
        <f>modelo_tese_H__2[[#This Row],[D]]-modelo_tese_H__2[[#This Row],[Dw]]-modelo_tese_H__2[[#This Row],[Dr]]</f>
        <v>0</v>
      </c>
    </row>
    <row r="458" spans="1:56" x14ac:dyDescent="0.25">
      <c r="A458">
        <v>457</v>
      </c>
      <c r="B458">
        <v>457</v>
      </c>
      <c r="C458">
        <v>13644716006135.9</v>
      </c>
      <c r="D458">
        <v>6365222350060.75</v>
      </c>
      <c r="E458">
        <v>5665047891554.0703</v>
      </c>
      <c r="F458">
        <v>702248565790.00195</v>
      </c>
      <c r="G458">
        <v>19710019207354.102</v>
      </c>
      <c r="H458">
        <v>4417627933409.3896</v>
      </c>
      <c r="I458">
        <v>10784924390753.5</v>
      </c>
      <c r="J458">
        <v>7911924676529.4102</v>
      </c>
      <c r="K458">
        <v>49770275450848.797</v>
      </c>
      <c r="L458">
        <v>-4419702040692.71</v>
      </c>
      <c r="M458">
        <v>57682200127378.203</v>
      </c>
      <c r="N458">
        <v>-83926320497267.797</v>
      </c>
      <c r="O458">
        <v>9954555155229.3496</v>
      </c>
      <c r="P458">
        <v>6570006402451.3701</v>
      </c>
      <c r="Q458">
        <v>10280789878724.5</v>
      </c>
      <c r="R458">
        <v>5140394939362.2598</v>
      </c>
      <c r="S458">
        <v>5140394939362.2598</v>
      </c>
      <c r="T458">
        <v>4814160215867.0898</v>
      </c>
      <c r="U458">
        <v>1954368600484.6599</v>
      </c>
      <c r="V458">
        <v>37116146757242.898</v>
      </c>
      <c r="W458">
        <v>6570575091655.5703</v>
      </c>
      <c r="X458">
        <v>0.27462638087060998</v>
      </c>
      <c r="Y458">
        <v>58208173882969.5</v>
      </c>
      <c r="Z458">
        <v>27138303505599.801</v>
      </c>
      <c r="AA458">
        <v>0.78968391242451796</v>
      </c>
      <c r="AB458">
        <v>30297572874953.699</v>
      </c>
      <c r="AC458">
        <v>17354930793204.801</v>
      </c>
      <c r="AD458">
        <v>23925505884860.398</v>
      </c>
      <c r="AE458">
        <v>-46810173740024.797</v>
      </c>
      <c r="AF458">
        <v>-2465333440208.04</v>
      </c>
      <c r="AG458">
        <v>5.5594999999999999E-2</v>
      </c>
      <c r="AH458">
        <v>-141608520624646</v>
      </c>
      <c r="AI458">
        <v>64254450262842.703</v>
      </c>
      <c r="AJ458">
        <v>0.06</v>
      </c>
      <c r="AK458">
        <v>0.05</v>
      </c>
      <c r="AL458">
        <v>8.8099999999999998E-2</v>
      </c>
      <c r="AM458">
        <v>3.8100000000000002E-2</v>
      </c>
      <c r="AN458">
        <v>0.89</v>
      </c>
      <c r="AO458">
        <v>0.66</v>
      </c>
      <c r="AP458">
        <v>0.42970000000000003</v>
      </c>
      <c r="AQ458">
        <v>0.57030000000000003</v>
      </c>
      <c r="AR458">
        <v>8.9999999999999993E-3</v>
      </c>
      <c r="AS458">
        <v>0.5</v>
      </c>
      <c r="AT458">
        <v>1.82</v>
      </c>
      <c r="AU458">
        <v>6.3545217126973294E-2</v>
      </c>
      <c r="AV458">
        <v>0.7893</v>
      </c>
      <c r="AW458">
        <v>3</v>
      </c>
      <c r="AX458">
        <v>0.05</v>
      </c>
      <c r="AY458">
        <v>1</v>
      </c>
      <c r="AZ458">
        <v>1</v>
      </c>
      <c r="BA458" s="2">
        <f>modelo_tese_H__2[[#This Row],[Vw]]+modelo_tese_H__2[[#This Row],[Vr]]+modelo_tese_H__2[[#This Row],[K]]-modelo_tese_H__2[[#This Row],[E]]</f>
        <v>-46284199984433.594</v>
      </c>
      <c r="BB458" s="2">
        <f>modelo_tese_H__2[[#This Row],[K]]-modelo_tese_H__2[[#This Row],[Coluna1]]</f>
        <v>104492373867403.09</v>
      </c>
      <c r="BC458">
        <f>modelo_tese_H__2[[#This Row],[Coluna2]]/modelo_tese_H__2[[#This Row],[Coluna1]]</f>
        <v>-2.2576251485938226</v>
      </c>
      <c r="BD458" s="8">
        <f>modelo_tese_H__2[[#This Row],[D]]-modelo_tese_H__2[[#This Row],[Dw]]-modelo_tese_H__2[[#This Row],[Dr]]</f>
        <v>0.1015625</v>
      </c>
    </row>
    <row r="459" spans="1:56" x14ac:dyDescent="0.25">
      <c r="A459">
        <v>458</v>
      </c>
      <c r="B459">
        <v>458</v>
      </c>
      <c r="C459">
        <v>14403468696996.4</v>
      </c>
      <c r="D459">
        <v>6719274018548.9697</v>
      </c>
      <c r="E459">
        <v>5980153876508.5801</v>
      </c>
      <c r="F459">
        <v>741288547724.04199</v>
      </c>
      <c r="G459">
        <v>20805924830989.398</v>
      </c>
      <c r="H459">
        <v>4663225958367.2803</v>
      </c>
      <c r="I459">
        <v>11384668382599.9</v>
      </c>
      <c r="J459">
        <v>8351768894077.6904</v>
      </c>
      <c r="K459">
        <v>52537253914538.797</v>
      </c>
      <c r="L459">
        <v>-4665394364050.9404</v>
      </c>
      <c r="M459">
        <v>60889022808616.5</v>
      </c>
      <c r="N459">
        <v>-88591714861318.703</v>
      </c>
      <c r="O459">
        <v>10508042843934</v>
      </c>
      <c r="P459">
        <v>6935308276996.4697</v>
      </c>
      <c r="Q459">
        <v>10852482025424.1</v>
      </c>
      <c r="R459">
        <v>5426241012712.0303</v>
      </c>
      <c r="S459">
        <v>5426241012712.0303</v>
      </c>
      <c r="T459">
        <v>5081801831222.0195</v>
      </c>
      <c r="U459">
        <v>2063001516825.5601</v>
      </c>
      <c r="V459">
        <v>39179148274068.5</v>
      </c>
      <c r="W459">
        <v>6935974062824.04</v>
      </c>
      <c r="X459">
        <v>0.27462732007427199</v>
      </c>
      <c r="Y459">
        <v>61445296897835.703</v>
      </c>
      <c r="Z459">
        <v>28648036555711.801</v>
      </c>
      <c r="AA459">
        <v>0.78967999249077603</v>
      </c>
      <c r="AB459">
        <v>31982513122510.699</v>
      </c>
      <c r="AC459">
        <v>18319976659596.398</v>
      </c>
      <c r="AD459">
        <v>25255950722420.398</v>
      </c>
      <c r="AE459">
        <v>-49412566587250.203</v>
      </c>
      <c r="AF459">
        <v>-2602392847225.3799</v>
      </c>
      <c r="AG459">
        <v>5.5594999999999999E-2</v>
      </c>
      <c r="AH459">
        <v>-149480737669935</v>
      </c>
      <c r="AI459">
        <v>67827184829780.297</v>
      </c>
      <c r="AJ459">
        <v>0.06</v>
      </c>
      <c r="AK459">
        <v>0.05</v>
      </c>
      <c r="AL459">
        <v>8.8099999999999998E-2</v>
      </c>
      <c r="AM459">
        <v>3.8100000000000002E-2</v>
      </c>
      <c r="AN459">
        <v>0.89</v>
      </c>
      <c r="AO459">
        <v>0.66</v>
      </c>
      <c r="AP459">
        <v>0.42970000000000003</v>
      </c>
      <c r="AQ459">
        <v>0.57030000000000003</v>
      </c>
      <c r="AR459">
        <v>8.9999999999999993E-3</v>
      </c>
      <c r="AS459">
        <v>0.5</v>
      </c>
      <c r="AT459">
        <v>1.82</v>
      </c>
      <c r="AU459">
        <v>6.3545217126973294E-2</v>
      </c>
      <c r="AV459">
        <v>0.7893</v>
      </c>
      <c r="AW459">
        <v>3</v>
      </c>
      <c r="AX459">
        <v>0.05</v>
      </c>
      <c r="AY459">
        <v>1</v>
      </c>
      <c r="AZ459">
        <v>1</v>
      </c>
      <c r="BA459" s="2">
        <f>modelo_tese_H__2[[#This Row],[Vw]]+modelo_tese_H__2[[#This Row],[Vr]]+modelo_tese_H__2[[#This Row],[K]]-modelo_tese_H__2[[#This Row],[E]]</f>
        <v>-48856292498030.797</v>
      </c>
      <c r="BB459" s="2">
        <f>modelo_tese_H__2[[#This Row],[K]]-modelo_tese_H__2[[#This Row],[Coluna1]]</f>
        <v>110301589395866.5</v>
      </c>
      <c r="BC459">
        <f>modelo_tese_H__2[[#This Row],[Coluna2]]/modelo_tese_H__2[[#This Row],[Coluna1]]</f>
        <v>-2.2576741655194632</v>
      </c>
      <c r="BD459" s="8">
        <f>modelo_tese_H__2[[#This Row],[D]]-modelo_tese_H__2[[#This Row],[Dw]]-modelo_tese_H__2[[#This Row],[Dr]]</f>
        <v>0</v>
      </c>
    </row>
    <row r="460" spans="1:56" x14ac:dyDescent="0.25">
      <c r="A460">
        <v>459</v>
      </c>
      <c r="B460">
        <v>459</v>
      </c>
      <c r="C460">
        <v>15204412078462.301</v>
      </c>
      <c r="D460">
        <v>7093017133178.9404</v>
      </c>
      <c r="E460">
        <v>6312785248529.25</v>
      </c>
      <c r="F460">
        <v>782498888968.88196</v>
      </c>
      <c r="G460">
        <v>21962763027906.898</v>
      </c>
      <c r="H460">
        <v>4922478005522.71</v>
      </c>
      <c r="I460">
        <v>12017762143020.801</v>
      </c>
      <c r="J460">
        <v>8816065388182.2109</v>
      </c>
      <c r="K460">
        <v>55458062545917.5</v>
      </c>
      <c r="L460">
        <v>-4924745009841.9102</v>
      </c>
      <c r="M460">
        <v>64274127934099.797</v>
      </c>
      <c r="N460">
        <v>-93516459871160.594</v>
      </c>
      <c r="O460">
        <v>11092304559548.9</v>
      </c>
      <c r="P460">
        <v>7320921009302.29</v>
      </c>
      <c r="Q460">
        <v>11455963300219.6</v>
      </c>
      <c r="R460">
        <v>5727981650109.8203</v>
      </c>
      <c r="S460">
        <v>5727981650109.8203</v>
      </c>
      <c r="T460">
        <v>5364322909439.1104</v>
      </c>
      <c r="U460">
        <v>2177672973997.6299</v>
      </c>
      <c r="V460">
        <v>41356821248066.102</v>
      </c>
      <c r="W460">
        <v>7321692226358.8301</v>
      </c>
      <c r="X460">
        <v>0.27462824969132499</v>
      </c>
      <c r="Y460">
        <v>64862434391390.203</v>
      </c>
      <c r="Z460">
        <v>30241747131960.801</v>
      </c>
      <c r="AA460">
        <v>0.789676112557124</v>
      </c>
      <c r="AB460">
        <v>33761152141667.898</v>
      </c>
      <c r="AC460">
        <v>19338683152323.102</v>
      </c>
      <c r="AD460">
        <v>26660375378682</v>
      </c>
      <c r="AE460">
        <v>-52159638623094.5</v>
      </c>
      <c r="AF460">
        <v>-2747072035844.2798</v>
      </c>
      <c r="AG460">
        <v>5.5594999999999999E-2</v>
      </c>
      <c r="AH460">
        <v>-157790587805260</v>
      </c>
      <c r="AI460">
        <v>71598568380026.906</v>
      </c>
      <c r="AJ460">
        <v>0.06</v>
      </c>
      <c r="AK460">
        <v>0.05</v>
      </c>
      <c r="AL460">
        <v>8.8099999999999998E-2</v>
      </c>
      <c r="AM460">
        <v>3.8100000000000002E-2</v>
      </c>
      <c r="AN460">
        <v>0.89</v>
      </c>
      <c r="AO460">
        <v>0.66</v>
      </c>
      <c r="AP460">
        <v>0.42970000000000003</v>
      </c>
      <c r="AQ460">
        <v>0.57030000000000003</v>
      </c>
      <c r="AR460">
        <v>8.9999999999999993E-3</v>
      </c>
      <c r="AS460">
        <v>0.5</v>
      </c>
      <c r="AT460">
        <v>1.82</v>
      </c>
      <c r="AU460">
        <v>6.3545217126973294E-2</v>
      </c>
      <c r="AV460">
        <v>0.7893</v>
      </c>
      <c r="AW460">
        <v>3</v>
      </c>
      <c r="AX460">
        <v>0.05</v>
      </c>
      <c r="AY460">
        <v>1</v>
      </c>
      <c r="AZ460">
        <v>1</v>
      </c>
      <c r="BA460" s="2">
        <f>modelo_tese_H__2[[#This Row],[Vw]]+modelo_tese_H__2[[#This Row],[Vr]]+modelo_tese_H__2[[#This Row],[K]]-modelo_tese_H__2[[#This Row],[E]]</f>
        <v>-51571332165803.688</v>
      </c>
      <c r="BB460" s="2">
        <f>modelo_tese_H__2[[#This Row],[K]]-modelo_tese_H__2[[#This Row],[Coluna1]]</f>
        <v>116433766557193.89</v>
      </c>
      <c r="BC460">
        <f>modelo_tese_H__2[[#This Row],[Coluna2]]/modelo_tese_H__2[[#This Row],[Coluna1]]</f>
        <v>-2.2577226855970123</v>
      </c>
      <c r="BD460" s="8">
        <f>modelo_tese_H__2[[#This Row],[D]]-modelo_tese_H__2[[#This Row],[Dw]]-modelo_tese_H__2[[#This Row],[Dr]]</f>
        <v>0</v>
      </c>
    </row>
    <row r="461" spans="1:56" x14ac:dyDescent="0.25">
      <c r="A461">
        <v>460</v>
      </c>
      <c r="B461">
        <v>460</v>
      </c>
      <c r="C461">
        <v>16049892093268.301</v>
      </c>
      <c r="D461">
        <v>7487546796071.4199</v>
      </c>
      <c r="E461">
        <v>6663916648503.5703</v>
      </c>
      <c r="F461">
        <v>826000247579.66394</v>
      </c>
      <c r="G461">
        <v>23183921600096.898</v>
      </c>
      <c r="H461">
        <v>5196143170239.75</v>
      </c>
      <c r="I461">
        <v>12686060066323</v>
      </c>
      <c r="J461">
        <v>9306173544472.1309</v>
      </c>
      <c r="K461">
        <v>58541253533157.797</v>
      </c>
      <c r="L461">
        <v>-5198513270251.5498</v>
      </c>
      <c r="M461">
        <v>67847427077630</v>
      </c>
      <c r="N461">
        <v>-98714973141412.203</v>
      </c>
      <c r="O461">
        <v>11709051313180.199</v>
      </c>
      <c r="P461">
        <v>7727973866698.9502</v>
      </c>
      <c r="Q461">
        <v>12093001284372.1</v>
      </c>
      <c r="R461">
        <v>6046500642186.04</v>
      </c>
      <c r="S461">
        <v>6046500642186.04</v>
      </c>
      <c r="T461">
        <v>5662550670994.1904</v>
      </c>
      <c r="U461">
        <v>2298718644048.8398</v>
      </c>
      <c r="V461">
        <v>43655539892115</v>
      </c>
      <c r="W461">
        <v>7728859444618.4805</v>
      </c>
      <c r="X461">
        <v>0.27462916981952801</v>
      </c>
      <c r="Y461">
        <v>68469596359223.703</v>
      </c>
      <c r="Z461">
        <v>31924105934393.199</v>
      </c>
      <c r="AA461">
        <v>0.78967227221592695</v>
      </c>
      <c r="AB461">
        <v>35638700215049.602</v>
      </c>
      <c r="AC461">
        <v>20414033933021.898</v>
      </c>
      <c r="AD461">
        <v>28142893377640.398</v>
      </c>
      <c r="AE461">
        <v>-55059433249297.203</v>
      </c>
      <c r="AF461">
        <v>-2899794626202.71</v>
      </c>
      <c r="AG461">
        <v>5.5594999999999999E-2</v>
      </c>
      <c r="AH461">
        <v>-166562400219042</v>
      </c>
      <c r="AI461">
        <v>75579645826508.203</v>
      </c>
      <c r="AJ461">
        <v>0.06</v>
      </c>
      <c r="AK461">
        <v>0.05</v>
      </c>
      <c r="AL461">
        <v>8.8099999999999998E-2</v>
      </c>
      <c r="AM461">
        <v>3.8100000000000002E-2</v>
      </c>
      <c r="AN461">
        <v>0.89</v>
      </c>
      <c r="AO461">
        <v>0.66</v>
      </c>
      <c r="AP461">
        <v>0.42970000000000003</v>
      </c>
      <c r="AQ461">
        <v>0.57030000000000003</v>
      </c>
      <c r="AR461">
        <v>8.9999999999999993E-3</v>
      </c>
      <c r="AS461">
        <v>0.5</v>
      </c>
      <c r="AT461">
        <v>1.82</v>
      </c>
      <c r="AU461">
        <v>6.3545217126973294E-2</v>
      </c>
      <c r="AV461">
        <v>0.7893</v>
      </c>
      <c r="AW461">
        <v>3</v>
      </c>
      <c r="AX461">
        <v>0.05</v>
      </c>
      <c r="AY461">
        <v>1</v>
      </c>
      <c r="AZ461">
        <v>1</v>
      </c>
      <c r="BA461" s="2">
        <f>modelo_tese_H__2[[#This Row],[Vw]]+modelo_tese_H__2[[#This Row],[Vr]]+modelo_tese_H__2[[#This Row],[K]]-modelo_tese_H__2[[#This Row],[E]]</f>
        <v>-54437263967703.297</v>
      </c>
      <c r="BB461" s="2">
        <f>modelo_tese_H__2[[#This Row],[K]]-modelo_tese_H__2[[#This Row],[Coluna1]]</f>
        <v>122906860326927</v>
      </c>
      <c r="BC461">
        <f>modelo_tese_H__2[[#This Row],[Coluna2]]/modelo_tese_H__2[[#This Row],[Coluna1]]</f>
        <v>-2.257770713822898</v>
      </c>
      <c r="BD461" s="8">
        <f>modelo_tese_H__2[[#This Row],[D]]-modelo_tese_H__2[[#This Row],[Dw]]-modelo_tese_H__2[[#This Row],[Dr]]</f>
        <v>0</v>
      </c>
    </row>
    <row r="462" spans="1:56" x14ac:dyDescent="0.25">
      <c r="A462">
        <v>461</v>
      </c>
      <c r="B462">
        <v>461</v>
      </c>
      <c r="C462">
        <v>16942385122583</v>
      </c>
      <c r="D462">
        <v>7904019007516.21</v>
      </c>
      <c r="E462">
        <v>7034576916689.4297</v>
      </c>
      <c r="F462">
        <v>871919989458.45105</v>
      </c>
      <c r="G462">
        <v>24472976705858.398</v>
      </c>
      <c r="H462">
        <v>5485022749789.2197</v>
      </c>
      <c r="I462">
        <v>13391519655937.1</v>
      </c>
      <c r="J462">
        <v>9823528321886.1895</v>
      </c>
      <c r="K462">
        <v>61795854523333.703</v>
      </c>
      <c r="L462">
        <v>-5487500648420.8896</v>
      </c>
      <c r="M462">
        <v>71619382845219.906</v>
      </c>
      <c r="N462">
        <v>-104202473789833</v>
      </c>
      <c r="O462">
        <v>12360089245383.1</v>
      </c>
      <c r="P462">
        <v>8157658901952.8096</v>
      </c>
      <c r="Q462">
        <v>12765461839687.699</v>
      </c>
      <c r="R462">
        <v>6382730919843.8496</v>
      </c>
      <c r="S462">
        <v>6382730919843.8496</v>
      </c>
      <c r="T462">
        <v>5977358325539.2002</v>
      </c>
      <c r="U462">
        <v>2426492858893.3301</v>
      </c>
      <c r="V462">
        <v>46082032751008.297</v>
      </c>
      <c r="W462">
        <v>8158668404380.7598</v>
      </c>
      <c r="X462">
        <v>0.27463008055564903</v>
      </c>
      <c r="Y462">
        <v>72277349396361.406</v>
      </c>
      <c r="Z462">
        <v>33700043418930.102</v>
      </c>
      <c r="AA462">
        <v>0.78966847106363802</v>
      </c>
      <c r="AB462">
        <v>37620657340232.797</v>
      </c>
      <c r="AC462">
        <v>21549178557889.898</v>
      </c>
      <c r="AD462">
        <v>29707846962270.699</v>
      </c>
      <c r="AE462">
        <v>-58120441038824.703</v>
      </c>
      <c r="AF462">
        <v>-3061007789527.5601</v>
      </c>
      <c r="AG462">
        <v>5.5594999999999999E-2</v>
      </c>
      <c r="AH462">
        <v>-175821856635053</v>
      </c>
      <c r="AI462">
        <v>79782076169938.406</v>
      </c>
      <c r="AJ462">
        <v>0.06</v>
      </c>
      <c r="AK462">
        <v>0.05</v>
      </c>
      <c r="AL462">
        <v>8.8099999999999998E-2</v>
      </c>
      <c r="AM462">
        <v>3.8100000000000002E-2</v>
      </c>
      <c r="AN462">
        <v>0.89</v>
      </c>
      <c r="AO462">
        <v>0.66</v>
      </c>
      <c r="AP462">
        <v>0.42970000000000003</v>
      </c>
      <c r="AQ462">
        <v>0.57030000000000003</v>
      </c>
      <c r="AR462">
        <v>8.9999999999999993E-3</v>
      </c>
      <c r="AS462">
        <v>0.5</v>
      </c>
      <c r="AT462">
        <v>1.82</v>
      </c>
      <c r="AU462">
        <v>6.3545217126973294E-2</v>
      </c>
      <c r="AV462">
        <v>0.7893</v>
      </c>
      <c r="AW462">
        <v>3</v>
      </c>
      <c r="AX462">
        <v>0.05</v>
      </c>
      <c r="AY462">
        <v>1</v>
      </c>
      <c r="AZ462">
        <v>1</v>
      </c>
      <c r="BA462" s="2">
        <f>modelo_tese_H__2[[#This Row],[Vw]]+modelo_tese_H__2[[#This Row],[Vr]]+modelo_tese_H__2[[#This Row],[K]]-modelo_tese_H__2[[#This Row],[E]]</f>
        <v>-57462474487683.289</v>
      </c>
      <c r="BB462" s="2">
        <f>modelo_tese_H__2[[#This Row],[K]]-modelo_tese_H__2[[#This Row],[Coluna1]]</f>
        <v>129739823884044.69</v>
      </c>
      <c r="BC462">
        <f>modelo_tese_H__2[[#This Row],[Coluna2]]/modelo_tese_H__2[[#This Row],[Coluna1]]</f>
        <v>-2.2578182551441217</v>
      </c>
      <c r="BD462" s="8">
        <f>modelo_tese_H__2[[#This Row],[D]]-modelo_tese_H__2[[#This Row],[Dw]]-modelo_tese_H__2[[#This Row],[Dr]]</f>
        <v>0</v>
      </c>
    </row>
    <row r="463" spans="1:56" x14ac:dyDescent="0.25">
      <c r="A463">
        <v>462</v>
      </c>
      <c r="B463">
        <v>462</v>
      </c>
      <c r="C463">
        <v>17884505238440.398</v>
      </c>
      <c r="D463">
        <v>8343654052322.3896</v>
      </c>
      <c r="E463">
        <v>7425852106566.9297</v>
      </c>
      <c r="F463">
        <v>920392561270.79004</v>
      </c>
      <c r="G463">
        <v>25833703331982.699</v>
      </c>
      <c r="H463">
        <v>5789962589563.7598</v>
      </c>
      <c r="I463">
        <v>14136207257401.5</v>
      </c>
      <c r="J463">
        <v>10369644454093.1</v>
      </c>
      <c r="K463">
        <v>65231395055558.5</v>
      </c>
      <c r="L463">
        <v>-5792553205079.0801</v>
      </c>
      <c r="M463">
        <v>75601039509651.594</v>
      </c>
      <c r="N463">
        <v>-109995026994912</v>
      </c>
      <c r="O463">
        <v>13047324915142.801</v>
      </c>
      <c r="P463">
        <v>8611234443994.2402</v>
      </c>
      <c r="Q463">
        <v>13475314572957.801</v>
      </c>
      <c r="R463">
        <v>6737657286478.9199</v>
      </c>
      <c r="S463">
        <v>6737657286478.9199</v>
      </c>
      <c r="T463">
        <v>6309667628663.8799</v>
      </c>
      <c r="U463">
        <v>2561369647624.9302</v>
      </c>
      <c r="V463">
        <v>48643402398633.203</v>
      </c>
      <c r="W463">
        <v>8612378110002.54</v>
      </c>
      <c r="X463">
        <v>0.27463098199546798</v>
      </c>
      <c r="Y463">
        <v>76296847645610</v>
      </c>
      <c r="Z463">
        <v>35574764242453.797</v>
      </c>
      <c r="AA463">
        <v>0.78966470870081595</v>
      </c>
      <c r="AB463">
        <v>39712829338660.102</v>
      </c>
      <c r="AC463">
        <v>22747441701395.699</v>
      </c>
      <c r="AD463">
        <v>31359819811398.301</v>
      </c>
      <c r="AE463">
        <v>-61351624596278.898</v>
      </c>
      <c r="AF463">
        <v>-3231183557454.1602</v>
      </c>
      <c r="AG463">
        <v>5.5594999999999999E-2</v>
      </c>
      <c r="AH463">
        <v>-185596066504564</v>
      </c>
      <c r="AI463">
        <v>84218166641087</v>
      </c>
      <c r="AJ463">
        <v>0.06</v>
      </c>
      <c r="AK463">
        <v>0.05</v>
      </c>
      <c r="AL463">
        <v>8.8099999999999998E-2</v>
      </c>
      <c r="AM463">
        <v>3.8100000000000002E-2</v>
      </c>
      <c r="AN463">
        <v>0.89</v>
      </c>
      <c r="AO463">
        <v>0.66</v>
      </c>
      <c r="AP463">
        <v>0.42970000000000003</v>
      </c>
      <c r="AQ463">
        <v>0.57030000000000003</v>
      </c>
      <c r="AR463">
        <v>8.9999999999999993E-3</v>
      </c>
      <c r="AS463">
        <v>0.5</v>
      </c>
      <c r="AT463">
        <v>1.82</v>
      </c>
      <c r="AU463">
        <v>6.3545217126973294E-2</v>
      </c>
      <c r="AV463">
        <v>0.7893</v>
      </c>
      <c r="AW463">
        <v>3</v>
      </c>
      <c r="AX463">
        <v>0.05</v>
      </c>
      <c r="AY463">
        <v>1</v>
      </c>
      <c r="AZ463">
        <v>1</v>
      </c>
      <c r="BA463" s="2">
        <f>modelo_tese_H__2[[#This Row],[Vw]]+modelo_tese_H__2[[#This Row],[Vr]]+modelo_tese_H__2[[#This Row],[K]]-modelo_tese_H__2[[#This Row],[E]]</f>
        <v>-60655816460320.797</v>
      </c>
      <c r="BB463" s="2">
        <f>modelo_tese_H__2[[#This Row],[K]]-modelo_tese_H__2[[#This Row],[Coluna1]]</f>
        <v>136952664105930.8</v>
      </c>
      <c r="BC463">
        <f>modelo_tese_H__2[[#This Row],[Coluna2]]/modelo_tese_H__2[[#This Row],[Coluna1]]</f>
        <v>-2.25786531445869</v>
      </c>
      <c r="BD463" s="8">
        <f>modelo_tese_H__2[[#This Row],[D]]-modelo_tese_H__2[[#This Row],[Dw]]-modelo_tese_H__2[[#This Row],[Dr]]</f>
        <v>-0.1015625</v>
      </c>
    </row>
    <row r="464" spans="1:56" x14ac:dyDescent="0.25">
      <c r="A464">
        <v>463</v>
      </c>
      <c r="B464">
        <v>463</v>
      </c>
      <c r="C464">
        <v>18879011859403.602</v>
      </c>
      <c r="D464">
        <v>8807740074465.9199</v>
      </c>
      <c r="E464">
        <v>7838888666274.6699</v>
      </c>
      <c r="F464">
        <v>971559884094.30396</v>
      </c>
      <c r="G464">
        <v>27270086348160.699</v>
      </c>
      <c r="H464">
        <v>6111855559730.5498</v>
      </c>
      <c r="I464">
        <v>14922304110099.5</v>
      </c>
      <c r="J464">
        <v>10946120884486.5</v>
      </c>
      <c r="K464">
        <v>68857934463672.203</v>
      </c>
      <c r="L464">
        <v>-6114564035633.6104</v>
      </c>
      <c r="M464">
        <v>79804055348158.703</v>
      </c>
      <c r="N464">
        <v>-116109591030546</v>
      </c>
      <c r="O464">
        <v>13772770882909.5</v>
      </c>
      <c r="P464">
        <v>9090028782720.25</v>
      </c>
      <c r="Q464">
        <v>14224638604218.301</v>
      </c>
      <c r="R464">
        <v>7112319302109.1602</v>
      </c>
      <c r="S464">
        <v>7112319302109.1602</v>
      </c>
      <c r="T464">
        <v>6660451580800.3096</v>
      </c>
      <c r="U464">
        <v>2703743831496.2798</v>
      </c>
      <c r="V464">
        <v>51347146230129.5</v>
      </c>
      <c r="W464">
        <v>9091317570802.0996</v>
      </c>
      <c r="X464">
        <v>0.27463187423379098</v>
      </c>
      <c r="Y464">
        <v>80539865466668.203</v>
      </c>
      <c r="Z464">
        <v>37553762511146.703</v>
      </c>
      <c r="AA464">
        <v>0.78966098473215796</v>
      </c>
      <c r="AB464">
        <v>41921344860225.297</v>
      </c>
      <c r="AC464">
        <v>24012332892819.801</v>
      </c>
      <c r="AD464">
        <v>33103650463621.898</v>
      </c>
      <c r="AE464">
        <v>-64762444800416.203</v>
      </c>
      <c r="AF464">
        <v>-3410820204137.3198</v>
      </c>
      <c r="AG464">
        <v>5.5594999999999999E-2</v>
      </c>
      <c r="AH464">
        <v>-195913646378704</v>
      </c>
      <c r="AI464">
        <v>88900908741276.203</v>
      </c>
      <c r="AJ464">
        <v>0.06</v>
      </c>
      <c r="AK464">
        <v>0.05</v>
      </c>
      <c r="AL464">
        <v>8.8099999999999998E-2</v>
      </c>
      <c r="AM464">
        <v>3.8100000000000002E-2</v>
      </c>
      <c r="AN464">
        <v>0.89</v>
      </c>
      <c r="AO464">
        <v>0.66</v>
      </c>
      <c r="AP464">
        <v>0.42970000000000003</v>
      </c>
      <c r="AQ464">
        <v>0.57030000000000003</v>
      </c>
      <c r="AR464">
        <v>8.9999999999999993E-3</v>
      </c>
      <c r="AS464">
        <v>0.5</v>
      </c>
      <c r="AT464">
        <v>1.82</v>
      </c>
      <c r="AU464">
        <v>6.3545217126973294E-2</v>
      </c>
      <c r="AV464">
        <v>0.7893</v>
      </c>
      <c r="AW464">
        <v>3</v>
      </c>
      <c r="AX464">
        <v>0.05</v>
      </c>
      <c r="AY464">
        <v>1</v>
      </c>
      <c r="AZ464">
        <v>1</v>
      </c>
      <c r="BA464" s="2">
        <f>modelo_tese_H__2[[#This Row],[Vw]]+modelo_tese_H__2[[#This Row],[Vr]]+modelo_tese_H__2[[#This Row],[K]]-modelo_tese_H__2[[#This Row],[E]]</f>
        <v>-64026634681906.297</v>
      </c>
      <c r="BB464" s="2">
        <f>modelo_tese_H__2[[#This Row],[K]]-modelo_tese_H__2[[#This Row],[Coluna1]]</f>
        <v>144566500148574.5</v>
      </c>
      <c r="BC464">
        <f>modelo_tese_H__2[[#This Row],[Coluna2]]/modelo_tese_H__2[[#This Row],[Coluna1]]</f>
        <v>-2.2579118966161826</v>
      </c>
      <c r="BD464" s="8">
        <f>modelo_tese_H__2[[#This Row],[D]]-modelo_tese_H__2[[#This Row],[Dw]]-modelo_tese_H__2[[#This Row],[Dr]]</f>
        <v>0.296875</v>
      </c>
    </row>
    <row r="465" spans="1:56" x14ac:dyDescent="0.25">
      <c r="A465">
        <v>464</v>
      </c>
      <c r="B465">
        <v>464</v>
      </c>
      <c r="C465">
        <v>19928817831869.301</v>
      </c>
      <c r="D465">
        <v>9297636850495.8203</v>
      </c>
      <c r="E465">
        <v>8274896796941.2803</v>
      </c>
      <c r="F465">
        <v>1025571768951.9301</v>
      </c>
      <c r="G465">
        <v>28786332175979.898</v>
      </c>
      <c r="H465">
        <v>6451644169573.7695</v>
      </c>
      <c r="I465">
        <v>15752112735467</v>
      </c>
      <c r="J465">
        <v>11554645447739.5</v>
      </c>
      <c r="K465">
        <v>72686091330180.094</v>
      </c>
      <c r="L465">
        <v>-6454475884971.1602</v>
      </c>
      <c r="M465">
        <v>84240736777919.594</v>
      </c>
      <c r="N465">
        <v>-122564066915517</v>
      </c>
      <c r="O465">
        <v>14538551604030.199</v>
      </c>
      <c r="P465">
        <v>9595444058659.9609</v>
      </c>
      <c r="Q465">
        <v>15015628655714.9</v>
      </c>
      <c r="R465">
        <v>7507814327857.4697</v>
      </c>
      <c r="S465">
        <v>7507814327857.4697</v>
      </c>
      <c r="T465">
        <v>7030737276172.7803</v>
      </c>
      <c r="U465">
        <v>2854032179770.4902</v>
      </c>
      <c r="V465">
        <v>54201178409900</v>
      </c>
      <c r="W465">
        <v>9596889693457.25</v>
      </c>
      <c r="X465">
        <v>0.27463275736446002</v>
      </c>
      <c r="Y465">
        <v>85018831921668.797</v>
      </c>
      <c r="Z465">
        <v>39642837876746.5</v>
      </c>
      <c r="AA465">
        <v>0.78965729876621105</v>
      </c>
      <c r="AB465">
        <v>44252673333334.203</v>
      </c>
      <c r="AC465">
        <v>25347556794126.898</v>
      </c>
      <c r="AD465">
        <v>34944446487584.199</v>
      </c>
      <c r="AE465">
        <v>-68362888505616.898</v>
      </c>
      <c r="AF465">
        <v>-3600443705200.6699</v>
      </c>
      <c r="AG465">
        <v>5.5594999999999999E-2</v>
      </c>
      <c r="AH465">
        <v>-206804803693436</v>
      </c>
      <c r="AI465">
        <v>93844016286646.5</v>
      </c>
      <c r="AJ465">
        <v>0.06</v>
      </c>
      <c r="AK465">
        <v>0.05</v>
      </c>
      <c r="AL465">
        <v>8.8099999999999998E-2</v>
      </c>
      <c r="AM465">
        <v>3.8100000000000002E-2</v>
      </c>
      <c r="AN465">
        <v>0.89</v>
      </c>
      <c r="AO465">
        <v>0.66</v>
      </c>
      <c r="AP465">
        <v>0.42970000000000003</v>
      </c>
      <c r="AQ465">
        <v>0.57030000000000003</v>
      </c>
      <c r="AR465">
        <v>8.9999999999999993E-3</v>
      </c>
      <c r="AS465">
        <v>0.5</v>
      </c>
      <c r="AT465">
        <v>1.82</v>
      </c>
      <c r="AU465">
        <v>6.3545217126973294E-2</v>
      </c>
      <c r="AV465">
        <v>0.7893</v>
      </c>
      <c r="AW465">
        <v>3</v>
      </c>
      <c r="AX465">
        <v>0.05</v>
      </c>
      <c r="AY465">
        <v>1</v>
      </c>
      <c r="AZ465">
        <v>1</v>
      </c>
      <c r="BA465" s="2">
        <f>modelo_tese_H__2[[#This Row],[Vw]]+modelo_tese_H__2[[#This Row],[Vr]]+modelo_tese_H__2[[#This Row],[K]]-modelo_tese_H__2[[#This Row],[E]]</f>
        <v>-67584793361867.203</v>
      </c>
      <c r="BB465" s="2">
        <f>modelo_tese_H__2[[#This Row],[K]]-modelo_tese_H__2[[#This Row],[Coluna1]]</f>
        <v>152603625283536</v>
      </c>
      <c r="BC465">
        <f>modelo_tese_H__2[[#This Row],[Coluna2]]/modelo_tese_H__2[[#This Row],[Coluna1]]</f>
        <v>-2.2579580064180274</v>
      </c>
      <c r="BD465" s="8">
        <f>modelo_tese_H__2[[#This Row],[D]]-modelo_tese_H__2[[#This Row],[Dw]]-modelo_tese_H__2[[#This Row],[Dr]]</f>
        <v>0.1015625</v>
      </c>
    </row>
    <row r="466" spans="1:56" x14ac:dyDescent="0.25">
      <c r="A466">
        <v>465</v>
      </c>
      <c r="B466">
        <v>465</v>
      </c>
      <c r="C466">
        <v>21036997960699.699</v>
      </c>
      <c r="D466">
        <v>9814779772768.9902</v>
      </c>
      <c r="E466">
        <v>8735153997764.4004</v>
      </c>
      <c r="F466">
        <v>1082586355446.36</v>
      </c>
      <c r="G466">
        <v>30386881106691.602</v>
      </c>
      <c r="H466">
        <v>6810323327181.2305</v>
      </c>
      <c r="I466">
        <v>16628063680392</v>
      </c>
      <c r="J466">
        <v>12196999811627</v>
      </c>
      <c r="K466">
        <v>76727074577681.5</v>
      </c>
      <c r="L466">
        <v>-6813283907623</v>
      </c>
      <c r="M466">
        <v>88924074389308.406</v>
      </c>
      <c r="N466">
        <v>-129377350823140</v>
      </c>
      <c r="O466">
        <v>15346909649844.199</v>
      </c>
      <c r="P466">
        <v>10128960368897.199</v>
      </c>
      <c r="Q466">
        <v>15850601479419</v>
      </c>
      <c r="R466">
        <v>7925300739709.5098</v>
      </c>
      <c r="S466">
        <v>7925300739709.5098</v>
      </c>
      <c r="T466">
        <v>7421608910134.71</v>
      </c>
      <c r="U466">
        <v>3012674629826.98</v>
      </c>
      <c r="V466">
        <v>57213853039727</v>
      </c>
      <c r="W466">
        <v>10130575390829.6</v>
      </c>
      <c r="X466">
        <v>0.27463363148035902</v>
      </c>
      <c r="Y466">
        <v>89746867178154.297</v>
      </c>
      <c r="Z466">
        <v>41848112527866.5</v>
      </c>
      <c r="AA466">
        <v>0.78965365041559998</v>
      </c>
      <c r="AB466">
        <v>46713643913004.898</v>
      </c>
      <c r="AC466">
        <v>26757024049289.199</v>
      </c>
      <c r="AD466">
        <v>36887599440118.703</v>
      </c>
      <c r="AE466">
        <v>-72163497783412.906</v>
      </c>
      <c r="AF466">
        <v>-3800609277796.02</v>
      </c>
      <c r="AG466">
        <v>5.5594999999999999E-2</v>
      </c>
      <c r="AH466">
        <v>-218301425212448</v>
      </c>
      <c r="AI466">
        <v>99061965567593.5</v>
      </c>
      <c r="AJ466">
        <v>0.06</v>
      </c>
      <c r="AK466">
        <v>0.05</v>
      </c>
      <c r="AL466">
        <v>8.8099999999999998E-2</v>
      </c>
      <c r="AM466">
        <v>3.8100000000000002E-2</v>
      </c>
      <c r="AN466">
        <v>0.89</v>
      </c>
      <c r="AO466">
        <v>0.66</v>
      </c>
      <c r="AP466">
        <v>0.42970000000000003</v>
      </c>
      <c r="AQ466">
        <v>0.57030000000000003</v>
      </c>
      <c r="AR466">
        <v>8.9999999999999993E-3</v>
      </c>
      <c r="AS466">
        <v>0.5</v>
      </c>
      <c r="AT466">
        <v>1.82</v>
      </c>
      <c r="AU466">
        <v>6.3545217126973294E-2</v>
      </c>
      <c r="AV466">
        <v>0.7893</v>
      </c>
      <c r="AW466">
        <v>3</v>
      </c>
      <c r="AX466">
        <v>0.05</v>
      </c>
      <c r="AY466">
        <v>1</v>
      </c>
      <c r="AZ466">
        <v>1</v>
      </c>
      <c r="BA466" s="2">
        <f>modelo_tese_H__2[[#This Row],[Vw]]+modelo_tese_H__2[[#This Row],[Vr]]+modelo_tese_H__2[[#This Row],[K]]-modelo_tese_H__2[[#This Row],[E]]</f>
        <v>-71340704994566.703</v>
      </c>
      <c r="BB466" s="2">
        <f>modelo_tese_H__2[[#This Row],[K]]-modelo_tese_H__2[[#This Row],[Coluna1]]</f>
        <v>161087572172721</v>
      </c>
      <c r="BC466">
        <f>modelo_tese_H__2[[#This Row],[Coluna2]]/modelo_tese_H__2[[#This Row],[Coluna1]]</f>
        <v>-2.2580036486181263</v>
      </c>
      <c r="BD466" s="8">
        <f>modelo_tese_H__2[[#This Row],[D]]-modelo_tese_H__2[[#This Row],[Dw]]-modelo_tese_H__2[[#This Row],[Dr]]</f>
        <v>9.375E-2</v>
      </c>
    </row>
    <row r="467" spans="1:56" x14ac:dyDescent="0.25">
      <c r="A467">
        <v>466</v>
      </c>
      <c r="B467">
        <v>466</v>
      </c>
      <c r="C467">
        <v>22206798014146.102</v>
      </c>
      <c r="D467">
        <v>10360684054165.699</v>
      </c>
      <c r="E467">
        <v>9221008808207.4805</v>
      </c>
      <c r="F467">
        <v>1142770574780.05</v>
      </c>
      <c r="G467">
        <v>32076420303808.398</v>
      </c>
      <c r="H467">
        <v>7188943252555.8701</v>
      </c>
      <c r="I467">
        <v>17552722635543.4</v>
      </c>
      <c r="J467">
        <v>12875064693584</v>
      </c>
      <c r="K467">
        <v>80992716288827.703</v>
      </c>
      <c r="L467">
        <v>-7192038581377.6797</v>
      </c>
      <c r="M467">
        <v>93867780982411.703</v>
      </c>
      <c r="N467">
        <v>-136569389404518</v>
      </c>
      <c r="O467">
        <v>16200212274650.699</v>
      </c>
      <c r="P467">
        <v>10692140101269.5</v>
      </c>
      <c r="Q467">
        <v>16732002641905.301</v>
      </c>
      <c r="R467">
        <v>8366001320952.6299</v>
      </c>
      <c r="S467">
        <v>8366001320952.6299</v>
      </c>
      <c r="T467">
        <v>7834210953698.0703</v>
      </c>
      <c r="U467">
        <v>3180135575095.3999</v>
      </c>
      <c r="V467">
        <v>60393988614822.398</v>
      </c>
      <c r="W467">
        <v>10693937919238.5</v>
      </c>
      <c r="X467">
        <v>0.27463449667342898</v>
      </c>
      <c r="Y467">
        <v>94737820936091.297</v>
      </c>
      <c r="Z467">
        <v>44176049126152.398</v>
      </c>
      <c r="AA467">
        <v>0.78965003929701305</v>
      </c>
      <c r="AB467">
        <v>49311465482502.398</v>
      </c>
      <c r="AC467">
        <v>28244862736812.898</v>
      </c>
      <c r="AD467">
        <v>38938800656051.297</v>
      </c>
      <c r="AE467">
        <v>-76175400789695.203</v>
      </c>
      <c r="AF467">
        <v>-4011903006282.2798</v>
      </c>
      <c r="AG467">
        <v>5.5594999999999999E-2</v>
      </c>
      <c r="AH467">
        <v>-230437170386929</v>
      </c>
      <c r="AI467">
        <v>104570037740975</v>
      </c>
      <c r="AJ467">
        <v>0.06</v>
      </c>
      <c r="AK467">
        <v>0.05</v>
      </c>
      <c r="AL467">
        <v>8.8099999999999998E-2</v>
      </c>
      <c r="AM467">
        <v>3.8100000000000002E-2</v>
      </c>
      <c r="AN467">
        <v>0.89</v>
      </c>
      <c r="AO467">
        <v>0.66</v>
      </c>
      <c r="AP467">
        <v>0.42970000000000003</v>
      </c>
      <c r="AQ467">
        <v>0.57030000000000003</v>
      </c>
      <c r="AR467">
        <v>8.9999999999999993E-3</v>
      </c>
      <c r="AS467">
        <v>0.5</v>
      </c>
      <c r="AT467">
        <v>1.82</v>
      </c>
      <c r="AU467">
        <v>6.3545217126973294E-2</v>
      </c>
      <c r="AV467">
        <v>0.7893</v>
      </c>
      <c r="AW467">
        <v>3</v>
      </c>
      <c r="AX467">
        <v>0.05</v>
      </c>
      <c r="AY467">
        <v>1</v>
      </c>
      <c r="AZ467">
        <v>1</v>
      </c>
      <c r="BA467" s="2">
        <f>modelo_tese_H__2[[#This Row],[Vw]]+modelo_tese_H__2[[#This Row],[Vr]]+modelo_tese_H__2[[#This Row],[K]]-modelo_tese_H__2[[#This Row],[E]]</f>
        <v>-75305360836015.094</v>
      </c>
      <c r="BB467" s="2">
        <f>modelo_tese_H__2[[#This Row],[K]]-modelo_tese_H__2[[#This Row],[Coluna1]]</f>
        <v>170043181772106.38</v>
      </c>
      <c r="BC467">
        <f>modelo_tese_H__2[[#This Row],[Coluna2]]/modelo_tese_H__2[[#This Row],[Coluna1]]</f>
        <v>-2.2580488279233175</v>
      </c>
      <c r="BD467" s="8">
        <f>modelo_tese_H__2[[#This Row],[D]]-modelo_tese_H__2[[#This Row],[Dw]]-modelo_tese_H__2[[#This Row],[Dr]]</f>
        <v>0.3984375</v>
      </c>
    </row>
    <row r="468" spans="1:56" x14ac:dyDescent="0.25">
      <c r="A468">
        <v>467</v>
      </c>
      <c r="B468">
        <v>467</v>
      </c>
      <c r="C468">
        <v>23441644229429.602</v>
      </c>
      <c r="D468">
        <v>10936949166595.301</v>
      </c>
      <c r="E468">
        <v>9733884758269.8301</v>
      </c>
      <c r="F468">
        <v>1206300638516.5801</v>
      </c>
      <c r="G468">
        <v>33859897528601.5</v>
      </c>
      <c r="H468">
        <v>7588612552681.71</v>
      </c>
      <c r="I468">
        <v>18528797949468.102</v>
      </c>
      <c r="J468">
        <v>13590825367275</v>
      </c>
      <c r="K468">
        <v>85495506350905</v>
      </c>
      <c r="L468">
        <v>-7591848782872.8096</v>
      </c>
      <c r="M468">
        <v>99086331718180.094</v>
      </c>
      <c r="N468">
        <v>-144161238187390</v>
      </c>
      <c r="O468">
        <v>17100958347778.5</v>
      </c>
      <c r="P468">
        <v>11286632509533.801</v>
      </c>
      <c r="Q468">
        <v>17662413686456.102</v>
      </c>
      <c r="R468">
        <v>8831206843228.0508</v>
      </c>
      <c r="S468">
        <v>8831206843228.0508</v>
      </c>
      <c r="T468">
        <v>8269751504550.4697</v>
      </c>
      <c r="U468">
        <v>3356905224588.9502</v>
      </c>
      <c r="V468">
        <v>63750893839411.398</v>
      </c>
      <c r="W468">
        <v>11288627456883.801</v>
      </c>
      <c r="X468">
        <v>0.27463535303467301</v>
      </c>
      <c r="Y468">
        <v>100006312991455</v>
      </c>
      <c r="Z468">
        <v>46633469739808.102</v>
      </c>
      <c r="AA468">
        <v>0.78964646503086999</v>
      </c>
      <c r="AB468">
        <v>52053747767083.102</v>
      </c>
      <c r="AC468">
        <v>29815430459001.898</v>
      </c>
      <c r="AD468">
        <v>41104057915885.797</v>
      </c>
      <c r="AE468">
        <v>-80410344347979</v>
      </c>
      <c r="AF468">
        <v>-4234943558283.8501</v>
      </c>
      <c r="AG468">
        <v>5.5594999999999999E-2</v>
      </c>
      <c r="AH468">
        <v>-243247569905570</v>
      </c>
      <c r="AI468">
        <v>110384363579219</v>
      </c>
      <c r="AJ468">
        <v>0.06</v>
      </c>
      <c r="AK468">
        <v>0.05</v>
      </c>
      <c r="AL468">
        <v>8.8099999999999998E-2</v>
      </c>
      <c r="AM468">
        <v>3.8100000000000002E-2</v>
      </c>
      <c r="AN468">
        <v>0.89</v>
      </c>
      <c r="AO468">
        <v>0.66</v>
      </c>
      <c r="AP468">
        <v>0.42970000000000003</v>
      </c>
      <c r="AQ468">
        <v>0.57030000000000003</v>
      </c>
      <c r="AR468">
        <v>8.9999999999999993E-3</v>
      </c>
      <c r="AS468">
        <v>0.5</v>
      </c>
      <c r="AT468">
        <v>1.82</v>
      </c>
      <c r="AU468">
        <v>6.3545217126973294E-2</v>
      </c>
      <c r="AV468">
        <v>0.7893</v>
      </c>
      <c r="AW468">
        <v>3</v>
      </c>
      <c r="AX468">
        <v>0.05</v>
      </c>
      <c r="AY468">
        <v>1</v>
      </c>
      <c r="AZ468">
        <v>1</v>
      </c>
      <c r="BA468" s="2">
        <f>modelo_tese_H__2[[#This Row],[Vw]]+modelo_tese_H__2[[#This Row],[Vr]]+modelo_tese_H__2[[#This Row],[K]]-modelo_tese_H__2[[#This Row],[E]]</f>
        <v>-79490363074704.094</v>
      </c>
      <c r="BB468" s="2">
        <f>modelo_tese_H__2[[#This Row],[K]]-modelo_tese_H__2[[#This Row],[Coluna1]]</f>
        <v>179496676066159.09</v>
      </c>
      <c r="BC468">
        <f>modelo_tese_H__2[[#This Row],[Coluna2]]/modelo_tese_H__2[[#This Row],[Coluna1]]</f>
        <v>-2.2580935489937346</v>
      </c>
      <c r="BD468" s="8">
        <f>modelo_tese_H__2[[#This Row],[D]]-modelo_tese_H__2[[#This Row],[Dw]]-modelo_tese_H__2[[#This Row],[Dr]]</f>
        <v>-0.3984375</v>
      </c>
    </row>
    <row r="469" spans="1:56" x14ac:dyDescent="0.25">
      <c r="A469">
        <v>468</v>
      </c>
      <c r="B469">
        <v>468</v>
      </c>
      <c r="C469">
        <v>24745153346834.801</v>
      </c>
      <c r="D469">
        <v>11545263526310.199</v>
      </c>
      <c r="E469">
        <v>10275284538416.1</v>
      </c>
      <c r="F469">
        <v>1273362554514.3301</v>
      </c>
      <c r="G469">
        <v>35742535628702.602</v>
      </c>
      <c r="H469">
        <v>8010501467548.0498</v>
      </c>
      <c r="I469">
        <v>19559148560478.5</v>
      </c>
      <c r="J469">
        <v>14346377475296.199</v>
      </c>
      <c r="K469">
        <v>90248629026483.594</v>
      </c>
      <c r="L469">
        <v>-8013885034168.25</v>
      </c>
      <c r="M469">
        <v>104595006501780</v>
      </c>
      <c r="N469">
        <v>-152175123221559</v>
      </c>
      <c r="O469">
        <v>18051785671061.898</v>
      </c>
      <c r="P469">
        <v>11914178542900.9</v>
      </c>
      <c r="Q469">
        <v>18644559693380.5</v>
      </c>
      <c r="R469">
        <v>9322279846690.2695</v>
      </c>
      <c r="S469">
        <v>9322279846690.2695</v>
      </c>
      <c r="T469">
        <v>8729505824371.6699</v>
      </c>
      <c r="U469">
        <v>3543501038015.3198</v>
      </c>
      <c r="V469">
        <v>67294394877426.703</v>
      </c>
      <c r="W469">
        <v>11916385936836</v>
      </c>
      <c r="X469">
        <v>0.27463620065416899</v>
      </c>
      <c r="Y469">
        <v>105567776055181</v>
      </c>
      <c r="Z469">
        <v>49227575829953.898</v>
      </c>
      <c r="AA469">
        <v>0.78964292724139895</v>
      </c>
      <c r="AB469">
        <v>54948523621678.5</v>
      </c>
      <c r="AC469">
        <v>31473327103379.398</v>
      </c>
      <c r="AD469">
        <v>43389713040215.398</v>
      </c>
      <c r="AE469">
        <v>-84880728344131.906</v>
      </c>
      <c r="AF469">
        <v>-4470383996152.9404</v>
      </c>
      <c r="AG469">
        <v>5.5594999999999999E-2</v>
      </c>
      <c r="AH469">
        <v>-256770129723338</v>
      </c>
      <c r="AI469">
        <v>116521970707381</v>
      </c>
      <c r="AJ469">
        <v>0.06</v>
      </c>
      <c r="AK469">
        <v>0.05</v>
      </c>
      <c r="AL469">
        <v>8.8099999999999998E-2</v>
      </c>
      <c r="AM469">
        <v>3.8100000000000002E-2</v>
      </c>
      <c r="AN469">
        <v>0.89</v>
      </c>
      <c r="AO469">
        <v>0.66</v>
      </c>
      <c r="AP469">
        <v>0.42970000000000003</v>
      </c>
      <c r="AQ469">
        <v>0.57030000000000003</v>
      </c>
      <c r="AR469">
        <v>8.9999999999999993E-3</v>
      </c>
      <c r="AS469">
        <v>0.5</v>
      </c>
      <c r="AT469">
        <v>1.82</v>
      </c>
      <c r="AU469">
        <v>6.3545217126973294E-2</v>
      </c>
      <c r="AV469">
        <v>0.7893</v>
      </c>
      <c r="AW469">
        <v>3</v>
      </c>
      <c r="AX469">
        <v>0.05</v>
      </c>
      <c r="AY469">
        <v>1</v>
      </c>
      <c r="AZ469">
        <v>1</v>
      </c>
      <c r="BA469" s="2">
        <f>modelo_tese_H__2[[#This Row],[Vw]]+modelo_tese_H__2[[#This Row],[Vr]]+modelo_tese_H__2[[#This Row],[K]]-modelo_tese_H__2[[#This Row],[E]]</f>
        <v>-83907958790729.906</v>
      </c>
      <c r="BB469" s="2">
        <f>modelo_tese_H__2[[#This Row],[K]]-modelo_tese_H__2[[#This Row],[Coluna1]]</f>
        <v>189475734845910.91</v>
      </c>
      <c r="BC469">
        <f>modelo_tese_H__2[[#This Row],[Coluna2]]/modelo_tese_H__2[[#This Row],[Coluna1]]</f>
        <v>-2.2581378164432722</v>
      </c>
      <c r="BD469" s="8">
        <f>modelo_tese_H__2[[#This Row],[D]]-modelo_tese_H__2[[#This Row],[Dw]]-modelo_tese_H__2[[#This Row],[Dr]]</f>
        <v>0.390625</v>
      </c>
    </row>
    <row r="470" spans="1:56" x14ac:dyDescent="0.25">
      <c r="A470">
        <v>469</v>
      </c>
      <c r="B470">
        <v>469</v>
      </c>
      <c r="C470">
        <v>26121143201694.699</v>
      </c>
      <c r="D470">
        <v>12187409439747.801</v>
      </c>
      <c r="E470">
        <v>10846794401375.5</v>
      </c>
      <c r="F470">
        <v>1344152671542.96</v>
      </c>
      <c r="G470">
        <v>37729847832234.797</v>
      </c>
      <c r="H470">
        <v>8455845296636.3799</v>
      </c>
      <c r="I470">
        <v>20646792369554.898</v>
      </c>
      <c r="J470">
        <v>15143933165030.4</v>
      </c>
      <c r="K470">
        <v>95266001557211</v>
      </c>
      <c r="L470">
        <v>-8459382929807.0898</v>
      </c>
      <c r="M470">
        <v>110409934722241</v>
      </c>
      <c r="N470">
        <v>-160634506151366</v>
      </c>
      <c r="O470">
        <v>19055478703148.898</v>
      </c>
      <c r="P470">
        <v>12576615944078.301</v>
      </c>
      <c r="Q470">
        <v>19681317260684.199</v>
      </c>
      <c r="R470">
        <v>9840658630342.0996</v>
      </c>
      <c r="S470">
        <v>9840658630342.0996</v>
      </c>
      <c r="T470">
        <v>9214820072806.8008</v>
      </c>
      <c r="U470">
        <v>3740469240667.04</v>
      </c>
      <c r="V470">
        <v>71034864118093.703</v>
      </c>
      <c r="W470">
        <v>12579052148745.699</v>
      </c>
      <c r="X470">
        <v>0.27463703962107699</v>
      </c>
      <c r="Y470">
        <v>111438500952888</v>
      </c>
      <c r="Z470">
        <v>51965969348357.398</v>
      </c>
      <c r="AA470">
        <v>0.78963942555687205</v>
      </c>
      <c r="AB470">
        <v>58004272557791.703</v>
      </c>
      <c r="AC470">
        <v>33223408313633.199</v>
      </c>
      <c r="AD470">
        <v>45802460462378.797</v>
      </c>
      <c r="AE470">
        <v>-89599642033272</v>
      </c>
      <c r="AF470">
        <v>-4718913689140.0498</v>
      </c>
      <c r="AG470">
        <v>5.5594999999999999E-2</v>
      </c>
      <c r="AH470">
        <v>-271044440873607</v>
      </c>
      <c r="AI470">
        <v>123000833466451</v>
      </c>
      <c r="AJ470">
        <v>0.06</v>
      </c>
      <c r="AK470">
        <v>0.05</v>
      </c>
      <c r="AL470">
        <v>8.8099999999999998E-2</v>
      </c>
      <c r="AM470">
        <v>3.8100000000000002E-2</v>
      </c>
      <c r="AN470">
        <v>0.89</v>
      </c>
      <c r="AO470">
        <v>0.66</v>
      </c>
      <c r="AP470">
        <v>0.42970000000000003</v>
      </c>
      <c r="AQ470">
        <v>0.57030000000000003</v>
      </c>
      <c r="AR470">
        <v>8.9999999999999993E-3</v>
      </c>
      <c r="AS470">
        <v>0.5</v>
      </c>
      <c r="AT470">
        <v>1.82</v>
      </c>
      <c r="AU470">
        <v>6.3545217126973294E-2</v>
      </c>
      <c r="AV470">
        <v>0.7893</v>
      </c>
      <c r="AW470">
        <v>3</v>
      </c>
      <c r="AX470">
        <v>0.05</v>
      </c>
      <c r="AY470">
        <v>1</v>
      </c>
      <c r="AZ470">
        <v>1</v>
      </c>
      <c r="BA470" s="2">
        <f>modelo_tese_H__2[[#This Row],[Vw]]+modelo_tese_H__2[[#This Row],[Vr]]+modelo_tese_H__2[[#This Row],[K]]-modelo_tese_H__2[[#This Row],[E]]</f>
        <v>-88571075802625.406</v>
      </c>
      <c r="BB470" s="2">
        <f>modelo_tese_H__2[[#This Row],[K]]-modelo_tese_H__2[[#This Row],[Coluna1]]</f>
        <v>200009576755513.41</v>
      </c>
      <c r="BC470">
        <f>modelo_tese_H__2[[#This Row],[Coluna2]]/modelo_tese_H__2[[#This Row],[Coluna1]]</f>
        <v>-2.2581816348400361</v>
      </c>
      <c r="BD470" s="8">
        <f>modelo_tese_H__2[[#This Row],[D]]-modelo_tese_H__2[[#This Row],[Dw]]-modelo_tese_H__2[[#This Row],[Dr]]</f>
        <v>0.296875</v>
      </c>
    </row>
    <row r="471" spans="1:56" x14ac:dyDescent="0.25">
      <c r="A471">
        <v>470</v>
      </c>
      <c r="B471">
        <v>470</v>
      </c>
      <c r="C471">
        <v>27573643905260</v>
      </c>
      <c r="D471">
        <v>12865268324359.1</v>
      </c>
      <c r="E471">
        <v>11450088808679.6</v>
      </c>
      <c r="F471">
        <v>1418878254177.79</v>
      </c>
      <c r="G471">
        <v>39827653892235.5</v>
      </c>
      <c r="H471">
        <v>8925948015902.8809</v>
      </c>
      <c r="I471">
        <v>21794915078760.301</v>
      </c>
      <c r="J471">
        <v>15985827565620.5</v>
      </c>
      <c r="K471">
        <v>100562314913784</v>
      </c>
      <c r="L471">
        <v>-8929646754401.1797</v>
      </c>
      <c r="M471">
        <v>116548142479405</v>
      </c>
      <c r="N471">
        <v>-169564152905767</v>
      </c>
      <c r="O471">
        <v>20114976713250.199</v>
      </c>
      <c r="P471">
        <v>13275884630745.199</v>
      </c>
      <c r="Q471">
        <v>20775722928441.5</v>
      </c>
      <c r="R471">
        <v>10387861464220.801</v>
      </c>
      <c r="S471">
        <v>10387861464220.801</v>
      </c>
      <c r="T471">
        <v>9727115249029.4609</v>
      </c>
      <c r="U471">
        <v>3948386422529.77</v>
      </c>
      <c r="V471">
        <v>74983250540623.5</v>
      </c>
      <c r="W471">
        <v>13278567124196.1</v>
      </c>
      <c r="X471">
        <v>0.27463787002364898</v>
      </c>
      <c r="Y471">
        <v>117635684337729</v>
      </c>
      <c r="Z471">
        <v>54856675008332.703</v>
      </c>
      <c r="AA471">
        <v>0.78963595960912802</v>
      </c>
      <c r="AB471">
        <v>61229945578510.102</v>
      </c>
      <c r="AC471">
        <v>35070799709505.398</v>
      </c>
      <c r="AD471">
        <v>48349366833701.5</v>
      </c>
      <c r="AE471">
        <v>-94580902365143.406</v>
      </c>
      <c r="AF471">
        <v>-4981260331871.4004</v>
      </c>
      <c r="AG471">
        <v>5.5594999999999999E-2</v>
      </c>
      <c r="AH471">
        <v>-286112295385172</v>
      </c>
      <c r="AI471">
        <v>129839925548956</v>
      </c>
      <c r="AJ471">
        <v>0.06</v>
      </c>
      <c r="AK471">
        <v>0.05</v>
      </c>
      <c r="AL471">
        <v>8.8099999999999998E-2</v>
      </c>
      <c r="AM471">
        <v>3.8100000000000002E-2</v>
      </c>
      <c r="AN471">
        <v>0.89</v>
      </c>
      <c r="AO471">
        <v>0.66</v>
      </c>
      <c r="AP471">
        <v>0.42970000000000003</v>
      </c>
      <c r="AQ471">
        <v>0.57030000000000003</v>
      </c>
      <c r="AR471">
        <v>8.9999999999999993E-3</v>
      </c>
      <c r="AS471">
        <v>0.5</v>
      </c>
      <c r="AT471">
        <v>1.82</v>
      </c>
      <c r="AU471">
        <v>6.3545217126973294E-2</v>
      </c>
      <c r="AV471">
        <v>0.7893</v>
      </c>
      <c r="AW471">
        <v>3</v>
      </c>
      <c r="AX471">
        <v>0.05</v>
      </c>
      <c r="AY471">
        <v>1</v>
      </c>
      <c r="AZ471">
        <v>1</v>
      </c>
      <c r="BA471" s="2">
        <f>modelo_tese_H__2[[#This Row],[Vw]]+modelo_tese_H__2[[#This Row],[Vr]]+modelo_tese_H__2[[#This Row],[K]]-modelo_tese_H__2[[#This Row],[E]]</f>
        <v>-93493360506819.703</v>
      </c>
      <c r="BB471" s="2">
        <f>modelo_tese_H__2[[#This Row],[K]]-modelo_tese_H__2[[#This Row],[Coluna1]]</f>
        <v>211129044844548.69</v>
      </c>
      <c r="BC471">
        <f>modelo_tese_H__2[[#This Row],[Coluna2]]/modelo_tese_H__2[[#This Row],[Coluna1]]</f>
        <v>-2.2582250087068831</v>
      </c>
      <c r="BD471" s="8">
        <f>modelo_tese_H__2[[#This Row],[D]]-modelo_tese_H__2[[#This Row],[Dw]]-modelo_tese_H__2[[#This Row],[Dr]]</f>
        <v>0</v>
      </c>
    </row>
    <row r="472" spans="1:56" x14ac:dyDescent="0.25">
      <c r="A472">
        <v>471</v>
      </c>
      <c r="B472">
        <v>471</v>
      </c>
      <c r="C472">
        <v>29106909647238.898</v>
      </c>
      <c r="D472">
        <v>13580826219760.1</v>
      </c>
      <c r="E472">
        <v>12086935335586.5</v>
      </c>
      <c r="F472">
        <v>1497758089654.7</v>
      </c>
      <c r="G472">
        <v>42042097128680.5</v>
      </c>
      <c r="H472">
        <v>9422186095847.0098</v>
      </c>
      <c r="I472">
        <v>23006879521088.199</v>
      </c>
      <c r="J472">
        <v>16874525625025.1</v>
      </c>
      <c r="K472">
        <v>106153076811416</v>
      </c>
      <c r="L472">
        <v>-9426053301328.0996</v>
      </c>
      <c r="M472">
        <v>123027602436441</v>
      </c>
      <c r="N472">
        <v>-178990206207095</v>
      </c>
      <c r="O472">
        <v>21233382388222.5</v>
      </c>
      <c r="P472">
        <v>14014032376226.801</v>
      </c>
      <c r="Q472">
        <v>21930982071573.898</v>
      </c>
      <c r="R472">
        <v>10965491035786.9</v>
      </c>
      <c r="S472">
        <v>10965491035786.9</v>
      </c>
      <c r="T472">
        <v>10267891352435.5</v>
      </c>
      <c r="U472">
        <v>4167861226284.79</v>
      </c>
      <c r="V472">
        <v>79151111766908.297</v>
      </c>
      <c r="W472">
        <v>14016979821497.801</v>
      </c>
      <c r="X472">
        <v>0.27463869194924001</v>
      </c>
      <c r="Y472">
        <v>124177479056105</v>
      </c>
      <c r="Z472">
        <v>57908163794043.602</v>
      </c>
      <c r="AA472">
        <v>0.78963252903394299</v>
      </c>
      <c r="AB472">
        <v>64634991394356.398</v>
      </c>
      <c r="AC472">
        <v>37020911897315</v>
      </c>
      <c r="AD472">
        <v>51037891718812.797</v>
      </c>
      <c r="AE472">
        <v>-99839094440186.703</v>
      </c>
      <c r="AF472">
        <v>-5258192075043.3203</v>
      </c>
      <c r="AG472">
        <v>5.5594999999999999E-2</v>
      </c>
      <c r="AH472">
        <v>-302017808643536</v>
      </c>
      <c r="AI472">
        <v>137059275560952</v>
      </c>
      <c r="AJ472">
        <v>0.06</v>
      </c>
      <c r="AK472">
        <v>0.05</v>
      </c>
      <c r="AL472">
        <v>8.8099999999999998E-2</v>
      </c>
      <c r="AM472">
        <v>3.8100000000000002E-2</v>
      </c>
      <c r="AN472">
        <v>0.89</v>
      </c>
      <c r="AO472">
        <v>0.66</v>
      </c>
      <c r="AP472">
        <v>0.42970000000000003</v>
      </c>
      <c r="AQ472">
        <v>0.57030000000000003</v>
      </c>
      <c r="AR472">
        <v>8.9999999999999993E-3</v>
      </c>
      <c r="AS472">
        <v>0.5</v>
      </c>
      <c r="AT472">
        <v>1.82</v>
      </c>
      <c r="AU472">
        <v>6.3545217126973294E-2</v>
      </c>
      <c r="AV472">
        <v>0.7893</v>
      </c>
      <c r="AW472">
        <v>3</v>
      </c>
      <c r="AX472">
        <v>0.05</v>
      </c>
      <c r="AY472">
        <v>1</v>
      </c>
      <c r="AZ472">
        <v>1</v>
      </c>
      <c r="BA472" s="2">
        <f>modelo_tese_H__2[[#This Row],[Vw]]+modelo_tese_H__2[[#This Row],[Vr]]+modelo_tese_H__2[[#This Row],[K]]-modelo_tese_H__2[[#This Row],[E]]</f>
        <v>-98689217820522.594</v>
      </c>
      <c r="BB472" s="2">
        <f>modelo_tese_H__2[[#This Row],[K]]-modelo_tese_H__2[[#This Row],[Coluna1]]</f>
        <v>222866696876627.59</v>
      </c>
      <c r="BC472">
        <f>modelo_tese_H__2[[#This Row],[Coluna2]]/modelo_tese_H__2[[#This Row],[Coluna1]]</f>
        <v>-2.2582679425217016</v>
      </c>
      <c r="BD472" s="8">
        <f>modelo_tese_H__2[[#This Row],[D]]-modelo_tese_H__2[[#This Row],[Dw]]-modelo_tese_H__2[[#This Row],[Dr]]</f>
        <v>0</v>
      </c>
    </row>
    <row r="473" spans="1:56" x14ac:dyDescent="0.25">
      <c r="A473">
        <v>472</v>
      </c>
      <c r="B473">
        <v>472</v>
      </c>
      <c r="C473">
        <v>30725431154521.5</v>
      </c>
      <c r="D473">
        <v>14336179605298.6</v>
      </c>
      <c r="E473">
        <v>12759199848715.801</v>
      </c>
      <c r="F473">
        <v>1581023128463</v>
      </c>
      <c r="G473">
        <v>44379662417975.703</v>
      </c>
      <c r="H473">
        <v>9946012531845.6191</v>
      </c>
      <c r="I473">
        <v>24286235509024.398</v>
      </c>
      <c r="J473">
        <v>17812629327174.602</v>
      </c>
      <c r="K473">
        <v>112054657116747</v>
      </c>
      <c r="L473">
        <v>-9950055903725.7695</v>
      </c>
      <c r="M473">
        <v>129867286443921</v>
      </c>
      <c r="N473">
        <v>-188940262110821</v>
      </c>
      <c r="O473">
        <v>22413970918169.602</v>
      </c>
      <c r="P473">
        <v>14793220805991.9</v>
      </c>
      <c r="Q473">
        <v>23150478287038.199</v>
      </c>
      <c r="R473">
        <v>11575239143519.1</v>
      </c>
      <c r="S473">
        <v>11575239143519.1</v>
      </c>
      <c r="T473">
        <v>10838731774650.5</v>
      </c>
      <c r="U473">
        <v>4399536129153.3701</v>
      </c>
      <c r="V473">
        <v>83550647896061.594</v>
      </c>
      <c r="W473">
        <v>14796453126543.4</v>
      </c>
      <c r="X473">
        <v>0.27463950548431298</v>
      </c>
      <c r="Y473">
        <v>131083047313748</v>
      </c>
      <c r="Z473">
        <v>61129377777067.898</v>
      </c>
      <c r="AA473">
        <v>0.78962913347062003</v>
      </c>
      <c r="AB473">
        <v>68229384096761.203</v>
      </c>
      <c r="AC473">
        <v>39079456315016.297</v>
      </c>
      <c r="AD473">
        <v>53875909441559.703</v>
      </c>
      <c r="AE473">
        <v>-105389614214759</v>
      </c>
      <c r="AF473">
        <v>-5550519774572.4004</v>
      </c>
      <c r="AG473">
        <v>5.5594999999999999E-2</v>
      </c>
      <c r="AH473">
        <v>-318807548554742</v>
      </c>
      <c r="AI473">
        <v>144680025673130</v>
      </c>
      <c r="AJ473">
        <v>0.06</v>
      </c>
      <c r="AK473">
        <v>0.05</v>
      </c>
      <c r="AL473">
        <v>8.8099999999999998E-2</v>
      </c>
      <c r="AM473">
        <v>3.8100000000000002E-2</v>
      </c>
      <c r="AN473">
        <v>0.89</v>
      </c>
      <c r="AO473">
        <v>0.66</v>
      </c>
      <c r="AP473">
        <v>0.42970000000000003</v>
      </c>
      <c r="AQ473">
        <v>0.57030000000000003</v>
      </c>
      <c r="AR473">
        <v>8.9999999999999993E-3</v>
      </c>
      <c r="AS473">
        <v>0.5</v>
      </c>
      <c r="AT473">
        <v>1.82</v>
      </c>
      <c r="AU473">
        <v>6.3545217126973294E-2</v>
      </c>
      <c r="AV473">
        <v>0.7893</v>
      </c>
      <c r="AW473">
        <v>3</v>
      </c>
      <c r="AX473">
        <v>0.05</v>
      </c>
      <c r="AY473">
        <v>1</v>
      </c>
      <c r="AZ473">
        <v>1</v>
      </c>
      <c r="BA473" s="2">
        <f>modelo_tese_H__2[[#This Row],[Vw]]+modelo_tese_H__2[[#This Row],[Vr]]+modelo_tese_H__2[[#This Row],[K]]-modelo_tese_H__2[[#This Row],[E]]</f>
        <v>-104173853344931.91</v>
      </c>
      <c r="BB473" s="2">
        <f>modelo_tese_H__2[[#This Row],[K]]-modelo_tese_H__2[[#This Row],[Coluna1]]</f>
        <v>235256900658679.91</v>
      </c>
      <c r="BC473">
        <f>modelo_tese_H__2[[#This Row],[Coluna2]]/modelo_tese_H__2[[#This Row],[Coluna1]]</f>
        <v>-2.2583104407179464</v>
      </c>
      <c r="BD473" s="8">
        <f>modelo_tese_H__2[[#This Row],[D]]-modelo_tese_H__2[[#This Row],[Dw]]-modelo_tese_H__2[[#This Row],[Dr]]</f>
        <v>0.40625</v>
      </c>
    </row>
    <row r="474" spans="1:56" x14ac:dyDescent="0.25">
      <c r="A474">
        <v>473</v>
      </c>
      <c r="B474">
        <v>473</v>
      </c>
      <c r="C474">
        <v>32433948842617.199</v>
      </c>
      <c r="D474">
        <v>15133541541120.699</v>
      </c>
      <c r="E474">
        <v>13468851971597.4</v>
      </c>
      <c r="F474">
        <v>1668917160551.4099</v>
      </c>
      <c r="G474">
        <v>46847195182625.602</v>
      </c>
      <c r="H474">
        <v>10498961098553.6</v>
      </c>
      <c r="I474">
        <v>25636730230702.398</v>
      </c>
      <c r="J474">
        <v>18802885310360.699</v>
      </c>
      <c r="K474">
        <v>118284335779152</v>
      </c>
      <c r="L474">
        <v>-10503188689581.699</v>
      </c>
      <c r="M474">
        <v>137087221089513</v>
      </c>
      <c r="N474">
        <v>-199443450800403</v>
      </c>
      <c r="O474">
        <v>23660199587184.699</v>
      </c>
      <c r="P474">
        <v>15615731727541.9</v>
      </c>
      <c r="Q474">
        <v>24437783302950.398</v>
      </c>
      <c r="R474">
        <v>12218891651475.199</v>
      </c>
      <c r="S474">
        <v>12218891651475.199</v>
      </c>
      <c r="T474">
        <v>11441307935709.5</v>
      </c>
      <c r="U474">
        <v>4644089323794.6602</v>
      </c>
      <c r="V474">
        <v>88194737219856.297</v>
      </c>
      <c r="W474">
        <v>15619270187323.301</v>
      </c>
      <c r="X474">
        <v>0.274640310714451</v>
      </c>
      <c r="Y474">
        <v>138372616797854</v>
      </c>
      <c r="Z474">
        <v>64529756312916</v>
      </c>
      <c r="AA474">
        <v>0.78962577256225397</v>
      </c>
      <c r="AB474">
        <v>72023652370191.406</v>
      </c>
      <c r="AC474">
        <v>41252461958244.297</v>
      </c>
      <c r="AD474">
        <v>56871732145567.602</v>
      </c>
      <c r="AE474">
        <v>-111248713580546</v>
      </c>
      <c r="AF474">
        <v>-5859099365787.0498</v>
      </c>
      <c r="AG474">
        <v>5.5594999999999999E-2</v>
      </c>
      <c r="AH474">
        <v>-336530671889915</v>
      </c>
      <c r="AI474">
        <v>152724493532772</v>
      </c>
      <c r="AJ474">
        <v>0.06</v>
      </c>
      <c r="AK474">
        <v>0.05</v>
      </c>
      <c r="AL474">
        <v>8.8099999999999998E-2</v>
      </c>
      <c r="AM474">
        <v>3.8100000000000002E-2</v>
      </c>
      <c r="AN474">
        <v>0.89</v>
      </c>
      <c r="AO474">
        <v>0.66</v>
      </c>
      <c r="AP474">
        <v>0.42970000000000003</v>
      </c>
      <c r="AQ474">
        <v>0.57030000000000003</v>
      </c>
      <c r="AR474">
        <v>8.9999999999999993E-3</v>
      </c>
      <c r="AS474">
        <v>0.5</v>
      </c>
      <c r="AT474">
        <v>1.82</v>
      </c>
      <c r="AU474">
        <v>6.3545217126973294E-2</v>
      </c>
      <c r="AV474">
        <v>0.7893</v>
      </c>
      <c r="AW474">
        <v>3</v>
      </c>
      <c r="AX474">
        <v>0.05</v>
      </c>
      <c r="AY474">
        <v>1</v>
      </c>
      <c r="AZ474">
        <v>1</v>
      </c>
      <c r="BA474" s="2">
        <f>modelo_tese_H__2[[#This Row],[Vw]]+modelo_tese_H__2[[#This Row],[Vr]]+modelo_tese_H__2[[#This Row],[K]]-modelo_tese_H__2[[#This Row],[E]]</f>
        <v>-109963317872205</v>
      </c>
      <c r="BB474" s="2">
        <f>modelo_tese_H__2[[#This Row],[K]]-modelo_tese_H__2[[#This Row],[Coluna1]]</f>
        <v>248335934670059</v>
      </c>
      <c r="BC474">
        <f>modelo_tese_H__2[[#This Row],[Coluna2]]/modelo_tese_H__2[[#This Row],[Coluna1]]</f>
        <v>-2.2583525076850188</v>
      </c>
      <c r="BD474" s="8">
        <f>modelo_tese_H__2[[#This Row],[D]]-modelo_tese_H__2[[#This Row],[Dw]]-modelo_tese_H__2[[#This Row],[Dr]]</f>
        <v>0.703125</v>
      </c>
    </row>
    <row r="475" spans="1:56" x14ac:dyDescent="0.25">
      <c r="A475">
        <v>474</v>
      </c>
      <c r="B475">
        <v>474</v>
      </c>
      <c r="C475">
        <v>34237466698285.199</v>
      </c>
      <c r="D475">
        <v>15975248150687.301</v>
      </c>
      <c r="E475">
        <v>14217970854111.699</v>
      </c>
      <c r="F475">
        <v>1761697529127.4299</v>
      </c>
      <c r="G475">
        <v>49451921436660.398</v>
      </c>
      <c r="H475">
        <v>11082650840827.699</v>
      </c>
      <c r="I475">
        <v>27062319224066.801</v>
      </c>
      <c r="J475">
        <v>19848192909163.398</v>
      </c>
      <c r="K475">
        <v>124860353426794</v>
      </c>
      <c r="L475">
        <v>-11087071073379.5</v>
      </c>
      <c r="M475">
        <v>144708546335957</v>
      </c>
      <c r="N475">
        <v>-210530521873782</v>
      </c>
      <c r="O475">
        <v>24975717897303.199</v>
      </c>
      <c r="P475">
        <v>16483973812220.1</v>
      </c>
      <c r="Q475">
        <v>25796667438634.301</v>
      </c>
      <c r="R475">
        <v>12898333719317.199</v>
      </c>
      <c r="S475">
        <v>12898333719317.199</v>
      </c>
      <c r="T475">
        <v>12077384177986.1</v>
      </c>
      <c r="U475">
        <v>4902236703767.7402</v>
      </c>
      <c r="V475">
        <v>93096973923624</v>
      </c>
      <c r="W475">
        <v>16487841100632.5</v>
      </c>
      <c r="X475">
        <v>0.27464110772436801</v>
      </c>
      <c r="Y475">
        <v>146067539919640</v>
      </c>
      <c r="Z475">
        <v>68119263694231.398</v>
      </c>
      <c r="AA475">
        <v>0.78962244595556197</v>
      </c>
      <c r="AB475">
        <v>76028910328491.406</v>
      </c>
      <c r="AC475">
        <v>43546293036287</v>
      </c>
      <c r="AD475">
        <v>60034134136919.5</v>
      </c>
      <c r="AE475">
        <v>-117433547950158</v>
      </c>
      <c r="AF475">
        <v>-6184834369611.75</v>
      </c>
      <c r="AG475">
        <v>5.5594999999999999E-2</v>
      </c>
      <c r="AH475">
        <v>-355239068209740</v>
      </c>
      <c r="AI475">
        <v>161216237617855</v>
      </c>
      <c r="AJ475">
        <v>0.06</v>
      </c>
      <c r="AK475">
        <v>0.05</v>
      </c>
      <c r="AL475">
        <v>8.8099999999999998E-2</v>
      </c>
      <c r="AM475">
        <v>3.8100000000000002E-2</v>
      </c>
      <c r="AN475">
        <v>0.89</v>
      </c>
      <c r="AO475">
        <v>0.66</v>
      </c>
      <c r="AP475">
        <v>0.42970000000000003</v>
      </c>
      <c r="AQ475">
        <v>0.57030000000000003</v>
      </c>
      <c r="AR475">
        <v>8.9999999999999993E-3</v>
      </c>
      <c r="AS475">
        <v>0.5</v>
      </c>
      <c r="AT475">
        <v>1.82</v>
      </c>
      <c r="AU475">
        <v>6.3545217126973294E-2</v>
      </c>
      <c r="AV475">
        <v>0.7893</v>
      </c>
      <c r="AW475">
        <v>3</v>
      </c>
      <c r="AX475">
        <v>0.05</v>
      </c>
      <c r="AY475">
        <v>1</v>
      </c>
      <c r="AZ475">
        <v>1</v>
      </c>
      <c r="BA475" s="2">
        <f>modelo_tese_H__2[[#This Row],[Vw]]+modelo_tese_H__2[[#This Row],[Vr]]+modelo_tese_H__2[[#This Row],[K]]-modelo_tese_H__2[[#This Row],[E]]</f>
        <v>-116074554366476.41</v>
      </c>
      <c r="BB475" s="2">
        <f>modelo_tese_H__2[[#This Row],[K]]-modelo_tese_H__2[[#This Row],[Coluna1]]</f>
        <v>262142094286116.41</v>
      </c>
      <c r="BC475">
        <f>modelo_tese_H__2[[#This Row],[Coluna2]]/modelo_tese_H__2[[#This Row],[Coluna1]]</f>
        <v>-2.2583941477687541</v>
      </c>
      <c r="BD475" s="8">
        <f>modelo_tese_H__2[[#This Row],[D]]-modelo_tese_H__2[[#This Row],[Dw]]-modelo_tese_H__2[[#This Row],[Dr]]</f>
        <v>0</v>
      </c>
    </row>
    <row r="476" spans="1:56" x14ac:dyDescent="0.25">
      <c r="A476">
        <v>475</v>
      </c>
      <c r="B476">
        <v>475</v>
      </c>
      <c r="C476">
        <v>36141266934019.203</v>
      </c>
      <c r="D476">
        <v>16863765463738.801</v>
      </c>
      <c r="E476">
        <v>15008751262727.5</v>
      </c>
      <c r="F476">
        <v>1859635884139.8601</v>
      </c>
      <c r="G476">
        <v>52201468945524.797</v>
      </c>
      <c r="H476">
        <v>11698790814323.5</v>
      </c>
      <c r="I476">
        <v>28567177961190.898</v>
      </c>
      <c r="J476">
        <v>20951612643464.102</v>
      </c>
      <c r="K476">
        <v>131801964775557</v>
      </c>
      <c r="L476">
        <v>-11703412497452.1</v>
      </c>
      <c r="M476">
        <v>152753577419021</v>
      </c>
      <c r="N476">
        <v>-222233934371234</v>
      </c>
      <c r="O476">
        <v>26364378255315.602</v>
      </c>
      <c r="P476">
        <v>17400489648508.301</v>
      </c>
      <c r="Q476">
        <v>27231110646235.398</v>
      </c>
      <c r="R476">
        <v>13615555323117.699</v>
      </c>
      <c r="S476">
        <v>13615555323117.699</v>
      </c>
      <c r="T476">
        <v>12748822932197.9</v>
      </c>
      <c r="U476">
        <v>5174733959369.5098</v>
      </c>
      <c r="V476">
        <v>98271707882993.5</v>
      </c>
      <c r="W476">
        <v>17404709970555.5</v>
      </c>
      <c r="X476">
        <v>0.27464189659791199</v>
      </c>
      <c r="Y476">
        <v>154190356350799</v>
      </c>
      <c r="Z476">
        <v>71908418341669.094</v>
      </c>
      <c r="AA476">
        <v>0.78961915330070997</v>
      </c>
      <c r="AB476">
        <v>80256890065736.094</v>
      </c>
      <c r="AC476">
        <v>45967667609699.203</v>
      </c>
      <c r="AD476">
        <v>63372377580254.703</v>
      </c>
      <c r="AE476">
        <v>-123962226488241</v>
      </c>
      <c r="AF476">
        <v>-6528678538082.5596</v>
      </c>
      <c r="AG476">
        <v>5.5594999999999999E-2</v>
      </c>
      <c r="AH476">
        <v>-374987511790255</v>
      </c>
      <c r="AI476">
        <v>170180126224663</v>
      </c>
      <c r="AJ476">
        <v>0.06</v>
      </c>
      <c r="AK476">
        <v>0.05</v>
      </c>
      <c r="AL476">
        <v>8.8099999999999998E-2</v>
      </c>
      <c r="AM476">
        <v>3.8100000000000002E-2</v>
      </c>
      <c r="AN476">
        <v>0.89</v>
      </c>
      <c r="AO476">
        <v>0.66</v>
      </c>
      <c r="AP476">
        <v>0.42970000000000003</v>
      </c>
      <c r="AQ476">
        <v>0.57030000000000003</v>
      </c>
      <c r="AR476">
        <v>8.9999999999999993E-3</v>
      </c>
      <c r="AS476">
        <v>0.5</v>
      </c>
      <c r="AT476">
        <v>1.82</v>
      </c>
      <c r="AU476">
        <v>6.3545217126973294E-2</v>
      </c>
      <c r="AV476">
        <v>0.7893</v>
      </c>
      <c r="AW476">
        <v>3</v>
      </c>
      <c r="AX476">
        <v>0.05</v>
      </c>
      <c r="AY476">
        <v>1</v>
      </c>
      <c r="AZ476">
        <v>1</v>
      </c>
      <c r="BA476" s="2">
        <f>modelo_tese_H__2[[#This Row],[Vw]]+modelo_tese_H__2[[#This Row],[Vr]]+modelo_tese_H__2[[#This Row],[K]]-modelo_tese_H__2[[#This Row],[E]]</f>
        <v>-122525447556462.09</v>
      </c>
      <c r="BB476" s="2">
        <f>modelo_tese_H__2[[#This Row],[K]]-modelo_tese_H__2[[#This Row],[Coluna1]]</f>
        <v>276715803907261.09</v>
      </c>
      <c r="BC476">
        <f>modelo_tese_H__2[[#This Row],[Coluna2]]/modelo_tese_H__2[[#This Row],[Coluna1]]</f>
        <v>-2.2584353652717333</v>
      </c>
      <c r="BD476" s="8">
        <f>modelo_tese_H__2[[#This Row],[D]]-modelo_tese_H__2[[#This Row],[Dw]]-modelo_tese_H__2[[#This Row],[Dr]]</f>
        <v>-0.5</v>
      </c>
    </row>
    <row r="477" spans="1:56" x14ac:dyDescent="0.25">
      <c r="A477">
        <v>476</v>
      </c>
      <c r="B477">
        <v>476</v>
      </c>
      <c r="C477">
        <v>38150925457326.602</v>
      </c>
      <c r="D477">
        <v>17801696639771.102</v>
      </c>
      <c r="E477">
        <v>15843510009396.199</v>
      </c>
      <c r="F477">
        <v>1963018977650.6001</v>
      </c>
      <c r="G477">
        <v>55103889562408.203</v>
      </c>
      <c r="H477">
        <v>12349185089645.801</v>
      </c>
      <c r="I477">
        <v>30155714076692.602</v>
      </c>
      <c r="J477">
        <v>22116375179398.699</v>
      </c>
      <c r="K477">
        <v>139129495007254</v>
      </c>
      <c r="L477">
        <v>-12354017436921.6</v>
      </c>
      <c r="M477">
        <v>161245870186653</v>
      </c>
      <c r="N477">
        <v>-234587951808156</v>
      </c>
      <c r="O477">
        <v>27830247253741.5</v>
      </c>
      <c r="P477">
        <v>18367963187469.398</v>
      </c>
      <c r="Q477">
        <v>28745314166251.5</v>
      </c>
      <c r="R477">
        <v>14372657083125.801</v>
      </c>
      <c r="S477">
        <v>14372657083125.801</v>
      </c>
      <c r="T477">
        <v>13457590170615.699</v>
      </c>
      <c r="U477">
        <v>5462378789981.7695</v>
      </c>
      <c r="V477">
        <v>103734086672975</v>
      </c>
      <c r="W477">
        <v>18372562359416.102</v>
      </c>
      <c r="X477">
        <v>0.27464267741808002</v>
      </c>
      <c r="Y477">
        <v>162764859037018</v>
      </c>
      <c r="Z477">
        <v>75908323617959.5</v>
      </c>
      <c r="AA477">
        <v>0.78961589425162104</v>
      </c>
      <c r="AB477">
        <v>84719976016922.406</v>
      </c>
      <c r="AC477">
        <v>48523677264162</v>
      </c>
      <c r="AD477">
        <v>66896239623578.102</v>
      </c>
      <c r="AE477">
        <v>-130853865135180</v>
      </c>
      <c r="AF477">
        <v>-6891638646939.7998</v>
      </c>
      <c r="AG477">
        <v>5.5594999999999999E-2</v>
      </c>
      <c r="AH477">
        <v>-395833821994808</v>
      </c>
      <c r="AI477">
        <v>179642410290935</v>
      </c>
      <c r="AJ477">
        <v>0.06</v>
      </c>
      <c r="AK477">
        <v>0.05</v>
      </c>
      <c r="AL477">
        <v>8.8099999999999998E-2</v>
      </c>
      <c r="AM477">
        <v>3.8100000000000002E-2</v>
      </c>
      <c r="AN477">
        <v>0.89</v>
      </c>
      <c r="AO477">
        <v>0.66</v>
      </c>
      <c r="AP477">
        <v>0.42970000000000003</v>
      </c>
      <c r="AQ477">
        <v>0.57030000000000003</v>
      </c>
      <c r="AR477">
        <v>8.9999999999999993E-3</v>
      </c>
      <c r="AS477">
        <v>0.5</v>
      </c>
      <c r="AT477">
        <v>1.82</v>
      </c>
      <c r="AU477">
        <v>6.3545217126973294E-2</v>
      </c>
      <c r="AV477">
        <v>0.7893</v>
      </c>
      <c r="AW477">
        <v>3</v>
      </c>
      <c r="AX477">
        <v>0.05</v>
      </c>
      <c r="AY477">
        <v>1</v>
      </c>
      <c r="AZ477">
        <v>1</v>
      </c>
      <c r="BA477" s="2">
        <f>modelo_tese_H__2[[#This Row],[Vw]]+modelo_tese_H__2[[#This Row],[Vr]]+modelo_tese_H__2[[#This Row],[K]]-modelo_tese_H__2[[#This Row],[E]]</f>
        <v>-129334876284814.5</v>
      </c>
      <c r="BB477" s="2">
        <f>modelo_tese_H__2[[#This Row],[K]]-modelo_tese_H__2[[#This Row],[Coluna1]]</f>
        <v>292099735321832.5</v>
      </c>
      <c r="BC477">
        <f>modelo_tese_H__2[[#This Row],[Coluna2]]/modelo_tese_H__2[[#This Row],[Coluna1]]</f>
        <v>-2.2584761644537839</v>
      </c>
      <c r="BD477" s="8">
        <f>modelo_tese_H__2[[#This Row],[D]]-modelo_tese_H__2[[#This Row],[Dw]]-modelo_tese_H__2[[#This Row],[Dr]]</f>
        <v>1</v>
      </c>
    </row>
    <row r="478" spans="1:56" x14ac:dyDescent="0.25">
      <c r="A478">
        <v>477</v>
      </c>
      <c r="B478">
        <v>477</v>
      </c>
      <c r="C478">
        <v>40272328200052.797</v>
      </c>
      <c r="D478">
        <v>18791789593134.199</v>
      </c>
      <c r="E478">
        <v>16724692737889.5</v>
      </c>
      <c r="F478">
        <v>2072149503424.76</v>
      </c>
      <c r="G478">
        <v>58167682806384.602</v>
      </c>
      <c r="H478">
        <v>13035738034704.699</v>
      </c>
      <c r="I478">
        <v>31832580276018.898</v>
      </c>
      <c r="J478">
        <v>23345890788488.398</v>
      </c>
      <c r="K478">
        <v>146864399282182</v>
      </c>
      <c r="L478">
        <v>-13040790682884.6</v>
      </c>
      <c r="M478">
        <v>170210290070670</v>
      </c>
      <c r="N478">
        <v>-247628742491040</v>
      </c>
      <c r="O478">
        <v>29377617578982.102</v>
      </c>
      <c r="P478">
        <v>19389227602128.199</v>
      </c>
      <c r="Q478">
        <v>30343712831076.102</v>
      </c>
      <c r="R478">
        <v>15171856415538.1</v>
      </c>
      <c r="S478">
        <v>15171856415538.1</v>
      </c>
      <c r="T478">
        <v>14205761163444.1</v>
      </c>
      <c r="U478">
        <v>5766013239410.1201</v>
      </c>
      <c r="V478">
        <v>109500099912385</v>
      </c>
      <c r="W478">
        <v>19394233152981.898</v>
      </c>
      <c r="X478">
        <v>0.27464345026702103</v>
      </c>
      <c r="Y478">
        <v>171816163881851</v>
      </c>
      <c r="Z478">
        <v>80130700355403.297</v>
      </c>
      <c r="AA478">
        <v>0.78961266846564704</v>
      </c>
      <c r="AB478">
        <v>89431241229130.797</v>
      </c>
      <c r="AC478">
        <v>51221807878147.102</v>
      </c>
      <c r="AD478">
        <v>70616041031128.906</v>
      </c>
      <c r="AE478">
        <v>-138128642578655</v>
      </c>
      <c r="AF478">
        <v>-7274777443474.5195</v>
      </c>
      <c r="AG478">
        <v>5.5594999999999999E-2</v>
      </c>
      <c r="AH478">
        <v>-417839032561711</v>
      </c>
      <c r="AI478">
        <v>189630800267789</v>
      </c>
      <c r="AJ478">
        <v>0.06</v>
      </c>
      <c r="AK478">
        <v>0.05</v>
      </c>
      <c r="AL478">
        <v>8.8099999999999998E-2</v>
      </c>
      <c r="AM478">
        <v>3.8100000000000002E-2</v>
      </c>
      <c r="AN478">
        <v>0.89</v>
      </c>
      <c r="AO478">
        <v>0.66</v>
      </c>
      <c r="AP478">
        <v>0.42970000000000003</v>
      </c>
      <c r="AQ478">
        <v>0.57030000000000003</v>
      </c>
      <c r="AR478">
        <v>8.9999999999999993E-3</v>
      </c>
      <c r="AS478">
        <v>0.5</v>
      </c>
      <c r="AT478">
        <v>1.82</v>
      </c>
      <c r="AU478">
        <v>6.3545217126973294E-2</v>
      </c>
      <c r="AV478">
        <v>0.7893</v>
      </c>
      <c r="AW478">
        <v>3</v>
      </c>
      <c r="AX478">
        <v>0.05</v>
      </c>
      <c r="AY478">
        <v>1</v>
      </c>
      <c r="AZ478">
        <v>1</v>
      </c>
      <c r="BA478" s="2">
        <f>modelo_tese_H__2[[#This Row],[Vw]]+modelo_tese_H__2[[#This Row],[Vr]]+modelo_tese_H__2[[#This Row],[K]]-modelo_tese_H__2[[#This Row],[E]]</f>
        <v>-136522768767474.3</v>
      </c>
      <c r="BB478" s="2">
        <f>modelo_tese_H__2[[#This Row],[K]]-modelo_tese_H__2[[#This Row],[Coluna1]]</f>
        <v>308338932649325.31</v>
      </c>
      <c r="BC478">
        <f>modelo_tese_H__2[[#This Row],[Coluna2]]/modelo_tese_H__2[[#This Row],[Coluna1]]</f>
        <v>-2.2585165495323967</v>
      </c>
      <c r="BD478" s="8">
        <f>modelo_tese_H__2[[#This Row],[D]]-modelo_tese_H__2[[#This Row],[Dw]]-modelo_tese_H__2[[#This Row],[Dr]]</f>
        <v>0</v>
      </c>
    </row>
    <row r="479" spans="1:56" x14ac:dyDescent="0.25">
      <c r="A479">
        <v>478</v>
      </c>
      <c r="B479">
        <v>478</v>
      </c>
      <c r="C479">
        <v>42511688355608.797</v>
      </c>
      <c r="D479">
        <v>19836945042122.398</v>
      </c>
      <c r="E479">
        <v>17654881087488.898</v>
      </c>
      <c r="F479">
        <v>2187346983197.27</v>
      </c>
      <c r="G479">
        <v>61401820751434.297</v>
      </c>
      <c r="H479">
        <v>13760459890744.1</v>
      </c>
      <c r="I479">
        <v>33602687961430.199</v>
      </c>
      <c r="J479">
        <v>24643759332644.199</v>
      </c>
      <c r="K479">
        <v>155029325560275</v>
      </c>
      <c r="L479">
        <v>-13765742919307.9</v>
      </c>
      <c r="M479">
        <v>179673084892919</v>
      </c>
      <c r="N479">
        <v>-261394485410348</v>
      </c>
      <c r="O479">
        <v>31011020581532.5</v>
      </c>
      <c r="P479">
        <v>20467273583811.398</v>
      </c>
      <c r="Q479">
        <v>32030988052612.801</v>
      </c>
      <c r="R479">
        <v>16015494026306.4</v>
      </c>
      <c r="S479">
        <v>16015494026306.4</v>
      </c>
      <c r="T479">
        <v>14995526555226.1</v>
      </c>
      <c r="U479">
        <v>6086526161047.5098</v>
      </c>
      <c r="V479">
        <v>115586626073433</v>
      </c>
      <c r="W479">
        <v>20472714862979.898</v>
      </c>
      <c r="X479">
        <v>0.27464421522604898</v>
      </c>
      <c r="Y479">
        <v>181370783305035</v>
      </c>
      <c r="Z479">
        <v>84587921192076.797</v>
      </c>
      <c r="AA479">
        <v>0.78960947560355599</v>
      </c>
      <c r="AB479">
        <v>94404485649368.906</v>
      </c>
      <c r="AC479">
        <v>54069961545241.703</v>
      </c>
      <c r="AD479">
        <v>74542676408221.594</v>
      </c>
      <c r="AE479">
        <v>-145807859336915</v>
      </c>
      <c r="AF479">
        <v>-7679216758260.3496</v>
      </c>
      <c r="AG479">
        <v>5.5594999999999999E-2</v>
      </c>
      <c r="AH479">
        <v>-441067570303267</v>
      </c>
      <c r="AI479">
        <v>200174547265510</v>
      </c>
      <c r="AJ479">
        <v>0.06</v>
      </c>
      <c r="AK479">
        <v>0.05</v>
      </c>
      <c r="AL479">
        <v>8.8099999999999998E-2</v>
      </c>
      <c r="AM479">
        <v>3.8100000000000002E-2</v>
      </c>
      <c r="AN479">
        <v>0.89</v>
      </c>
      <c r="AO479">
        <v>0.66</v>
      </c>
      <c r="AP479">
        <v>0.42970000000000003</v>
      </c>
      <c r="AQ479">
        <v>0.57030000000000003</v>
      </c>
      <c r="AR479">
        <v>8.9999999999999993E-3</v>
      </c>
      <c r="AS479">
        <v>0.5</v>
      </c>
      <c r="AT479">
        <v>1.82</v>
      </c>
      <c r="AU479">
        <v>6.3545217126973294E-2</v>
      </c>
      <c r="AV479">
        <v>0.7893</v>
      </c>
      <c r="AW479">
        <v>3</v>
      </c>
      <c r="AX479">
        <v>0.05</v>
      </c>
      <c r="AY479">
        <v>1</v>
      </c>
      <c r="AZ479">
        <v>1</v>
      </c>
      <c r="BA479" s="2">
        <f>modelo_tese_H__2[[#This Row],[Vw]]+modelo_tese_H__2[[#This Row],[Vr]]+modelo_tese_H__2[[#This Row],[K]]-modelo_tese_H__2[[#This Row],[E]]</f>
        <v>-144110160924798.81</v>
      </c>
      <c r="BB479" s="2">
        <f>modelo_tese_H__2[[#This Row],[K]]-modelo_tese_H__2[[#This Row],[Coluna1]]</f>
        <v>325480944229833.81</v>
      </c>
      <c r="BC479">
        <f>modelo_tese_H__2[[#This Row],[Coluna2]]/modelo_tese_H__2[[#This Row],[Coluna1]]</f>
        <v>-2.2585565246830854</v>
      </c>
      <c r="BD479" s="8">
        <f>modelo_tese_H__2[[#This Row],[D]]-modelo_tese_H__2[[#This Row],[Dw]]-modelo_tese_H__2[[#This Row],[Dr]]</f>
        <v>0</v>
      </c>
    </row>
    <row r="480" spans="1:56" x14ac:dyDescent="0.25">
      <c r="A480">
        <v>479</v>
      </c>
      <c r="B480">
        <v>479</v>
      </c>
      <c r="C480">
        <v>44875564574576.797</v>
      </c>
      <c r="D480">
        <v>20940225005628.898</v>
      </c>
      <c r="E480">
        <v>18636800255009.801</v>
      </c>
      <c r="F480">
        <v>2308948702210.7202</v>
      </c>
      <c r="G480">
        <v>64815774299224.203</v>
      </c>
      <c r="H480">
        <v>14525472658370</v>
      </c>
      <c r="I480">
        <v>35471221615590.5</v>
      </c>
      <c r="J480">
        <v>26013780804281.199</v>
      </c>
      <c r="K480">
        <v>163648180914799</v>
      </c>
      <c r="L480">
        <v>-14530996609961.5</v>
      </c>
      <c r="M480">
        <v>189661961719080</v>
      </c>
      <c r="N480">
        <v>-275925482020310</v>
      </c>
      <c r="O480">
        <v>32735239545062.699</v>
      </c>
      <c r="P480">
        <v>21605258099741.398</v>
      </c>
      <c r="Q480">
        <v>33812081531993.102</v>
      </c>
      <c r="R480">
        <v>16906040765996.5</v>
      </c>
      <c r="S480">
        <v>16906040765996.5</v>
      </c>
      <c r="T480">
        <v>15829198779066.199</v>
      </c>
      <c r="U480">
        <v>6424855820079.8301</v>
      </c>
      <c r="V480">
        <v>122011481893513</v>
      </c>
      <c r="W480">
        <v>21611166391238</v>
      </c>
      <c r="X480">
        <v>0.274644972375649</v>
      </c>
      <c r="Y480">
        <v>191456703890666</v>
      </c>
      <c r="Z480">
        <v>89293046817318.297</v>
      </c>
      <c r="AA480">
        <v>0.78960631532973702</v>
      </c>
      <c r="AB480">
        <v>99654276541228.297</v>
      </c>
      <c r="AC480">
        <v>57076479715331.898</v>
      </c>
      <c r="AD480">
        <v>78687646106569.906</v>
      </c>
      <c r="AE480">
        <v>-153914000126797</v>
      </c>
      <c r="AF480">
        <v>-8106140789881.6797</v>
      </c>
      <c r="AG480">
        <v>5.5594999999999999E-2</v>
      </c>
      <c r="AH480">
        <v>-465587443739389</v>
      </c>
      <c r="AI480">
        <v>211304528710831</v>
      </c>
      <c r="AJ480">
        <v>0.06</v>
      </c>
      <c r="AK480">
        <v>0.05</v>
      </c>
      <c r="AL480">
        <v>8.8099999999999998E-2</v>
      </c>
      <c r="AM480">
        <v>3.8100000000000002E-2</v>
      </c>
      <c r="AN480">
        <v>0.89</v>
      </c>
      <c r="AO480">
        <v>0.66</v>
      </c>
      <c r="AP480">
        <v>0.42970000000000003</v>
      </c>
      <c r="AQ480">
        <v>0.57030000000000003</v>
      </c>
      <c r="AR480">
        <v>8.9999999999999993E-3</v>
      </c>
      <c r="AS480">
        <v>0.5</v>
      </c>
      <c r="AT480">
        <v>1.82</v>
      </c>
      <c r="AU480">
        <v>6.3545217126973294E-2</v>
      </c>
      <c r="AV480">
        <v>0.7893</v>
      </c>
      <c r="AW480">
        <v>3</v>
      </c>
      <c r="AX480">
        <v>0.05</v>
      </c>
      <c r="AY480">
        <v>1</v>
      </c>
      <c r="AZ480">
        <v>1</v>
      </c>
      <c r="BA480" s="2">
        <f>modelo_tese_H__2[[#This Row],[Vw]]+modelo_tese_H__2[[#This Row],[Vr]]+modelo_tese_H__2[[#This Row],[K]]-modelo_tese_H__2[[#This Row],[E]]</f>
        <v>-152119257955210.31</v>
      </c>
      <c r="BB480" s="2">
        <f>modelo_tese_H__2[[#This Row],[K]]-modelo_tese_H__2[[#This Row],[Coluna1]]</f>
        <v>343575961845876.31</v>
      </c>
      <c r="BC480">
        <f>modelo_tese_H__2[[#This Row],[Coluna2]]/modelo_tese_H__2[[#This Row],[Coluna1]]</f>
        <v>-2.2585960940398362</v>
      </c>
      <c r="BD480" s="8">
        <f>modelo_tese_H__2[[#This Row],[D]]-modelo_tese_H__2[[#This Row],[Dw]]-modelo_tese_H__2[[#This Row],[Dr]]</f>
        <v>0</v>
      </c>
    </row>
    <row r="481" spans="1:56" x14ac:dyDescent="0.25">
      <c r="A481">
        <v>480</v>
      </c>
      <c r="B481">
        <v>480</v>
      </c>
      <c r="C481">
        <v>47370880171943.797</v>
      </c>
      <c r="D481">
        <v>22104861772216.699</v>
      </c>
      <c r="E481">
        <v>19673326977272.898</v>
      </c>
      <c r="F481">
        <v>2437310696764.1001</v>
      </c>
      <c r="G481">
        <v>68419540912554.898</v>
      </c>
      <c r="H481">
        <v>15333016310812</v>
      </c>
      <c r="I481">
        <v>37443653984849.102</v>
      </c>
      <c r="J481">
        <v>27459966452402.199</v>
      </c>
      <c r="K481">
        <v>172746201532757</v>
      </c>
      <c r="L481">
        <v>-15338792212632.301</v>
      </c>
      <c r="M481">
        <v>200206167985159</v>
      </c>
      <c r="N481">
        <v>-291264274232942</v>
      </c>
      <c r="O481">
        <v>34555323693209.5</v>
      </c>
      <c r="P481">
        <v>22806513637518.301</v>
      </c>
      <c r="Q481">
        <v>35692209731517.203</v>
      </c>
      <c r="R481">
        <v>17846104865758.602</v>
      </c>
      <c r="S481">
        <v>17846104865758.602</v>
      </c>
      <c r="T481">
        <v>16709218827450.9</v>
      </c>
      <c r="U481">
        <v>6781992640356.1904</v>
      </c>
      <c r="V481">
        <v>128793474533869</v>
      </c>
      <c r="W481">
        <v>22812922281093.699</v>
      </c>
      <c r="X481">
        <v>0.27464572179548702</v>
      </c>
      <c r="Y481">
        <v>202103468352612</v>
      </c>
      <c r="Z481">
        <v>94259864232653.406</v>
      </c>
      <c r="AA481">
        <v>0.78960318731189305</v>
      </c>
      <c r="AB481">
        <v>105195991148717</v>
      </c>
      <c r="AC481">
        <v>60250167622367.297</v>
      </c>
      <c r="AD481">
        <v>83063089903461</v>
      </c>
      <c r="AE481">
        <v>-162470799699073</v>
      </c>
      <c r="AF481">
        <v>-8556799572276.1201</v>
      </c>
      <c r="AG481">
        <v>5.5594999999999999E-2</v>
      </c>
      <c r="AH481">
        <v>-491470442218101</v>
      </c>
      <c r="AI481">
        <v>223053338766522</v>
      </c>
      <c r="AJ481">
        <v>0.06</v>
      </c>
      <c r="AK481">
        <v>0.05</v>
      </c>
      <c r="AL481">
        <v>8.8099999999999998E-2</v>
      </c>
      <c r="AM481">
        <v>3.8100000000000002E-2</v>
      </c>
      <c r="AN481">
        <v>0.89</v>
      </c>
      <c r="AO481">
        <v>0.66</v>
      </c>
      <c r="AP481">
        <v>0.42970000000000003</v>
      </c>
      <c r="AQ481">
        <v>0.57030000000000003</v>
      </c>
      <c r="AR481">
        <v>8.9999999999999993E-3</v>
      </c>
      <c r="AS481">
        <v>0.5</v>
      </c>
      <c r="AT481">
        <v>1.82</v>
      </c>
      <c r="AU481">
        <v>6.3545217126973294E-2</v>
      </c>
      <c r="AV481">
        <v>0.7893</v>
      </c>
      <c r="AW481">
        <v>3</v>
      </c>
      <c r="AX481">
        <v>0.05</v>
      </c>
      <c r="AY481">
        <v>1</v>
      </c>
      <c r="AZ481">
        <v>1</v>
      </c>
      <c r="BA481" s="2">
        <f>modelo_tese_H__2[[#This Row],[Vw]]+modelo_tese_H__2[[#This Row],[Vr]]+modelo_tese_H__2[[#This Row],[K]]-modelo_tese_H__2[[#This Row],[E]]</f>
        <v>-160573499331620.41</v>
      </c>
      <c r="BB481" s="2">
        <f>modelo_tese_H__2[[#This Row],[K]]-modelo_tese_H__2[[#This Row],[Coluna1]]</f>
        <v>362676967684232.38</v>
      </c>
      <c r="BC481">
        <f>modelo_tese_H__2[[#This Row],[Coluna2]]/modelo_tese_H__2[[#This Row],[Coluna1]]</f>
        <v>-2.2586352616954732</v>
      </c>
      <c r="BD481" s="8">
        <f>modelo_tese_H__2[[#This Row],[D]]-modelo_tese_H__2[[#This Row],[Dw]]-modelo_tese_H__2[[#This Row],[Dr]]</f>
        <v>0</v>
      </c>
    </row>
    <row r="482" spans="1:56" x14ac:dyDescent="0.25">
      <c r="A482">
        <v>481</v>
      </c>
      <c r="B482">
        <v>481</v>
      </c>
      <c r="C482">
        <v>50004943402245.602</v>
      </c>
      <c r="D482">
        <v>23334267367909.602</v>
      </c>
      <c r="E482">
        <v>20767497957439.602</v>
      </c>
      <c r="F482">
        <v>2572808796663.5298</v>
      </c>
      <c r="G482">
        <v>72223673890710.203</v>
      </c>
      <c r="H482">
        <v>16185455352611.6</v>
      </c>
      <c r="I482">
        <v>39525762106714.703</v>
      </c>
      <c r="J482">
        <v>28986550527229.199</v>
      </c>
      <c r="K482">
        <v>182350026606970</v>
      </c>
      <c r="L482">
        <v>-16191494738805.1</v>
      </c>
      <c r="M482">
        <v>211336577134200</v>
      </c>
      <c r="N482">
        <v>-307455768971747</v>
      </c>
      <c r="O482">
        <v>36476602975106.203</v>
      </c>
      <c r="P482">
        <v>24074557963570.102</v>
      </c>
      <c r="Q482">
        <v>37676879151227.297</v>
      </c>
      <c r="R482">
        <v>18838439575613.699</v>
      </c>
      <c r="S482">
        <v>18838439575613.699</v>
      </c>
      <c r="T482">
        <v>17638163399492.5</v>
      </c>
      <c r="U482">
        <v>7158982103961.6602</v>
      </c>
      <c r="V482">
        <v>135952456637831</v>
      </c>
      <c r="W482">
        <v>24081502483188.102</v>
      </c>
      <c r="X482">
        <v>0.27464646356441702</v>
      </c>
      <c r="Y482">
        <v>213342262057219</v>
      </c>
      <c r="Z482">
        <v>99502927140227.797</v>
      </c>
      <c r="AA482">
        <v>0.78960009122108599</v>
      </c>
      <c r="AB482">
        <v>111045861732205</v>
      </c>
      <c r="AC482">
        <v>63600320070284.797</v>
      </c>
      <c r="AD482">
        <v>87681822553472.906</v>
      </c>
      <c r="AE482">
        <v>-171503312333916</v>
      </c>
      <c r="AF482">
        <v>-9032512634843.4707</v>
      </c>
      <c r="AG482">
        <v>5.5594999999999999E-2</v>
      </c>
      <c r="AH482">
        <v>-518792346105947</v>
      </c>
      <c r="AI482">
        <v>235455383778058</v>
      </c>
      <c r="AJ482">
        <v>0.06</v>
      </c>
      <c r="AK482">
        <v>0.05</v>
      </c>
      <c r="AL482">
        <v>8.8099999999999998E-2</v>
      </c>
      <c r="AM482">
        <v>3.8100000000000002E-2</v>
      </c>
      <c r="AN482">
        <v>0.89</v>
      </c>
      <c r="AO482">
        <v>0.66</v>
      </c>
      <c r="AP482">
        <v>0.42970000000000003</v>
      </c>
      <c r="AQ482">
        <v>0.57030000000000003</v>
      </c>
      <c r="AR482">
        <v>8.9999999999999993E-3</v>
      </c>
      <c r="AS482">
        <v>0.5</v>
      </c>
      <c r="AT482">
        <v>1.82</v>
      </c>
      <c r="AU482">
        <v>6.3545217126973294E-2</v>
      </c>
      <c r="AV482">
        <v>0.7893</v>
      </c>
      <c r="AW482">
        <v>3</v>
      </c>
      <c r="AX482">
        <v>0.05</v>
      </c>
      <c r="AY482">
        <v>1</v>
      </c>
      <c r="AZ482">
        <v>1</v>
      </c>
      <c r="BA482" s="2">
        <f>modelo_tese_H__2[[#This Row],[Vw]]+modelo_tese_H__2[[#This Row],[Vr]]+modelo_tese_H__2[[#This Row],[K]]-modelo_tese_H__2[[#This Row],[E]]</f>
        <v>-169497627410897.81</v>
      </c>
      <c r="BB482" s="2">
        <f>modelo_tese_H__2[[#This Row],[K]]-modelo_tese_H__2[[#This Row],[Coluna1]]</f>
        <v>382839889468116.81</v>
      </c>
      <c r="BC482">
        <f>modelo_tese_H__2[[#This Row],[Coluna2]]/modelo_tese_H__2[[#This Row],[Coluna1]]</f>
        <v>-2.2586740317021228</v>
      </c>
      <c r="BD482" s="8">
        <f>modelo_tese_H__2[[#This Row],[D]]-modelo_tese_H__2[[#This Row],[Dw]]-modelo_tese_H__2[[#This Row],[Dr]]</f>
        <v>0</v>
      </c>
    </row>
    <row r="483" spans="1:56" x14ac:dyDescent="0.25">
      <c r="A483">
        <v>482</v>
      </c>
      <c r="B483">
        <v>482</v>
      </c>
      <c r="C483">
        <v>52785468861980.5</v>
      </c>
      <c r="D483">
        <v>24632043550419.5</v>
      </c>
      <c r="E483">
        <v>21922518759873.398</v>
      </c>
      <c r="F483">
        <v>2715839725627.5</v>
      </c>
      <c r="G483">
        <v>76239313272423.203</v>
      </c>
      <c r="H483">
        <v>17085285742940.1</v>
      </c>
      <c r="I483">
        <v>41723644228440.898</v>
      </c>
      <c r="J483">
        <v>30598002677769.301</v>
      </c>
      <c r="K483">
        <v>192487776336185</v>
      </c>
      <c r="L483">
        <v>-17091600678021.4</v>
      </c>
      <c r="M483">
        <v>223085779013954</v>
      </c>
      <c r="N483">
        <v>-324547369649769</v>
      </c>
      <c r="O483">
        <v>38504703672941</v>
      </c>
      <c r="P483">
        <v>25413104424141.102</v>
      </c>
      <c r="Q483">
        <v>39771902454836.102</v>
      </c>
      <c r="R483">
        <v>19885951227418.102</v>
      </c>
      <c r="S483">
        <v>19885951227418.102</v>
      </c>
      <c r="T483">
        <v>18618752445523</v>
      </c>
      <c r="U483">
        <v>7556927811983.4199</v>
      </c>
      <c r="V483">
        <v>143509384449814</v>
      </c>
      <c r="W483">
        <v>25420622664234.602</v>
      </c>
      <c r="X483">
        <v>0.27464719776049001</v>
      </c>
      <c r="Y483">
        <v>225206004356668</v>
      </c>
      <c r="Z483">
        <v>105037598577044</v>
      </c>
      <c r="AA483">
        <v>0.78959702673175003</v>
      </c>
      <c r="AB483">
        <v>117221023108362</v>
      </c>
      <c r="AC483">
        <v>67136748652582</v>
      </c>
      <c r="AD483">
        <v>92557371316816.594</v>
      </c>
      <c r="AE483">
        <v>-181037985199955</v>
      </c>
      <c r="AF483">
        <v>-9534672866038.0195</v>
      </c>
      <c r="AG483">
        <v>5.5594999999999999E-2</v>
      </c>
      <c r="AH483">
        <v>-547633148663723</v>
      </c>
      <c r="AI483">
        <v>248546983026858</v>
      </c>
      <c r="AJ483">
        <v>0.06</v>
      </c>
      <c r="AK483">
        <v>0.05</v>
      </c>
      <c r="AL483">
        <v>8.8099999999999998E-2</v>
      </c>
      <c r="AM483">
        <v>3.8100000000000002E-2</v>
      </c>
      <c r="AN483">
        <v>0.89</v>
      </c>
      <c r="AO483">
        <v>0.66</v>
      </c>
      <c r="AP483">
        <v>0.42970000000000003</v>
      </c>
      <c r="AQ483">
        <v>0.57030000000000003</v>
      </c>
      <c r="AR483">
        <v>8.9999999999999993E-3</v>
      </c>
      <c r="AS483">
        <v>0.5</v>
      </c>
      <c r="AT483">
        <v>1.82</v>
      </c>
      <c r="AU483">
        <v>6.3545217126973294E-2</v>
      </c>
      <c r="AV483">
        <v>0.7893</v>
      </c>
      <c r="AW483">
        <v>3</v>
      </c>
      <c r="AX483">
        <v>0.05</v>
      </c>
      <c r="AY483">
        <v>1</v>
      </c>
      <c r="AZ483">
        <v>1</v>
      </c>
      <c r="BA483" s="2">
        <f>modelo_tese_H__2[[#This Row],[Vw]]+modelo_tese_H__2[[#This Row],[Vr]]+modelo_tese_H__2[[#This Row],[K]]-modelo_tese_H__2[[#This Row],[E]]</f>
        <v>-178917759857241</v>
      </c>
      <c r="BB483" s="2">
        <f>modelo_tese_H__2[[#This Row],[K]]-modelo_tese_H__2[[#This Row],[Coluna1]]</f>
        <v>404123764213909</v>
      </c>
      <c r="BC483">
        <f>modelo_tese_H__2[[#This Row],[Coluna2]]/modelo_tese_H__2[[#This Row],[Coluna1]]</f>
        <v>-2.2587124080715104</v>
      </c>
      <c r="BD483" s="8">
        <f>modelo_tese_H__2[[#This Row],[D]]-modelo_tese_H__2[[#This Row],[Dw]]-modelo_tese_H__2[[#This Row],[Dr]]</f>
        <v>0</v>
      </c>
    </row>
    <row r="484" spans="1:56" x14ac:dyDescent="0.25">
      <c r="A484">
        <v>483</v>
      </c>
      <c r="B484">
        <v>483</v>
      </c>
      <c r="C484">
        <v>55720600081963.898</v>
      </c>
      <c r="D484">
        <v>26001992359077.398</v>
      </c>
      <c r="E484">
        <v>23141773199578.898</v>
      </c>
      <c r="F484">
        <v>2866822262868.3398</v>
      </c>
      <c r="G484">
        <v>80478218456945.797</v>
      </c>
      <c r="H484">
        <v>18035142203818.801</v>
      </c>
      <c r="I484">
        <v>44043737666266.102</v>
      </c>
      <c r="J484">
        <v>32299041038614.602</v>
      </c>
      <c r="K484">
        <v>203189134261595</v>
      </c>
      <c r="L484">
        <v>-18041745307188.699</v>
      </c>
      <c r="M484">
        <v>235488175300210</v>
      </c>
      <c r="N484">
        <v>-342589114956957</v>
      </c>
      <c r="O484">
        <v>40645564877245.297</v>
      </c>
      <c r="P484">
        <v>26826072818981.898</v>
      </c>
      <c r="Q484">
        <v>41983415492231.898</v>
      </c>
      <c r="R484">
        <v>20991707746116</v>
      </c>
      <c r="S484">
        <v>20991707746116</v>
      </c>
      <c r="T484">
        <v>19653857131129.398</v>
      </c>
      <c r="U484">
        <v>7976994715431.5898</v>
      </c>
      <c r="V484">
        <v>151486379165246</v>
      </c>
      <c r="W484">
        <v>26834205088947.801</v>
      </c>
      <c r="X484">
        <v>0.27464792446096198</v>
      </c>
      <c r="Y484">
        <v>237729445000474</v>
      </c>
      <c r="Z484">
        <v>110880095919876</v>
      </c>
      <c r="AA484">
        <v>0.78959399352165205</v>
      </c>
      <c r="AB484">
        <v>123739562833334</v>
      </c>
      <c r="AC484">
        <v>70869810485248</v>
      </c>
      <c r="AD484">
        <v>97704015574195.797</v>
      </c>
      <c r="AE484">
        <v>-191102735791712</v>
      </c>
      <c r="AF484">
        <v>-10064750591757.1</v>
      </c>
      <c r="AG484">
        <v>5.5594999999999999E-2</v>
      </c>
      <c r="AH484">
        <v>-578077290257167</v>
      </c>
      <c r="AI484">
        <v>262366475085122</v>
      </c>
      <c r="AJ484">
        <v>0.06</v>
      </c>
      <c r="AK484">
        <v>0.05</v>
      </c>
      <c r="AL484">
        <v>8.8099999999999998E-2</v>
      </c>
      <c r="AM484">
        <v>3.8100000000000002E-2</v>
      </c>
      <c r="AN484">
        <v>0.89</v>
      </c>
      <c r="AO484">
        <v>0.66</v>
      </c>
      <c r="AP484">
        <v>0.42970000000000003</v>
      </c>
      <c r="AQ484">
        <v>0.57030000000000003</v>
      </c>
      <c r="AR484">
        <v>8.9999999999999993E-3</v>
      </c>
      <c r="AS484">
        <v>0.5</v>
      </c>
      <c r="AT484">
        <v>1.82</v>
      </c>
      <c r="AU484">
        <v>6.3545217126973294E-2</v>
      </c>
      <c r="AV484">
        <v>0.7893</v>
      </c>
      <c r="AW484">
        <v>3</v>
      </c>
      <c r="AX484">
        <v>0.05</v>
      </c>
      <c r="AY484">
        <v>1</v>
      </c>
      <c r="AZ484">
        <v>1</v>
      </c>
      <c r="BA484" s="2">
        <f>modelo_tese_H__2[[#This Row],[Vw]]+modelo_tese_H__2[[#This Row],[Vr]]+modelo_tese_H__2[[#This Row],[K]]-modelo_tese_H__2[[#This Row],[E]]</f>
        <v>-188861466091447</v>
      </c>
      <c r="BB484" s="2">
        <f>modelo_tese_H__2[[#This Row],[K]]-modelo_tese_H__2[[#This Row],[Coluna1]]</f>
        <v>426590911091921</v>
      </c>
      <c r="BC484">
        <f>modelo_tese_H__2[[#This Row],[Coluna2]]/modelo_tese_H__2[[#This Row],[Coluna1]]</f>
        <v>-2.2587503947754226</v>
      </c>
      <c r="BD484" s="8">
        <f>modelo_tese_H__2[[#This Row],[D]]-modelo_tese_H__2[[#This Row],[Dw]]-modelo_tese_H__2[[#This Row],[Dr]]</f>
        <v>-1</v>
      </c>
    </row>
    <row r="485" spans="1:56" x14ac:dyDescent="0.25">
      <c r="A485">
        <v>484</v>
      </c>
      <c r="B485">
        <v>484</v>
      </c>
      <c r="C485">
        <v>58818933375781.797</v>
      </c>
      <c r="D485">
        <v>27448127251366.199</v>
      </c>
      <c r="E485">
        <v>24428833253715.898</v>
      </c>
      <c r="F485">
        <v>3026198469251.3301</v>
      </c>
      <c r="G485">
        <v>84952802638742.5</v>
      </c>
      <c r="H485">
        <v>19037805934640.199</v>
      </c>
      <c r="I485">
        <v>46492837657607.398</v>
      </c>
      <c r="J485">
        <v>34094646044294.699</v>
      </c>
      <c r="K485">
        <v>214485434180869</v>
      </c>
      <c r="L485">
        <v>-19044710406241.199</v>
      </c>
      <c r="M485">
        <v>248580080225163</v>
      </c>
      <c r="N485">
        <v>-361633825363198</v>
      </c>
      <c r="O485">
        <v>42905455878152.797</v>
      </c>
      <c r="P485">
        <v>28317600879580.801</v>
      </c>
      <c r="Q485">
        <v>44317895268408.602</v>
      </c>
      <c r="R485">
        <v>22158947634204.301</v>
      </c>
      <c r="S485">
        <v>22158947634204.301</v>
      </c>
      <c r="T485">
        <v>20746508243948.5</v>
      </c>
      <c r="U485">
        <v>8420412525774.1104</v>
      </c>
      <c r="V485">
        <v>159906791691020</v>
      </c>
      <c r="W485">
        <v>28326390107002.199</v>
      </c>
      <c r="X485">
        <v>0.27464864374230202</v>
      </c>
      <c r="Y485">
        <v>250949265907446</v>
      </c>
      <c r="Z485">
        <v>117047538392674</v>
      </c>
      <c r="AA485">
        <v>0.78959099127183296</v>
      </c>
      <c r="AB485">
        <v>130620574176084</v>
      </c>
      <c r="AC485">
        <v>74810438537188.203</v>
      </c>
      <c r="AD485">
        <v>103136828644190</v>
      </c>
      <c r="AE485">
        <v>-201727033672179</v>
      </c>
      <c r="AF485">
        <v>-10624297880467.1</v>
      </c>
      <c r="AG485">
        <v>5.5594999999999999E-2</v>
      </c>
      <c r="AH485">
        <v>-610213905588362</v>
      </c>
      <c r="AI485">
        <v>276954330083694</v>
      </c>
      <c r="AJ485">
        <v>0.06</v>
      </c>
      <c r="AK485">
        <v>0.05</v>
      </c>
      <c r="AL485">
        <v>8.8099999999999998E-2</v>
      </c>
      <c r="AM485">
        <v>3.8100000000000002E-2</v>
      </c>
      <c r="AN485">
        <v>0.89</v>
      </c>
      <c r="AO485">
        <v>0.66</v>
      </c>
      <c r="AP485">
        <v>0.42970000000000003</v>
      </c>
      <c r="AQ485">
        <v>0.57030000000000003</v>
      </c>
      <c r="AR485">
        <v>8.9999999999999993E-3</v>
      </c>
      <c r="AS485">
        <v>0.5</v>
      </c>
      <c r="AT485">
        <v>1.82</v>
      </c>
      <c r="AU485">
        <v>6.3545217126973294E-2</v>
      </c>
      <c r="AV485">
        <v>0.7893</v>
      </c>
      <c r="AW485">
        <v>3</v>
      </c>
      <c r="AX485">
        <v>0.05</v>
      </c>
      <c r="AY485">
        <v>1</v>
      </c>
      <c r="AZ485">
        <v>1</v>
      </c>
      <c r="BA485" s="2">
        <f>modelo_tese_H__2[[#This Row],[Vw]]+modelo_tese_H__2[[#This Row],[Vr]]+modelo_tese_H__2[[#This Row],[K]]-modelo_tese_H__2[[#This Row],[E]]</f>
        <v>-199357847989896</v>
      </c>
      <c r="BB485" s="2">
        <f>modelo_tese_H__2[[#This Row],[K]]-modelo_tese_H__2[[#This Row],[Coluna1]]</f>
        <v>450307113897342</v>
      </c>
      <c r="BC485">
        <f>modelo_tese_H__2[[#This Row],[Coluna2]]/modelo_tese_H__2[[#This Row],[Coluna1]]</f>
        <v>-2.2587879957460455</v>
      </c>
      <c r="BD485" s="8">
        <f>modelo_tese_H__2[[#This Row],[D]]-modelo_tese_H__2[[#This Row],[Dw]]-modelo_tese_H__2[[#This Row],[Dr]]</f>
        <v>-1</v>
      </c>
    </row>
    <row r="486" spans="1:56" x14ac:dyDescent="0.25">
      <c r="A486">
        <v>485</v>
      </c>
      <c r="B486">
        <v>485</v>
      </c>
      <c r="C486">
        <v>62089543014184.398</v>
      </c>
      <c r="D486">
        <v>28974684858674.699</v>
      </c>
      <c r="E486">
        <v>25787469524220.5</v>
      </c>
      <c r="F486">
        <v>3194434981621.1802</v>
      </c>
      <c r="G486">
        <v>89676169156644</v>
      </c>
      <c r="H486">
        <v>20096212755576.5</v>
      </c>
      <c r="I486">
        <v>49078117261418.102</v>
      </c>
      <c r="J486">
        <v>35990075011628.297</v>
      </c>
      <c r="K486">
        <v>226409751894154</v>
      </c>
      <c r="L486">
        <v>-20103432402743.398</v>
      </c>
      <c r="M486">
        <v>262399826905782</v>
      </c>
      <c r="N486">
        <v>-381737257765942</v>
      </c>
      <c r="O486">
        <v>45290994523557.602</v>
      </c>
      <c r="P486">
        <v>29892056385548</v>
      </c>
      <c r="Q486">
        <v>46782178911441.398</v>
      </c>
      <c r="R486">
        <v>23391089455720.699</v>
      </c>
      <c r="S486">
        <v>23391089455720.699</v>
      </c>
      <c r="T486">
        <v>21899905067836.898</v>
      </c>
      <c r="U486">
        <v>8888479315070.6191</v>
      </c>
      <c r="V486">
        <v>168795271006090</v>
      </c>
      <c r="W486">
        <v>29901548278659.699</v>
      </c>
      <c r="X486">
        <v>0.27464935568019899</v>
      </c>
      <c r="Y486">
        <v>264904188596162</v>
      </c>
      <c r="Z486">
        <v>123557997215613</v>
      </c>
      <c r="AA486">
        <v>0.789588019666567</v>
      </c>
      <c r="AB486">
        <v>137884212037058</v>
      </c>
      <c r="AC486">
        <v>78970173646966.094</v>
      </c>
      <c r="AD486">
        <v>108871721925626</v>
      </c>
      <c r="AE486">
        <v>-212941986759852</v>
      </c>
      <c r="AF486">
        <v>-11214953087672.801</v>
      </c>
      <c r="AG486">
        <v>5.5594999999999999E-2</v>
      </c>
      <c r="AH486">
        <v>-644137084671724</v>
      </c>
      <c r="AI486">
        <v>292353268221703</v>
      </c>
      <c r="AJ486">
        <v>0.06</v>
      </c>
      <c r="AK486">
        <v>0.05</v>
      </c>
      <c r="AL486">
        <v>8.8099999999999998E-2</v>
      </c>
      <c r="AM486">
        <v>3.8100000000000002E-2</v>
      </c>
      <c r="AN486">
        <v>0.89</v>
      </c>
      <c r="AO486">
        <v>0.66</v>
      </c>
      <c r="AP486">
        <v>0.42970000000000003</v>
      </c>
      <c r="AQ486">
        <v>0.57030000000000003</v>
      </c>
      <c r="AR486">
        <v>8.9999999999999993E-3</v>
      </c>
      <c r="AS486">
        <v>0.5</v>
      </c>
      <c r="AT486">
        <v>1.82</v>
      </c>
      <c r="AU486">
        <v>6.3545217126973294E-2</v>
      </c>
      <c r="AV486">
        <v>0.7893</v>
      </c>
      <c r="AW486">
        <v>3</v>
      </c>
      <c r="AX486">
        <v>0.05</v>
      </c>
      <c r="AY486">
        <v>1</v>
      </c>
      <c r="AZ486">
        <v>1</v>
      </c>
      <c r="BA486" s="2">
        <f>modelo_tese_H__2[[#This Row],[Vw]]+modelo_tese_H__2[[#This Row],[Vr]]+modelo_tese_H__2[[#This Row],[K]]-modelo_tese_H__2[[#This Row],[E]]</f>
        <v>-210437625069472</v>
      </c>
      <c r="BB486" s="2">
        <f>modelo_tese_H__2[[#This Row],[K]]-modelo_tese_H__2[[#This Row],[Coluna1]]</f>
        <v>475341813665634</v>
      </c>
      <c r="BC486">
        <f>modelo_tese_H__2[[#This Row],[Coluna2]]/modelo_tese_H__2[[#This Row],[Coluna1]]</f>
        <v>-2.2588252148764218</v>
      </c>
      <c r="BD486" s="8">
        <f>modelo_tese_H__2[[#This Row],[D]]-modelo_tese_H__2[[#This Row],[Dw]]-modelo_tese_H__2[[#This Row],[Dr]]</f>
        <v>0</v>
      </c>
    </row>
    <row r="487" spans="1:56" x14ac:dyDescent="0.25">
      <c r="A487">
        <v>486</v>
      </c>
      <c r="B487">
        <v>486</v>
      </c>
      <c r="C487">
        <v>65542007799136.703</v>
      </c>
      <c r="D487">
        <v>30586137395701.5</v>
      </c>
      <c r="E487">
        <v>27221662282174.301</v>
      </c>
      <c r="F487">
        <v>3372024379085.98</v>
      </c>
      <c r="G487">
        <v>94662149863893.906</v>
      </c>
      <c r="H487">
        <v>21213461703722.699</v>
      </c>
      <c r="I487">
        <v>51807148364983.102</v>
      </c>
      <c r="J487">
        <v>37990877532771.203</v>
      </c>
      <c r="K487">
        <v>238997002050709</v>
      </c>
      <c r="L487">
        <v>-21221010969281.602</v>
      </c>
      <c r="M487">
        <v>276987879583481</v>
      </c>
      <c r="N487">
        <v>-402958268735223</v>
      </c>
      <c r="O487">
        <v>47809166597926.203</v>
      </c>
      <c r="P487">
        <v>31554049954631.301</v>
      </c>
      <c r="Q487">
        <v>49383483695053.602</v>
      </c>
      <c r="R487">
        <v>24691741847526.801</v>
      </c>
      <c r="S487">
        <v>24691741847526.801</v>
      </c>
      <c r="T487">
        <v>23117424750399.398</v>
      </c>
      <c r="U487">
        <v>9382565316245.7207</v>
      </c>
      <c r="V487">
        <v>178177836322336</v>
      </c>
      <c r="W487">
        <v>31564293174576</v>
      </c>
      <c r="X487">
        <v>0.27465006034957201</v>
      </c>
      <c r="Y487">
        <v>279635087588550</v>
      </c>
      <c r="Z487">
        <v>130430548542662</v>
      </c>
      <c r="AA487">
        <v>0.78958507839334502</v>
      </c>
      <c r="AB487">
        <v>145551751975913</v>
      </c>
      <c r="AC487">
        <v>83361198319614.297</v>
      </c>
      <c r="AD487">
        <v>114925491494190</v>
      </c>
      <c r="AE487">
        <v>-224780432412887</v>
      </c>
      <c r="AF487">
        <v>-11838445653035.801</v>
      </c>
      <c r="AG487">
        <v>5.5594999999999999E-2</v>
      </c>
      <c r="AH487">
        <v>-679946148318704</v>
      </c>
      <c r="AI487">
        <v>308608384864998</v>
      </c>
      <c r="AJ487">
        <v>0.06</v>
      </c>
      <c r="AK487">
        <v>0.05</v>
      </c>
      <c r="AL487">
        <v>8.8099999999999998E-2</v>
      </c>
      <c r="AM487">
        <v>3.8100000000000002E-2</v>
      </c>
      <c r="AN487">
        <v>0.89</v>
      </c>
      <c r="AO487">
        <v>0.66</v>
      </c>
      <c r="AP487">
        <v>0.42970000000000003</v>
      </c>
      <c r="AQ487">
        <v>0.57030000000000003</v>
      </c>
      <c r="AR487">
        <v>8.9999999999999993E-3</v>
      </c>
      <c r="AS487">
        <v>0.5</v>
      </c>
      <c r="AT487">
        <v>1.82</v>
      </c>
      <c r="AU487">
        <v>6.3545217126973294E-2</v>
      </c>
      <c r="AV487">
        <v>0.7893</v>
      </c>
      <c r="AW487">
        <v>3</v>
      </c>
      <c r="AX487">
        <v>0.05</v>
      </c>
      <c r="AY487">
        <v>1</v>
      </c>
      <c r="AZ487">
        <v>1</v>
      </c>
      <c r="BA487" s="2">
        <f>modelo_tese_H__2[[#This Row],[Vw]]+modelo_tese_H__2[[#This Row],[Vr]]+modelo_tese_H__2[[#This Row],[K]]-modelo_tese_H__2[[#This Row],[E]]</f>
        <v>-222133224407818</v>
      </c>
      <c r="BB487" s="2">
        <f>modelo_tese_H__2[[#This Row],[K]]-modelo_tese_H__2[[#This Row],[Coluna1]]</f>
        <v>501768311996368</v>
      </c>
      <c r="BC487">
        <f>modelo_tese_H__2[[#This Row],[Coluna2]]/modelo_tese_H__2[[#This Row],[Coluna1]]</f>
        <v>-2.2588620560207753</v>
      </c>
      <c r="BD487" s="8">
        <f>modelo_tese_H__2[[#This Row],[D]]-modelo_tese_H__2[[#This Row],[Dw]]-modelo_tese_H__2[[#This Row],[Dr]]</f>
        <v>0</v>
      </c>
    </row>
    <row r="488" spans="1:56" x14ac:dyDescent="0.25">
      <c r="A488">
        <v>487</v>
      </c>
      <c r="B488">
        <v>487</v>
      </c>
      <c r="C488">
        <v>69186439115347.898</v>
      </c>
      <c r="D488">
        <v>32287205759854.602</v>
      </c>
      <c r="E488">
        <v>28735613126270.602</v>
      </c>
      <c r="F488">
        <v>3559486625258.8301</v>
      </c>
      <c r="G488">
        <v>99925345631447.297</v>
      </c>
      <c r="H488">
        <v>22392824107141.199</v>
      </c>
      <c r="I488">
        <v>54687923858670.703</v>
      </c>
      <c r="J488">
        <v>40102911724031.5</v>
      </c>
      <c r="K488">
        <v>252284040379719</v>
      </c>
      <c r="L488">
        <v>-22400718098816</v>
      </c>
      <c r="M488">
        <v>292386952103750</v>
      </c>
      <c r="N488">
        <v>-425358986834039</v>
      </c>
      <c r="O488">
        <v>50467346278508.703</v>
      </c>
      <c r="P488">
        <v>33308448543815.801</v>
      </c>
      <c r="Q488">
        <v>52129428174408.203</v>
      </c>
      <c r="R488">
        <v>26064714087204.102</v>
      </c>
      <c r="S488">
        <v>26064714087204.102</v>
      </c>
      <c r="T488">
        <v>24402632191304.602</v>
      </c>
      <c r="U488">
        <v>9904116934627.4199</v>
      </c>
      <c r="V488">
        <v>188081953256963</v>
      </c>
      <c r="W488">
        <v>33319494887269.602</v>
      </c>
      <c r="X488">
        <v>0.27465075782457798</v>
      </c>
      <c r="Y488">
        <v>295185110118685</v>
      </c>
      <c r="Z488">
        <v>137685329342728</v>
      </c>
      <c r="AA488">
        <v>0.78958216714287699</v>
      </c>
      <c r="AB488">
        <v>153645652521182</v>
      </c>
      <c r="AC488">
        <v>87996372402486.406</v>
      </c>
      <c r="AD488">
        <v>121315867289756</v>
      </c>
      <c r="AE488">
        <v>-237277033577076</v>
      </c>
      <c r="AF488">
        <v>-12496601164188.6</v>
      </c>
      <c r="AG488">
        <v>5.5594999999999999E-2</v>
      </c>
      <c r="AH488">
        <v>-717745938937790</v>
      </c>
      <c r="AI488">
        <v>325767282599691</v>
      </c>
      <c r="AJ488">
        <v>0.06</v>
      </c>
      <c r="AK488">
        <v>0.05</v>
      </c>
      <c r="AL488">
        <v>8.8099999999999998E-2</v>
      </c>
      <c r="AM488">
        <v>3.8100000000000002E-2</v>
      </c>
      <c r="AN488">
        <v>0.89</v>
      </c>
      <c r="AO488">
        <v>0.66</v>
      </c>
      <c r="AP488">
        <v>0.42970000000000003</v>
      </c>
      <c r="AQ488">
        <v>0.57030000000000003</v>
      </c>
      <c r="AR488">
        <v>8.9999999999999993E-3</v>
      </c>
      <c r="AS488">
        <v>0.5</v>
      </c>
      <c r="AT488">
        <v>1.82</v>
      </c>
      <c r="AU488">
        <v>6.3545217126973294E-2</v>
      </c>
      <c r="AV488">
        <v>0.7893</v>
      </c>
      <c r="AW488">
        <v>3</v>
      </c>
      <c r="AX488">
        <v>0.05</v>
      </c>
      <c r="AY488">
        <v>1</v>
      </c>
      <c r="AZ488">
        <v>1</v>
      </c>
      <c r="BA488" s="2">
        <f>modelo_tese_H__2[[#This Row],[Vw]]+modelo_tese_H__2[[#This Row],[Vr]]+modelo_tese_H__2[[#This Row],[K]]-modelo_tese_H__2[[#This Row],[E]]</f>
        <v>-234478875562142</v>
      </c>
      <c r="BB488" s="2">
        <f>modelo_tese_H__2[[#This Row],[K]]-modelo_tese_H__2[[#This Row],[Coluna1]]</f>
        <v>529663985680827</v>
      </c>
      <c r="BC488">
        <f>modelo_tese_H__2[[#This Row],[Coluna2]]/modelo_tese_H__2[[#This Row],[Coluna1]]</f>
        <v>-2.2588985229948979</v>
      </c>
      <c r="BD488" s="8">
        <f>modelo_tese_H__2[[#This Row],[D]]-modelo_tese_H__2[[#This Row],[Dw]]-modelo_tese_H__2[[#This Row],[Dr]]</f>
        <v>0</v>
      </c>
    </row>
    <row r="489" spans="1:56" x14ac:dyDescent="0.25">
      <c r="A489">
        <v>488</v>
      </c>
      <c r="B489">
        <v>488</v>
      </c>
      <c r="C489">
        <v>73033510541405.703</v>
      </c>
      <c r="D489">
        <v>34082873358994.699</v>
      </c>
      <c r="E489">
        <v>30333757289505.301</v>
      </c>
      <c r="F489">
        <v>3757370590680.1899</v>
      </c>
      <c r="G489">
        <v>105481169103109</v>
      </c>
      <c r="H489">
        <v>23637753163377.699</v>
      </c>
      <c r="I489">
        <v>57728881043563.203</v>
      </c>
      <c r="J489">
        <v>42332361378026.102</v>
      </c>
      <c r="K489">
        <v>266309771604629</v>
      </c>
      <c r="L489">
        <v>-23646007684568.5</v>
      </c>
      <c r="M489">
        <v>308642132982655</v>
      </c>
      <c r="N489">
        <v>-449004994518608</v>
      </c>
      <c r="O489">
        <v>53273317728843</v>
      </c>
      <c r="P489">
        <v>35160389701036.398</v>
      </c>
      <c r="Q489">
        <v>55028054497005.203</v>
      </c>
      <c r="R489">
        <v>27514027248502.602</v>
      </c>
      <c r="S489">
        <v>27514027248502.602</v>
      </c>
      <c r="T489">
        <v>25759290480340.398</v>
      </c>
      <c r="U489">
        <v>10454660982497.801</v>
      </c>
      <c r="V489">
        <v>198536614239461</v>
      </c>
      <c r="W489">
        <v>35172294293811.398</v>
      </c>
      <c r="X489">
        <v>0.27465144817861498</v>
      </c>
      <c r="Y489">
        <v>311599802497355</v>
      </c>
      <c r="Z489">
        <v>145343596388037</v>
      </c>
      <c r="AA489">
        <v>0.78957928560893997</v>
      </c>
      <c r="AB489">
        <v>162189620944333</v>
      </c>
      <c r="AC489">
        <v>92889270744599.5</v>
      </c>
      <c r="AD489">
        <v>128061565038411</v>
      </c>
      <c r="AE489">
        <v>-250468380279147</v>
      </c>
      <c r="AF489">
        <v>-13191346702070.699</v>
      </c>
      <c r="AG489">
        <v>5.5594999999999999E-2</v>
      </c>
      <c r="AH489">
        <v>-757647127501263</v>
      </c>
      <c r="AI489">
        <v>343880210627498</v>
      </c>
      <c r="AJ489">
        <v>0.06</v>
      </c>
      <c r="AK489">
        <v>0.05</v>
      </c>
      <c r="AL489">
        <v>8.8099999999999998E-2</v>
      </c>
      <c r="AM489">
        <v>3.8100000000000002E-2</v>
      </c>
      <c r="AN489">
        <v>0.89</v>
      </c>
      <c r="AO489">
        <v>0.66</v>
      </c>
      <c r="AP489">
        <v>0.42970000000000003</v>
      </c>
      <c r="AQ489">
        <v>0.57030000000000003</v>
      </c>
      <c r="AR489">
        <v>8.9999999999999993E-3</v>
      </c>
      <c r="AS489">
        <v>0.5</v>
      </c>
      <c r="AT489">
        <v>1.82</v>
      </c>
      <c r="AU489">
        <v>6.3545217126973294E-2</v>
      </c>
      <c r="AV489">
        <v>0.7893</v>
      </c>
      <c r="AW489">
        <v>3</v>
      </c>
      <c r="AX489">
        <v>0.05</v>
      </c>
      <c r="AY489">
        <v>1</v>
      </c>
      <c r="AZ489">
        <v>1</v>
      </c>
      <c r="BA489" s="2">
        <f>modelo_tese_H__2[[#This Row],[Vw]]+modelo_tese_H__2[[#This Row],[Vr]]+modelo_tese_H__2[[#This Row],[K]]-modelo_tese_H__2[[#This Row],[E]]</f>
        <v>-247510710764447</v>
      </c>
      <c r="BB489" s="2">
        <f>modelo_tese_H__2[[#This Row],[K]]-modelo_tese_H__2[[#This Row],[Coluna1]]</f>
        <v>559110513261802</v>
      </c>
      <c r="BC489">
        <f>modelo_tese_H__2[[#This Row],[Coluna2]]/modelo_tese_H__2[[#This Row],[Coluna1]]</f>
        <v>-2.2589346195765274</v>
      </c>
      <c r="BD489" s="8">
        <f>modelo_tese_H__2[[#This Row],[D]]-modelo_tese_H__2[[#This Row],[Dw]]-modelo_tese_H__2[[#This Row],[Dr]]</f>
        <v>0</v>
      </c>
    </row>
    <row r="490" spans="1:56" x14ac:dyDescent="0.25">
      <c r="A490">
        <v>489</v>
      </c>
      <c r="B490">
        <v>489</v>
      </c>
      <c r="C490">
        <v>77094489107263.297</v>
      </c>
      <c r="D490">
        <v>35978400708052.898</v>
      </c>
      <c r="E490">
        <v>32020776630167.102</v>
      </c>
      <c r="F490">
        <v>3966255659878.2202</v>
      </c>
      <c r="G490">
        <v>111345889827732</v>
      </c>
      <c r="H490">
        <v>24951894050495.699</v>
      </c>
      <c r="I490">
        <v>60938926340541</v>
      </c>
      <c r="J490">
        <v>44685754069401.5</v>
      </c>
      <c r="K490">
        <v>281115263356988</v>
      </c>
      <c r="L490">
        <v>-24960525632488.102</v>
      </c>
      <c r="M490">
        <v>325801017426390</v>
      </c>
      <c r="N490">
        <v>-473965520151096</v>
      </c>
      <c r="O490">
        <v>56235297892793.703</v>
      </c>
      <c r="P490">
        <v>37115296609243.797</v>
      </c>
      <c r="Q490">
        <v>58087851954043.602</v>
      </c>
      <c r="R490">
        <v>29043925977021.801</v>
      </c>
      <c r="S490">
        <v>29043925977021.801</v>
      </c>
      <c r="T490">
        <v>27191371915771.898</v>
      </c>
      <c r="U490">
        <v>11035809149049.6</v>
      </c>
      <c r="V490">
        <v>209572423388511</v>
      </c>
      <c r="W490">
        <v>37128118111522</v>
      </c>
      <c r="X490">
        <v>0.27465213148433598</v>
      </c>
      <c r="Y490">
        <v>328927243502461</v>
      </c>
      <c r="Z490">
        <v>153427788522537</v>
      </c>
      <c r="AA490">
        <v>0.78957643348848605</v>
      </c>
      <c r="AB490">
        <v>171208682690855</v>
      </c>
      <c r="AC490">
        <v>98054222949784.906</v>
      </c>
      <c r="AD490">
        <v>135182341061307</v>
      </c>
      <c r="AE490">
        <v>-264393096762585</v>
      </c>
      <c r="AF490">
        <v>-13924716483438.5</v>
      </c>
      <c r="AG490">
        <v>5.5594999999999999E-2</v>
      </c>
      <c r="AH490">
        <v>-799766537577486</v>
      </c>
      <c r="AI490">
        <v>363000211911048</v>
      </c>
      <c r="AJ490">
        <v>0.06</v>
      </c>
      <c r="AK490">
        <v>0.05</v>
      </c>
      <c r="AL490">
        <v>8.8099999999999998E-2</v>
      </c>
      <c r="AM490">
        <v>3.8100000000000002E-2</v>
      </c>
      <c r="AN490">
        <v>0.89</v>
      </c>
      <c r="AO490">
        <v>0.66</v>
      </c>
      <c r="AP490">
        <v>0.42970000000000003</v>
      </c>
      <c r="AQ490">
        <v>0.57030000000000003</v>
      </c>
      <c r="AR490">
        <v>8.9999999999999993E-3</v>
      </c>
      <c r="AS490">
        <v>0.5</v>
      </c>
      <c r="AT490">
        <v>1.82</v>
      </c>
      <c r="AU490">
        <v>6.3545217126973294E-2</v>
      </c>
      <c r="AV490">
        <v>0.7893</v>
      </c>
      <c r="AW490">
        <v>3</v>
      </c>
      <c r="AX490">
        <v>0.05</v>
      </c>
      <c r="AY490">
        <v>1</v>
      </c>
      <c r="AZ490">
        <v>1</v>
      </c>
      <c r="BA490" s="2">
        <f>modelo_tese_H__2[[#This Row],[Vw]]+modelo_tese_H__2[[#This Row],[Vr]]+modelo_tese_H__2[[#This Row],[K]]-modelo_tese_H__2[[#This Row],[E]]</f>
        <v>-261266870686514</v>
      </c>
      <c r="BB490" s="2">
        <f>modelo_tese_H__2[[#This Row],[K]]-modelo_tese_H__2[[#This Row],[Coluna1]]</f>
        <v>590194114188975</v>
      </c>
      <c r="BC490">
        <f>modelo_tese_H__2[[#This Row],[Coluna2]]/modelo_tese_H__2[[#This Row],[Coluna1]]</f>
        <v>-2.2589703495056996</v>
      </c>
      <c r="BD490" s="8">
        <f>modelo_tese_H__2[[#This Row],[D]]-modelo_tese_H__2[[#This Row],[Dw]]-modelo_tese_H__2[[#This Row],[Dr]]</f>
        <v>0</v>
      </c>
    </row>
    <row r="491" spans="1:56" x14ac:dyDescent="0.25">
      <c r="A491">
        <v>490</v>
      </c>
      <c r="B491">
        <v>490</v>
      </c>
      <c r="C491">
        <v>81381268289572.594</v>
      </c>
      <c r="D491">
        <v>37979340837237.797</v>
      </c>
      <c r="E491">
        <v>33801613345141.602</v>
      </c>
      <c r="F491">
        <v>4186753427772.9399</v>
      </c>
      <c r="G491">
        <v>117536681900600</v>
      </c>
      <c r="H491">
        <v>26339094600233</v>
      </c>
      <c r="I491">
        <v>64327461373147.602</v>
      </c>
      <c r="J491">
        <v>47169980267130.203</v>
      </c>
      <c r="K491">
        <v>296743866423320</v>
      </c>
      <c r="L491">
        <v>-26348120535909.801</v>
      </c>
      <c r="M491">
        <v>343913846690450</v>
      </c>
      <c r="N491">
        <v>-500313640687006</v>
      </c>
      <c r="O491">
        <v>59361960555858.797</v>
      </c>
      <c r="P491">
        <v>39178893966866.797</v>
      </c>
      <c r="Q491">
        <v>61317781841187.703</v>
      </c>
      <c r="R491">
        <v>30658890920593.898</v>
      </c>
      <c r="S491">
        <v>30658890920593.898</v>
      </c>
      <c r="T491">
        <v>28703069635264.898</v>
      </c>
      <c r="U491">
        <v>11649262718839.9</v>
      </c>
      <c r="V491">
        <v>221221686107351</v>
      </c>
      <c r="W491">
        <v>39192694790745.898</v>
      </c>
      <c r="X491">
        <v>0.27465280781365398</v>
      </c>
      <c r="Y491">
        <v>347218185185866</v>
      </c>
      <c r="Z491">
        <v>161961592392689</v>
      </c>
      <c r="AA491">
        <v>0.78957361048155505</v>
      </c>
      <c r="AB491">
        <v>180729254671682</v>
      </c>
      <c r="AC491">
        <v>103506355340014</v>
      </c>
      <c r="AD491">
        <v>142699050130760</v>
      </c>
      <c r="AE491">
        <v>-279091954579655</v>
      </c>
      <c r="AF491">
        <v>-14698857817069.9</v>
      </c>
      <c r="AG491">
        <v>5.5594999999999999E-2</v>
      </c>
      <c r="AH491">
        <v>-844227487377456</v>
      </c>
      <c r="AI491">
        <v>383183278500040</v>
      </c>
      <c r="AJ491">
        <v>0.06</v>
      </c>
      <c r="AK491">
        <v>0.05</v>
      </c>
      <c r="AL491">
        <v>8.8099999999999998E-2</v>
      </c>
      <c r="AM491">
        <v>3.8100000000000002E-2</v>
      </c>
      <c r="AN491">
        <v>0.89</v>
      </c>
      <c r="AO491">
        <v>0.66</v>
      </c>
      <c r="AP491">
        <v>0.42970000000000003</v>
      </c>
      <c r="AQ491">
        <v>0.57030000000000003</v>
      </c>
      <c r="AR491">
        <v>8.9999999999999993E-3</v>
      </c>
      <c r="AS491">
        <v>0.5</v>
      </c>
      <c r="AT491">
        <v>1.82</v>
      </c>
      <c r="AU491">
        <v>6.3545217126973294E-2</v>
      </c>
      <c r="AV491">
        <v>0.7893</v>
      </c>
      <c r="AW491">
        <v>3</v>
      </c>
      <c r="AX491">
        <v>0.05</v>
      </c>
      <c r="AY491">
        <v>1</v>
      </c>
      <c r="AZ491">
        <v>1</v>
      </c>
      <c r="BA491" s="2">
        <f>modelo_tese_H__2[[#This Row],[Vw]]+modelo_tese_H__2[[#This Row],[Vr]]+modelo_tese_H__2[[#This Row],[K]]-modelo_tese_H__2[[#This Row],[E]]</f>
        <v>-275787616084239</v>
      </c>
      <c r="BB491" s="2">
        <f>modelo_tese_H__2[[#This Row],[K]]-modelo_tese_H__2[[#This Row],[Coluna1]]</f>
        <v>623005801270105</v>
      </c>
      <c r="BC491">
        <f>modelo_tese_H__2[[#This Row],[Coluna2]]/modelo_tese_H__2[[#This Row],[Coluna1]]</f>
        <v>-2.2590057164851398</v>
      </c>
      <c r="BD491" s="8">
        <f>modelo_tese_H__2[[#This Row],[D]]-modelo_tese_H__2[[#This Row],[Dw]]-modelo_tese_H__2[[#This Row],[Dr]]</f>
        <v>0</v>
      </c>
    </row>
    <row r="492" spans="1:56" x14ac:dyDescent="0.25">
      <c r="A492">
        <v>491</v>
      </c>
      <c r="B492">
        <v>491</v>
      </c>
      <c r="C492">
        <v>85906402841503.406</v>
      </c>
      <c r="D492">
        <v>40091555556971.102</v>
      </c>
      <c r="E492">
        <v>35681484445704.297</v>
      </c>
      <c r="F492">
        <v>4419509490390.9502</v>
      </c>
      <c r="G492">
        <v>124071674253523</v>
      </c>
      <c r="H492">
        <v>27803416564533</v>
      </c>
      <c r="I492">
        <v>67904410500628.203</v>
      </c>
      <c r="J492">
        <v>49792313509343.5</v>
      </c>
      <c r="K492">
        <v>313241341677125</v>
      </c>
      <c r="L492">
        <v>-27812854943657.102</v>
      </c>
      <c r="M492">
        <v>363033655186468</v>
      </c>
      <c r="N492">
        <v>-528126495630663</v>
      </c>
      <c r="O492">
        <v>62662461744203.703</v>
      </c>
      <c r="P492">
        <v>41357224751174.5</v>
      </c>
      <c r="Q492">
        <v>64727303701550.102</v>
      </c>
      <c r="R492">
        <v>32363651850775</v>
      </c>
      <c r="S492">
        <v>32363651850775</v>
      </c>
      <c r="T492">
        <v>30298809893428.699</v>
      </c>
      <c r="U492">
        <v>12296817552553.5</v>
      </c>
      <c r="V492">
        <v>233518503659904</v>
      </c>
      <c r="W492">
        <v>41372071291250.797</v>
      </c>
      <c r="X492">
        <v>0.27465347723774702</v>
      </c>
      <c r="Y492">
        <v>366526201509048</v>
      </c>
      <c r="Z492">
        <v>170970011833165</v>
      </c>
      <c r="AA492">
        <v>0.78957081629121095</v>
      </c>
      <c r="AB492">
        <v>190779222629597</v>
      </c>
      <c r="AC492">
        <v>109261635251803</v>
      </c>
      <c r="AD492">
        <v>150633706543053</v>
      </c>
      <c r="AE492">
        <v>-294607991970759</v>
      </c>
      <c r="AF492">
        <v>-15516037391103.6</v>
      </c>
      <c r="AG492">
        <v>5.5594999999999999E-2</v>
      </c>
      <c r="AH492">
        <v>-891160150817131</v>
      </c>
      <c r="AI492">
        <v>404488515493069</v>
      </c>
      <c r="AJ492">
        <v>0.06</v>
      </c>
      <c r="AK492">
        <v>0.05</v>
      </c>
      <c r="AL492">
        <v>8.8099999999999998E-2</v>
      </c>
      <c r="AM492">
        <v>3.8100000000000002E-2</v>
      </c>
      <c r="AN492">
        <v>0.89</v>
      </c>
      <c r="AO492">
        <v>0.66</v>
      </c>
      <c r="AP492">
        <v>0.42970000000000003</v>
      </c>
      <c r="AQ492">
        <v>0.57030000000000003</v>
      </c>
      <c r="AR492">
        <v>8.9999999999999993E-3</v>
      </c>
      <c r="AS492">
        <v>0.5</v>
      </c>
      <c r="AT492">
        <v>1.82</v>
      </c>
      <c r="AU492">
        <v>6.3545217126973294E-2</v>
      </c>
      <c r="AV492">
        <v>0.7893</v>
      </c>
      <c r="AW492">
        <v>3</v>
      </c>
      <c r="AX492">
        <v>0.05</v>
      </c>
      <c r="AY492">
        <v>1</v>
      </c>
      <c r="AZ492">
        <v>1</v>
      </c>
      <c r="BA492" s="2">
        <f>modelo_tese_H__2[[#This Row],[Vw]]+modelo_tese_H__2[[#This Row],[Vr]]+modelo_tese_H__2[[#This Row],[K]]-modelo_tese_H__2[[#This Row],[E]]</f>
        <v>-291115445648179</v>
      </c>
      <c r="BB492" s="2">
        <f>modelo_tese_H__2[[#This Row],[K]]-modelo_tese_H__2[[#This Row],[Coluna1]]</f>
        <v>657641647157227</v>
      </c>
      <c r="BC492">
        <f>modelo_tese_H__2[[#This Row],[Coluna2]]/modelo_tese_H__2[[#This Row],[Coluna1]]</f>
        <v>-2.2590407241806227</v>
      </c>
      <c r="BD492" s="8">
        <f>modelo_tese_H__2[[#This Row],[D]]-modelo_tese_H__2[[#This Row],[Dw]]-modelo_tese_H__2[[#This Row],[Dr]]</f>
        <v>0</v>
      </c>
    </row>
    <row r="493" spans="1:56" x14ac:dyDescent="0.25">
      <c r="A493">
        <v>492</v>
      </c>
      <c r="B493">
        <v>492</v>
      </c>
      <c r="C493">
        <v>90683145559047</v>
      </c>
      <c r="D493">
        <v>42321232627196.602</v>
      </c>
      <c r="E493">
        <v>37665897038204.898</v>
      </c>
      <c r="F493">
        <v>4665205335133.9404</v>
      </c>
      <c r="G493">
        <v>130970003740884</v>
      </c>
      <c r="H493">
        <v>29349147508438.199</v>
      </c>
      <c r="I493">
        <v>71680249881777.094</v>
      </c>
      <c r="J493">
        <v>52560431699771.5</v>
      </c>
      <c r="K493">
        <v>330655994067664</v>
      </c>
      <c r="L493">
        <v>-29359017254580.5</v>
      </c>
      <c r="M493">
        <v>383216425767436</v>
      </c>
      <c r="N493">
        <v>-557485512885244</v>
      </c>
      <c r="O493">
        <v>66146466535799.898</v>
      </c>
      <c r="P493">
        <v>43656667913627.898</v>
      </c>
      <c r="Q493">
        <v>68326403027744.102</v>
      </c>
      <c r="R493">
        <v>34163201513872.102</v>
      </c>
      <c r="S493">
        <v>34163201513872.102</v>
      </c>
      <c r="T493">
        <v>31983265021927.801</v>
      </c>
      <c r="U493">
        <v>12980369344658</v>
      </c>
      <c r="V493">
        <v>246498873004562</v>
      </c>
      <c r="W493">
        <v>43672630791386.102</v>
      </c>
      <c r="X493">
        <v>0.27465413982706999</v>
      </c>
      <c r="Y493">
        <v>386907845242816</v>
      </c>
      <c r="Z493">
        <v>180479441110679</v>
      </c>
      <c r="AA493">
        <v>0.78956805062356805</v>
      </c>
      <c r="AB493">
        <v>201388022807169</v>
      </c>
      <c r="AC493">
        <v>115336917795405</v>
      </c>
      <c r="AD493">
        <v>159009548586791</v>
      </c>
      <c r="AE493">
        <v>-310986639880681</v>
      </c>
      <c r="AF493">
        <v>-16378647909922.5</v>
      </c>
      <c r="AG493">
        <v>5.5594999999999999E-2</v>
      </c>
      <c r="AH493">
        <v>-940701938652679</v>
      </c>
      <c r="AI493">
        <v>426978314115241</v>
      </c>
      <c r="AJ493">
        <v>0.06</v>
      </c>
      <c r="AK493">
        <v>0.05</v>
      </c>
      <c r="AL493">
        <v>8.8099999999999998E-2</v>
      </c>
      <c r="AM493">
        <v>3.8100000000000002E-2</v>
      </c>
      <c r="AN493">
        <v>0.89</v>
      </c>
      <c r="AO493">
        <v>0.66</v>
      </c>
      <c r="AP493">
        <v>0.42970000000000003</v>
      </c>
      <c r="AQ493">
        <v>0.57030000000000003</v>
      </c>
      <c r="AR493">
        <v>8.9999999999999993E-3</v>
      </c>
      <c r="AS493">
        <v>0.5</v>
      </c>
      <c r="AT493">
        <v>1.82</v>
      </c>
      <c r="AU493">
        <v>6.3545217126973294E-2</v>
      </c>
      <c r="AV493">
        <v>0.7893</v>
      </c>
      <c r="AW493">
        <v>3</v>
      </c>
      <c r="AX493">
        <v>0.05</v>
      </c>
      <c r="AY493">
        <v>1</v>
      </c>
      <c r="AZ493">
        <v>1</v>
      </c>
      <c r="BA493" s="2">
        <f>modelo_tese_H__2[[#This Row],[Vw]]+modelo_tese_H__2[[#This Row],[Vr]]+modelo_tese_H__2[[#This Row],[K]]-modelo_tese_H__2[[#This Row],[E]]</f>
        <v>-307295220405301</v>
      </c>
      <c r="BB493" s="2">
        <f>modelo_tese_H__2[[#This Row],[K]]-modelo_tese_H__2[[#This Row],[Coluna1]]</f>
        <v>694203065648117</v>
      </c>
      <c r="BC493">
        <f>modelo_tese_H__2[[#This Row],[Coluna2]]/modelo_tese_H__2[[#This Row],[Coluna1]]</f>
        <v>-2.2590753762213143</v>
      </c>
      <c r="BD493" s="8">
        <f>modelo_tese_H__2[[#This Row],[D]]-modelo_tese_H__2[[#This Row],[Dw]]-modelo_tese_H__2[[#This Row],[Dr]]</f>
        <v>1</v>
      </c>
    </row>
    <row r="494" spans="1:56" x14ac:dyDescent="0.25">
      <c r="A494">
        <v>493</v>
      </c>
      <c r="B494">
        <v>493</v>
      </c>
      <c r="C494">
        <v>95725486091453.406</v>
      </c>
      <c r="D494">
        <v>44674903881327.898</v>
      </c>
      <c r="E494">
        <v>39760664454381.797</v>
      </c>
      <c r="F494">
        <v>4924560336135.6602</v>
      </c>
      <c r="G494">
        <v>138251871177095</v>
      </c>
      <c r="H494">
        <v>30980813364169.801</v>
      </c>
      <c r="I494">
        <v>75666038154687.297</v>
      </c>
      <c r="J494">
        <v>55482439588145.797</v>
      </c>
      <c r="K494">
        <v>349038814057856</v>
      </c>
      <c r="L494">
        <v>-30991134273359.398</v>
      </c>
      <c r="M494">
        <v>404521253646002</v>
      </c>
      <c r="N494">
        <v>-588476647158603</v>
      </c>
      <c r="O494">
        <v>69824177362169.203</v>
      </c>
      <c r="P494">
        <v>46083957059031.703</v>
      </c>
      <c r="Q494">
        <v>72125620504116.297</v>
      </c>
      <c r="R494">
        <v>36062810252058.102</v>
      </c>
      <c r="S494">
        <v>36062810252058.102</v>
      </c>
      <c r="T494">
        <v>33761367110111.102</v>
      </c>
      <c r="U494">
        <v>13701919173345.1</v>
      </c>
      <c r="V494">
        <v>260200792177907</v>
      </c>
      <c r="W494">
        <v>46101111381850.602</v>
      </c>
      <c r="X494">
        <v>0.27465479565135797</v>
      </c>
      <c r="Y494">
        <v>408422813590583</v>
      </c>
      <c r="Z494">
        <v>190517742240471</v>
      </c>
      <c r="AA494">
        <v>0.78956531318773704</v>
      </c>
      <c r="AB494">
        <v>212586728155394</v>
      </c>
      <c r="AC494">
        <v>121749995213719</v>
      </c>
      <c r="AD494">
        <v>167851106595570</v>
      </c>
      <c r="AE494">
        <v>-328275854980696</v>
      </c>
      <c r="AF494">
        <v>-17289215100014.301</v>
      </c>
      <c r="AG494">
        <v>5.5594999999999999E-2</v>
      </c>
      <c r="AH494">
        <v>-992997900804605</v>
      </c>
      <c r="AI494">
        <v>450718534418378</v>
      </c>
      <c r="AJ494">
        <v>0.06</v>
      </c>
      <c r="AK494">
        <v>0.05</v>
      </c>
      <c r="AL494">
        <v>8.8099999999999998E-2</v>
      </c>
      <c r="AM494">
        <v>3.8100000000000002E-2</v>
      </c>
      <c r="AN494">
        <v>0.89</v>
      </c>
      <c r="AO494">
        <v>0.66</v>
      </c>
      <c r="AP494">
        <v>0.42970000000000003</v>
      </c>
      <c r="AQ494">
        <v>0.57030000000000003</v>
      </c>
      <c r="AR494">
        <v>8.9999999999999993E-3</v>
      </c>
      <c r="AS494">
        <v>0.5</v>
      </c>
      <c r="AT494">
        <v>1.82</v>
      </c>
      <c r="AU494">
        <v>6.3545217126973294E-2</v>
      </c>
      <c r="AV494">
        <v>0.7893</v>
      </c>
      <c r="AW494">
        <v>3</v>
      </c>
      <c r="AX494">
        <v>0.05</v>
      </c>
      <c r="AY494">
        <v>1</v>
      </c>
      <c r="AZ494">
        <v>1</v>
      </c>
      <c r="BA494" s="2">
        <f>modelo_tese_H__2[[#This Row],[Vw]]+modelo_tese_H__2[[#This Row],[Vr]]+modelo_tese_H__2[[#This Row],[K]]-modelo_tese_H__2[[#This Row],[E]]</f>
        <v>-324374295036115</v>
      </c>
      <c r="BB494" s="2">
        <f>modelo_tese_H__2[[#This Row],[K]]-modelo_tese_H__2[[#This Row],[Coluna1]]</f>
        <v>732797108626698</v>
      </c>
      <c r="BC494">
        <f>modelo_tese_H__2[[#This Row],[Coluna2]]/modelo_tese_H__2[[#This Row],[Coluna1]]</f>
        <v>-2.2591096762001754</v>
      </c>
      <c r="BD494" s="8">
        <f>modelo_tese_H__2[[#This Row],[D]]-modelo_tese_H__2[[#This Row],[Dw]]-modelo_tese_H__2[[#This Row],[Dr]]</f>
        <v>0</v>
      </c>
    </row>
    <row r="495" spans="1:56" x14ac:dyDescent="0.25">
      <c r="A495">
        <v>494</v>
      </c>
      <c r="B495">
        <v>494</v>
      </c>
      <c r="C495">
        <v>101048191909450</v>
      </c>
      <c r="D495">
        <v>47159464357915.203</v>
      </c>
      <c r="E495">
        <v>41971923278544.5</v>
      </c>
      <c r="F495">
        <v>5198333860549.7598</v>
      </c>
      <c r="G495">
        <v>145938600489540</v>
      </c>
      <c r="H495">
        <v>32703191683150.801</v>
      </c>
      <c r="I495">
        <v>79873448822245.094</v>
      </c>
      <c r="J495">
        <v>58566892500387.203</v>
      </c>
      <c r="K495">
        <v>368443626925403</v>
      </c>
      <c r="L495">
        <v>-32713984464329.898</v>
      </c>
      <c r="M495">
        <v>427010519425790</v>
      </c>
      <c r="N495">
        <v>-621190631622933</v>
      </c>
      <c r="O495">
        <v>73706363883605.906</v>
      </c>
      <c r="P495">
        <v>48646200163179.898</v>
      </c>
      <c r="Q495">
        <v>76136082874786.297</v>
      </c>
      <c r="R495">
        <v>38068041437393.102</v>
      </c>
      <c r="S495">
        <v>38068041437393.102</v>
      </c>
      <c r="T495">
        <v>35638322446212.797</v>
      </c>
      <c r="U495">
        <v>14463579359008.1</v>
      </c>
      <c r="V495">
        <v>274664371536915</v>
      </c>
      <c r="W495">
        <v>48664625798811.102</v>
      </c>
      <c r="X495">
        <v>0.27465544477963699</v>
      </c>
      <c r="Y495">
        <v>431134123020171</v>
      </c>
      <c r="Z495">
        <v>201114326601889</v>
      </c>
      <c r="AA495">
        <v>0.78956260369571396</v>
      </c>
      <c r="AB495">
        <v>224408139335485</v>
      </c>
      <c r="AC495">
        <v>128519648985425</v>
      </c>
      <c r="AD495">
        <v>177184274784236</v>
      </c>
      <c r="AE495">
        <v>-346526260086017</v>
      </c>
      <c r="AF495">
        <v>-18250405105321.898</v>
      </c>
      <c r="AG495">
        <v>5.5594999999999999E-2</v>
      </c>
      <c r="AH495">
        <v>-1048201151048723</v>
      </c>
      <c r="AI495">
        <v>475778698138804</v>
      </c>
      <c r="AJ495">
        <v>0.06</v>
      </c>
      <c r="AK495">
        <v>0.05</v>
      </c>
      <c r="AL495">
        <v>8.8099999999999998E-2</v>
      </c>
      <c r="AM495">
        <v>3.8100000000000002E-2</v>
      </c>
      <c r="AN495">
        <v>0.89</v>
      </c>
      <c r="AO495">
        <v>0.66</v>
      </c>
      <c r="AP495">
        <v>0.42970000000000003</v>
      </c>
      <c r="AQ495">
        <v>0.57030000000000003</v>
      </c>
      <c r="AR495">
        <v>8.9999999999999993E-3</v>
      </c>
      <c r="AS495">
        <v>0.5</v>
      </c>
      <c r="AT495">
        <v>1.82</v>
      </c>
      <c r="AU495">
        <v>6.3545217126973294E-2</v>
      </c>
      <c r="AV495">
        <v>0.7893</v>
      </c>
      <c r="AW495">
        <v>3</v>
      </c>
      <c r="AX495">
        <v>0.05</v>
      </c>
      <c r="AY495">
        <v>1</v>
      </c>
      <c r="AZ495">
        <v>1</v>
      </c>
      <c r="BA495" s="2">
        <f>modelo_tese_H__2[[#This Row],[Vw]]+modelo_tese_H__2[[#This Row],[Vr]]+modelo_tese_H__2[[#This Row],[K]]-modelo_tese_H__2[[#This Row],[E]]</f>
        <v>-342402656491637</v>
      </c>
      <c r="BB495" s="2">
        <f>modelo_tese_H__2[[#This Row],[K]]-modelo_tese_H__2[[#This Row],[Coluna1]]</f>
        <v>773536779511808</v>
      </c>
      <c r="BC495">
        <f>modelo_tese_H__2[[#This Row],[Coluna2]]/modelo_tese_H__2[[#This Row],[Coluna1]]</f>
        <v>-2.2591436276742241</v>
      </c>
      <c r="BD495" s="8">
        <f>modelo_tese_H__2[[#This Row],[D]]-modelo_tese_H__2[[#This Row],[Dw]]-modelo_tese_H__2[[#This Row],[Dr]]</f>
        <v>1</v>
      </c>
    </row>
    <row r="496" spans="1:56" x14ac:dyDescent="0.25">
      <c r="A496">
        <v>495</v>
      </c>
      <c r="B496">
        <v>495</v>
      </c>
      <c r="C496">
        <v>106666851551256</v>
      </c>
      <c r="D496">
        <v>49782192496105.5</v>
      </c>
      <c r="E496">
        <v>44306151321533.898</v>
      </c>
      <c r="F496">
        <v>5487327491935.2998</v>
      </c>
      <c r="G496">
        <v>154052701160240</v>
      </c>
      <c r="H496">
        <v>34521325624775.602</v>
      </c>
      <c r="I496">
        <v>84314804438244.797</v>
      </c>
      <c r="J496">
        <v>61822821388057.797</v>
      </c>
      <c r="K496">
        <v>388927250364320</v>
      </c>
      <c r="L496">
        <v>-34532611942139.301</v>
      </c>
      <c r="M496">
        <v>450750071752378</v>
      </c>
      <c r="N496">
        <v>-655723243565072</v>
      </c>
      <c r="O496">
        <v>77804394525373.594</v>
      </c>
      <c r="P496">
        <v>51350900386746.602</v>
      </c>
      <c r="Q496">
        <v>80369535527923.094</v>
      </c>
      <c r="R496">
        <v>40184767763961.5</v>
      </c>
      <c r="S496">
        <v>40184767763961.5</v>
      </c>
      <c r="T496">
        <v>37619626761412.102</v>
      </c>
      <c r="U496">
        <v>15267579648401.301</v>
      </c>
      <c r="V496">
        <v>289931951185317</v>
      </c>
      <c r="W496">
        <v>51370682254187.297</v>
      </c>
      <c r="X496">
        <v>0.27465608728023</v>
      </c>
      <c r="Y496">
        <v>455108293816194</v>
      </c>
      <c r="Z496">
        <v>212300241092115</v>
      </c>
      <c r="AA496">
        <v>0.78955992186259605</v>
      </c>
      <c r="AB496">
        <v>236886880780314</v>
      </c>
      <c r="AC496">
        <v>135665704824991</v>
      </c>
      <c r="AD496">
        <v>187036387079179</v>
      </c>
      <c r="AE496">
        <v>-365791292379755</v>
      </c>
      <c r="AF496">
        <v>-19265032293738</v>
      </c>
      <c r="AG496">
        <v>5.5594999999999999E-2</v>
      </c>
      <c r="AH496">
        <v>-1106473315317450</v>
      </c>
      <c r="AI496">
        <v>502232192277431</v>
      </c>
      <c r="AJ496">
        <v>0.06</v>
      </c>
      <c r="AK496">
        <v>0.05</v>
      </c>
      <c r="AL496">
        <v>8.8099999999999998E-2</v>
      </c>
      <c r="AM496">
        <v>3.8100000000000002E-2</v>
      </c>
      <c r="AN496">
        <v>0.89</v>
      </c>
      <c r="AO496">
        <v>0.66</v>
      </c>
      <c r="AP496">
        <v>0.42970000000000003</v>
      </c>
      <c r="AQ496">
        <v>0.57030000000000003</v>
      </c>
      <c r="AR496">
        <v>8.9999999999999993E-3</v>
      </c>
      <c r="AS496">
        <v>0.5</v>
      </c>
      <c r="AT496">
        <v>1.82</v>
      </c>
      <c r="AU496">
        <v>6.3545217126973294E-2</v>
      </c>
      <c r="AV496">
        <v>0.7893</v>
      </c>
      <c r="AW496">
        <v>3</v>
      </c>
      <c r="AX496">
        <v>0.05</v>
      </c>
      <c r="AY496">
        <v>1</v>
      </c>
      <c r="AZ496">
        <v>1</v>
      </c>
      <c r="BA496" s="2">
        <f>modelo_tese_H__2[[#This Row],[Vw]]+modelo_tese_H__2[[#This Row],[Vr]]+modelo_tese_H__2[[#This Row],[K]]-modelo_tese_H__2[[#This Row],[E]]</f>
        <v>-361433070315940</v>
      </c>
      <c r="BB496" s="2">
        <f>modelo_tese_H__2[[#This Row],[K]]-modelo_tese_H__2[[#This Row],[Coluna1]]</f>
        <v>816541364132134</v>
      </c>
      <c r="BC496">
        <f>modelo_tese_H__2[[#This Row],[Coluna2]]/modelo_tese_H__2[[#This Row],[Coluna1]]</f>
        <v>-2.2591772341650129</v>
      </c>
      <c r="BD496" s="8">
        <f>modelo_tese_H__2[[#This Row],[D]]-modelo_tese_H__2[[#This Row],[Dw]]-modelo_tese_H__2[[#This Row],[Dr]]</f>
        <v>0</v>
      </c>
    </row>
    <row r="497" spans="1:56" x14ac:dyDescent="0.25">
      <c r="A497">
        <v>496</v>
      </c>
      <c r="B497">
        <v>496</v>
      </c>
      <c r="C497">
        <v>112597920272916</v>
      </c>
      <c r="D497">
        <v>52550771453929.797</v>
      </c>
      <c r="E497">
        <v>46770186593997.5</v>
      </c>
      <c r="F497">
        <v>5792387377250.7402</v>
      </c>
      <c r="G497">
        <v>162617934139012</v>
      </c>
      <c r="H497">
        <v>36440538722885</v>
      </c>
      <c r="I497">
        <v>89003112694133.203</v>
      </c>
      <c r="J497">
        <v>65259759270423.5</v>
      </c>
      <c r="K497">
        <v>410549660848325</v>
      </c>
      <c r="L497">
        <v>-36452341240203.5</v>
      </c>
      <c r="M497">
        <v>475809420118748</v>
      </c>
      <c r="N497">
        <v>-692175584805276</v>
      </c>
      <c r="O497">
        <v>82130269767177.906</v>
      </c>
      <c r="P497">
        <v>54205978046337.398</v>
      </c>
      <c r="Q497">
        <v>84838376891586.797</v>
      </c>
      <c r="R497">
        <v>42419188445793.398</v>
      </c>
      <c r="S497">
        <v>42419188445793.398</v>
      </c>
      <c r="T497">
        <v>39711081321384.5</v>
      </c>
      <c r="U497">
        <v>16116273742602</v>
      </c>
      <c r="V497">
        <v>306048224927919</v>
      </c>
      <c r="W497">
        <v>54227206424031.898</v>
      </c>
      <c r="X497">
        <v>0.27465672322076301</v>
      </c>
      <c r="Y497">
        <v>480415544893390</v>
      </c>
      <c r="Z497">
        <v>224108259070353</v>
      </c>
      <c r="AA497">
        <v>0.78955726740616095</v>
      </c>
      <c r="AB497">
        <v>250059502096810</v>
      </c>
      <c r="AC497">
        <v>143209090740471</v>
      </c>
      <c r="AD497">
        <v>197436297164503</v>
      </c>
      <c r="AE497">
        <v>-386127359877357</v>
      </c>
      <c r="AF497">
        <v>-20336067497601.5</v>
      </c>
      <c r="AG497">
        <v>5.5594999999999999E-2</v>
      </c>
      <c r="AH497">
        <v>-1167985004924024</v>
      </c>
      <c r="AI497">
        <v>530156483998272</v>
      </c>
      <c r="AJ497">
        <v>0.06</v>
      </c>
      <c r="AK497">
        <v>0.05</v>
      </c>
      <c r="AL497">
        <v>8.8099999999999998E-2</v>
      </c>
      <c r="AM497">
        <v>3.8100000000000002E-2</v>
      </c>
      <c r="AN497">
        <v>0.89</v>
      </c>
      <c r="AO497">
        <v>0.66</v>
      </c>
      <c r="AP497">
        <v>0.42970000000000003</v>
      </c>
      <c r="AQ497">
        <v>0.57030000000000003</v>
      </c>
      <c r="AR497">
        <v>8.9999999999999993E-3</v>
      </c>
      <c r="AS497">
        <v>0.5</v>
      </c>
      <c r="AT497">
        <v>1.82</v>
      </c>
      <c r="AU497">
        <v>6.3545217126973294E-2</v>
      </c>
      <c r="AV497">
        <v>0.7893</v>
      </c>
      <c r="AW497">
        <v>3</v>
      </c>
      <c r="AX497">
        <v>0.05</v>
      </c>
      <c r="AY497">
        <v>1</v>
      </c>
      <c r="AZ497">
        <v>1</v>
      </c>
      <c r="BA497" s="2">
        <f>modelo_tese_H__2[[#This Row],[Vw]]+modelo_tese_H__2[[#This Row],[Vr]]+modelo_tese_H__2[[#This Row],[K]]-modelo_tese_H__2[[#This Row],[E]]</f>
        <v>-381521235102715</v>
      </c>
      <c r="BB497" s="2">
        <f>modelo_tese_H__2[[#This Row],[K]]-modelo_tese_H__2[[#This Row],[Coluna1]]</f>
        <v>861936779996105</v>
      </c>
      <c r="BC497">
        <f>modelo_tese_H__2[[#This Row],[Coluna2]]/modelo_tese_H__2[[#This Row],[Coluna1]]</f>
        <v>-2.259210499158848</v>
      </c>
      <c r="BD497" s="8">
        <f>modelo_tese_H__2[[#This Row],[D]]-modelo_tese_H__2[[#This Row],[Dw]]-modelo_tese_H__2[[#This Row],[Dr]]</f>
        <v>0</v>
      </c>
    </row>
    <row r="498" spans="1:56" x14ac:dyDescent="0.25">
      <c r="A498">
        <v>497</v>
      </c>
      <c r="B498">
        <v>497</v>
      </c>
      <c r="C498">
        <v>118858768236798</v>
      </c>
      <c r="D498">
        <v>55473311612013</v>
      </c>
      <c r="E498">
        <v>49371247334691.602</v>
      </c>
      <c r="F498">
        <v>6114406704327.21</v>
      </c>
      <c r="G498">
        <v>171659381421236</v>
      </c>
      <c r="H498">
        <v>38466450473183.797</v>
      </c>
      <c r="I498">
        <v>93952104512202.594</v>
      </c>
      <c r="J498">
        <v>68887769146547.602</v>
      </c>
      <c r="K498">
        <v>433374169243187</v>
      </c>
      <c r="L498">
        <v>-38478792900189.602</v>
      </c>
      <c r="M498">
        <v>502261938389735</v>
      </c>
      <c r="N498">
        <v>-730654377705465</v>
      </c>
      <c r="O498">
        <v>86696657283452.406</v>
      </c>
      <c r="P498">
        <v>57219793807078.602</v>
      </c>
      <c r="Q498">
        <v>89555694741981.297</v>
      </c>
      <c r="R498">
        <v>44777847370990.602</v>
      </c>
      <c r="S498">
        <v>44777847370990.602</v>
      </c>
      <c r="T498">
        <v>41918809912461.703</v>
      </c>
      <c r="U498">
        <v>17012146187866.699</v>
      </c>
      <c r="V498">
        <v>323060371115785</v>
      </c>
      <c r="W498">
        <v>57242564659497.703</v>
      </c>
      <c r="X498">
        <v>0.27465735266817098</v>
      </c>
      <c r="Y498">
        <v>507129999441464</v>
      </c>
      <c r="Z498">
        <v>236572976358860</v>
      </c>
      <c r="AA498">
        <v>0.789554640047195</v>
      </c>
      <c r="AB498">
        <v>263964585106258</v>
      </c>
      <c r="AC498">
        <v>151171898319281</v>
      </c>
      <c r="AD498">
        <v>208414462978779</v>
      </c>
      <c r="AE498">
        <v>-407594006589680</v>
      </c>
      <c r="AF498">
        <v>-21466646712322.801</v>
      </c>
      <c r="AG498">
        <v>5.5594999999999999E-2</v>
      </c>
      <c r="AH498">
        <v>-1232916316095200</v>
      </c>
      <c r="AI498">
        <v>559633347474646</v>
      </c>
      <c r="AJ498">
        <v>0.06</v>
      </c>
      <c r="AK498">
        <v>0.05</v>
      </c>
      <c r="AL498">
        <v>8.8099999999999998E-2</v>
      </c>
      <c r="AM498">
        <v>3.8100000000000002E-2</v>
      </c>
      <c r="AN498">
        <v>0.89</v>
      </c>
      <c r="AO498">
        <v>0.66</v>
      </c>
      <c r="AP498">
        <v>0.42970000000000003</v>
      </c>
      <c r="AQ498">
        <v>0.57030000000000003</v>
      </c>
      <c r="AR498">
        <v>8.9999999999999993E-3</v>
      </c>
      <c r="AS498">
        <v>0.5</v>
      </c>
      <c r="AT498">
        <v>1.82</v>
      </c>
      <c r="AU498">
        <v>6.3545217126973294E-2</v>
      </c>
      <c r="AV498">
        <v>0.7893</v>
      </c>
      <c r="AW498">
        <v>3</v>
      </c>
      <c r="AX498">
        <v>0.05</v>
      </c>
      <c r="AY498">
        <v>1</v>
      </c>
      <c r="AZ498">
        <v>1</v>
      </c>
      <c r="BA498" s="2">
        <f>modelo_tese_H__2[[#This Row],[Vw]]+modelo_tese_H__2[[#This Row],[Vr]]+modelo_tese_H__2[[#This Row],[K]]-modelo_tese_H__2[[#This Row],[E]]</f>
        <v>-402725945537950</v>
      </c>
      <c r="BB498" s="2">
        <f>modelo_tese_H__2[[#This Row],[K]]-modelo_tese_H__2[[#This Row],[Coluna1]]</f>
        <v>909855944979414</v>
      </c>
      <c r="BC498">
        <f>modelo_tese_H__2[[#This Row],[Coluna2]]/modelo_tese_H__2[[#This Row],[Coluna1]]</f>
        <v>-2.2592434261071856</v>
      </c>
      <c r="BD498" s="8">
        <f>modelo_tese_H__2[[#This Row],[D]]-modelo_tese_H__2[[#This Row],[Dw]]-modelo_tese_H__2[[#This Row],[Dr]]</f>
        <v>0</v>
      </c>
    </row>
    <row r="499" spans="1:56" x14ac:dyDescent="0.25">
      <c r="A499">
        <v>498</v>
      </c>
      <c r="B499">
        <v>498</v>
      </c>
      <c r="C499">
        <v>125467731379219</v>
      </c>
      <c r="D499">
        <v>58558374328473.898</v>
      </c>
      <c r="E499">
        <v>52116953152341.797</v>
      </c>
      <c r="F499">
        <v>6454328317075.9502</v>
      </c>
      <c r="G499">
        <v>181203519493861</v>
      </c>
      <c r="H499">
        <v>40604992787240.398</v>
      </c>
      <c r="I499">
        <v>99176274256658.203</v>
      </c>
      <c r="J499">
        <v>72717473459140.094</v>
      </c>
      <c r="K499">
        <v>457467606182262</v>
      </c>
      <c r="L499">
        <v>-40617899928184.297</v>
      </c>
      <c r="M499">
        <v>530185079641403</v>
      </c>
      <c r="N499">
        <v>-771272277633649</v>
      </c>
      <c r="O499">
        <v>91516929037303.5</v>
      </c>
      <c r="P499">
        <v>60401173164620.297</v>
      </c>
      <c r="Q499">
        <v>94535304530335.594</v>
      </c>
      <c r="R499">
        <v>47267652265167.797</v>
      </c>
      <c r="S499">
        <v>47267652265167.797</v>
      </c>
      <c r="T499">
        <v>44249276772135.703</v>
      </c>
      <c r="U499">
        <v>17957819649575</v>
      </c>
      <c r="V499">
        <v>341018190765360</v>
      </c>
      <c r="W499">
        <v>60425588488276</v>
      </c>
      <c r="X499">
        <v>0.27465797568871098</v>
      </c>
      <c r="Y499">
        <v>535329902003630</v>
      </c>
      <c r="Z499">
        <v>249730912581968</v>
      </c>
      <c r="AA499">
        <v>0.78955203950936104</v>
      </c>
      <c r="AB499">
        <v>278642856835969</v>
      </c>
      <c r="AC499">
        <v>159577447421278</v>
      </c>
      <c r="AD499">
        <v>220003035909554</v>
      </c>
      <c r="AE499">
        <v>-430254086868289</v>
      </c>
      <c r="AF499">
        <v>-22660080278609.301</v>
      </c>
      <c r="AG499">
        <v>5.5594999999999999E-2</v>
      </c>
      <c r="AH499">
        <v>-1301457357275052</v>
      </c>
      <c r="AI499">
        <v>590749103347329</v>
      </c>
      <c r="AJ499">
        <v>0.06</v>
      </c>
      <c r="AK499">
        <v>0.05</v>
      </c>
      <c r="AL499">
        <v>8.8099999999999998E-2</v>
      </c>
      <c r="AM499">
        <v>3.8100000000000002E-2</v>
      </c>
      <c r="AN499">
        <v>0.89</v>
      </c>
      <c r="AO499">
        <v>0.66</v>
      </c>
      <c r="AP499">
        <v>0.42970000000000003</v>
      </c>
      <c r="AQ499">
        <v>0.57030000000000003</v>
      </c>
      <c r="AR499">
        <v>8.9999999999999993E-3</v>
      </c>
      <c r="AS499">
        <v>0.5</v>
      </c>
      <c r="AT499">
        <v>1.82</v>
      </c>
      <c r="AU499">
        <v>6.3545217126973294E-2</v>
      </c>
      <c r="AV499">
        <v>0.7893</v>
      </c>
      <c r="AW499">
        <v>3</v>
      </c>
      <c r="AX499">
        <v>0.05</v>
      </c>
      <c r="AY499">
        <v>1</v>
      </c>
      <c r="AZ499">
        <v>1</v>
      </c>
      <c r="BA499" s="2">
        <f>modelo_tese_H__2[[#This Row],[Vw]]+modelo_tese_H__2[[#This Row],[Vr]]+modelo_tese_H__2[[#This Row],[K]]-modelo_tese_H__2[[#This Row],[E]]</f>
        <v>-425109264506061</v>
      </c>
      <c r="BB499" s="2">
        <f>modelo_tese_H__2[[#This Row],[K]]-modelo_tese_H__2[[#This Row],[Coluna1]]</f>
        <v>960439166509691</v>
      </c>
      <c r="BC499">
        <f>modelo_tese_H__2[[#This Row],[Coluna2]]/modelo_tese_H__2[[#This Row],[Coluna1]]</f>
        <v>-2.2592760184270166</v>
      </c>
      <c r="BD499" s="8">
        <f>modelo_tese_H__2[[#This Row],[D]]-modelo_tese_H__2[[#This Row],[Dw]]-modelo_tese_H__2[[#This Row],[Dr]]</f>
        <v>0</v>
      </c>
    </row>
    <row r="500" spans="1:56" x14ac:dyDescent="0.25">
      <c r="A500">
        <v>499</v>
      </c>
      <c r="B500">
        <v>499</v>
      </c>
      <c r="C500">
        <v>132444165106216</v>
      </c>
      <c r="D500">
        <v>61814997014633.102</v>
      </c>
      <c r="E500">
        <v>55015347343023.5</v>
      </c>
      <c r="F500">
        <v>6813147476086.9502</v>
      </c>
      <c r="G500">
        <v>191278296864763</v>
      </c>
      <c r="H500">
        <v>42862427361247.102</v>
      </c>
      <c r="I500">
        <v>104690922180358</v>
      </c>
      <c r="J500">
        <v>76760085196433.797</v>
      </c>
      <c r="K500">
        <v>482900517747965</v>
      </c>
      <c r="L500">
        <v>-42875925165724.398</v>
      </c>
      <c r="M500">
        <v>559660602944399</v>
      </c>
      <c r="N500">
        <v>-814148202799374</v>
      </c>
      <c r="O500">
        <v>96605200436748.703</v>
      </c>
      <c r="P500">
        <v>63759432288254.203</v>
      </c>
      <c r="Q500">
        <v>99791789840682.297</v>
      </c>
      <c r="R500">
        <v>49895894920341.203</v>
      </c>
      <c r="S500">
        <v>49895894920341.203</v>
      </c>
      <c r="T500">
        <v>46709305516407.602</v>
      </c>
      <c r="U500">
        <v>18956062590548.801</v>
      </c>
      <c r="V500">
        <v>359974253355909</v>
      </c>
      <c r="W500">
        <v>63785600478287</v>
      </c>
      <c r="X500">
        <v>0.27465859234796097</v>
      </c>
      <c r="Y500">
        <v>565097847624535</v>
      </c>
      <c r="Z500">
        <v>263620618139914</v>
      </c>
      <c r="AA500">
        <v>0.789549465519095</v>
      </c>
      <c r="AB500">
        <v>294137308793203</v>
      </c>
      <c r="AC500">
        <v>168450354468612</v>
      </c>
      <c r="AD500">
        <v>232235954946899</v>
      </c>
      <c r="AE500">
        <v>-454173949443464</v>
      </c>
      <c r="AF500">
        <v>-23919862575175.602</v>
      </c>
      <c r="AG500">
        <v>5.5594999999999999E-2</v>
      </c>
      <c r="AH500">
        <v>-1373808805743773</v>
      </c>
      <c r="AI500">
        <v>623594871495824</v>
      </c>
      <c r="AJ500">
        <v>0.06</v>
      </c>
      <c r="AK500">
        <v>0.05</v>
      </c>
      <c r="AL500">
        <v>8.8099999999999998E-2</v>
      </c>
      <c r="AM500">
        <v>3.8100000000000002E-2</v>
      </c>
      <c r="AN500">
        <v>0.89</v>
      </c>
      <c r="AO500">
        <v>0.66</v>
      </c>
      <c r="AP500">
        <v>0.42970000000000003</v>
      </c>
      <c r="AQ500">
        <v>0.57030000000000003</v>
      </c>
      <c r="AR500">
        <v>8.9999999999999993E-3</v>
      </c>
      <c r="AS500">
        <v>0.5</v>
      </c>
      <c r="AT500">
        <v>1.82</v>
      </c>
      <c r="AU500">
        <v>6.3545217126973294E-2</v>
      </c>
      <c r="AV500">
        <v>0.7893</v>
      </c>
      <c r="AW500">
        <v>3</v>
      </c>
      <c r="AX500">
        <v>0.05</v>
      </c>
      <c r="AY500">
        <v>1</v>
      </c>
      <c r="AZ500">
        <v>1</v>
      </c>
      <c r="BA500" s="2">
        <f>modelo_tese_H__2[[#This Row],[Vw]]+modelo_tese_H__2[[#This Row],[Vr]]+modelo_tese_H__2[[#This Row],[K]]-modelo_tese_H__2[[#This Row],[E]]</f>
        <v>-448736704763328</v>
      </c>
      <c r="BB500" s="2">
        <f>modelo_tese_H__2[[#This Row],[K]]-modelo_tese_H__2[[#This Row],[Coluna1]]</f>
        <v>1013834552387863</v>
      </c>
      <c r="BC500">
        <f>modelo_tese_H__2[[#This Row],[Coluna2]]/modelo_tese_H__2[[#This Row],[Coluna1]]</f>
        <v>-2.259308279501179</v>
      </c>
      <c r="BD500" s="8">
        <f>modelo_tese_H__2[[#This Row],[D]]-modelo_tese_H__2[[#This Row],[Dw]]-modelo_tese_H__2[[#This Row],[Dr]]</f>
        <v>1</v>
      </c>
    </row>
    <row r="501" spans="1:56" x14ac:dyDescent="0.25">
      <c r="A501">
        <v>500</v>
      </c>
      <c r="B501">
        <v>500</v>
      </c>
      <c r="C501">
        <v>139808500974685</v>
      </c>
      <c r="D501">
        <v>65252719604964.102</v>
      </c>
      <c r="E501">
        <v>58074920448418</v>
      </c>
      <c r="F501">
        <v>7191914772701.6104</v>
      </c>
      <c r="G501">
        <v>201913215902450</v>
      </c>
      <c r="H501">
        <v>45245364010395.602</v>
      </c>
      <c r="I501">
        <v>110512199231515</v>
      </c>
      <c r="J501">
        <v>81027440723151.297</v>
      </c>
      <c r="K501">
        <v>509747372032163</v>
      </c>
      <c r="L501">
        <v>-45259479626551.203</v>
      </c>
      <c r="M501">
        <v>590774812755315</v>
      </c>
      <c r="N501">
        <v>-859407682425925</v>
      </c>
      <c r="O501">
        <v>101976371667904</v>
      </c>
      <c r="P501">
        <v>67304405300816.797</v>
      </c>
      <c r="Q501">
        <v>105340545097005</v>
      </c>
      <c r="R501">
        <v>52670272548502.602</v>
      </c>
      <c r="S501">
        <v>52670272548502.602</v>
      </c>
      <c r="T501">
        <v>49306099119401.602</v>
      </c>
      <c r="U501">
        <v>20009797376232</v>
      </c>
      <c r="V501">
        <v>379984050732141</v>
      </c>
      <c r="W501">
        <v>67332441539358</v>
      </c>
      <c r="X501">
        <v>0.27465920271083299</v>
      </c>
      <c r="Y501">
        <v>596521023738607</v>
      </c>
      <c r="Z501">
        <v>278282787130770</v>
      </c>
      <c r="AA501">
        <v>0.78954691780550301</v>
      </c>
      <c r="AB501">
        <v>310493322870624</v>
      </c>
      <c r="AC501">
        <v>177816604532332</v>
      </c>
      <c r="AD501">
        <v>245149046071690</v>
      </c>
      <c r="AE501">
        <v>-479423631693784</v>
      </c>
      <c r="AF501">
        <v>-25249682250319.102</v>
      </c>
      <c r="AG501">
        <v>5.5594999999999999E-2</v>
      </c>
      <c r="AH501">
        <v>-1450182495181240</v>
      </c>
      <c r="AI501">
        <v>658266837862911</v>
      </c>
      <c r="AJ501">
        <v>0.06</v>
      </c>
      <c r="AK501">
        <v>0.05</v>
      </c>
      <c r="AL501">
        <v>8.8099999999999998E-2</v>
      </c>
      <c r="AM501">
        <v>3.8100000000000002E-2</v>
      </c>
      <c r="AN501">
        <v>0.89</v>
      </c>
      <c r="AO501">
        <v>0.66</v>
      </c>
      <c r="AP501">
        <v>0.42970000000000003</v>
      </c>
      <c r="AQ501">
        <v>0.57030000000000003</v>
      </c>
      <c r="AR501">
        <v>8.9999999999999993E-3</v>
      </c>
      <c r="AS501">
        <v>0.5</v>
      </c>
      <c r="AT501">
        <v>1.82</v>
      </c>
      <c r="AU501">
        <v>6.3545217126973294E-2</v>
      </c>
      <c r="AV501">
        <v>0.7893</v>
      </c>
      <c r="AW501">
        <v>3</v>
      </c>
      <c r="AX501">
        <v>0.05</v>
      </c>
      <c r="AY501">
        <v>1</v>
      </c>
      <c r="AZ501">
        <v>1</v>
      </c>
      <c r="BA501" s="2">
        <f>modelo_tese_H__2[[#This Row],[Vw]]+modelo_tese_H__2[[#This Row],[Vr]]+modelo_tese_H__2[[#This Row],[K]]-modelo_tese_H__2[[#This Row],[E]]</f>
        <v>-473677420710492</v>
      </c>
      <c r="BB501" s="2">
        <f>modelo_tese_H__2[[#This Row],[K]]-modelo_tese_H__2[[#This Row],[Coluna1]]</f>
        <v>1070198444449099</v>
      </c>
      <c r="BC501">
        <f>modelo_tese_H__2[[#This Row],[Coluna2]]/modelo_tese_H__2[[#This Row],[Coluna1]]</f>
        <v>-2.2593402126786111</v>
      </c>
      <c r="BD501" s="8">
        <f>modelo_tese_H__2[[#This Row],[D]]-modelo_tese_H__2[[#This Row],[Dw]]-modelo_tese_H__2[[#This Row],[Dr]]</f>
        <v>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2BAC-8C5C-4094-BA2F-E20B9D9DE303}">
  <dimension ref="A1:AC55"/>
  <sheetViews>
    <sheetView topLeftCell="B1" zoomScale="70" zoomScaleNormal="70" workbookViewId="0">
      <pane xSplit="3" ySplit="5" topLeftCell="E6" activePane="bottomRight" state="frozen"/>
      <selection activeCell="B1" sqref="B1"/>
      <selection pane="topRight" activeCell="E1" sqref="E1"/>
      <selection pane="bottomLeft" activeCell="B6" sqref="B6"/>
      <selection pane="bottomRight" activeCell="D16" sqref="D16"/>
    </sheetView>
  </sheetViews>
  <sheetFormatPr defaultRowHeight="15" x14ac:dyDescent="0.25"/>
  <cols>
    <col min="1" max="1" width="40" bestFit="1" customWidth="1"/>
    <col min="2" max="2" width="10.7109375" bestFit="1" customWidth="1"/>
    <col min="3" max="3" width="10.7109375" customWidth="1"/>
    <col min="4" max="4" width="17.85546875" customWidth="1"/>
    <col min="7" max="7" width="13.5703125" bestFit="1" customWidth="1"/>
    <col min="8" max="8" width="13.5703125" customWidth="1"/>
    <col min="9" max="12" width="31.5703125" style="3" customWidth="1"/>
    <col min="13" max="13" width="31.5703125" customWidth="1"/>
    <col min="14" max="14" width="24" bestFit="1" customWidth="1"/>
    <col min="15" max="15" width="24" customWidth="1"/>
    <col min="17" max="17" width="17.85546875" bestFit="1" customWidth="1"/>
    <col min="18" max="18" width="17.85546875" customWidth="1"/>
    <col min="19" max="19" width="19" bestFit="1" customWidth="1"/>
    <col min="20" max="20" width="29.42578125" customWidth="1"/>
    <col min="21" max="21" width="19" customWidth="1"/>
    <col min="22" max="22" width="44" bestFit="1" customWidth="1"/>
    <col min="23" max="24" width="19" customWidth="1"/>
    <col min="26" max="27" width="27.28515625" bestFit="1" customWidth="1"/>
    <col min="29" max="29" width="22.140625" bestFit="1" customWidth="1"/>
  </cols>
  <sheetData>
    <row r="1" spans="1:27" x14ac:dyDescent="0.25">
      <c r="A1" t="s">
        <v>0</v>
      </c>
      <c r="G1" t="s">
        <v>3</v>
      </c>
      <c r="H1" t="s">
        <v>67</v>
      </c>
      <c r="I1" s="3" t="s">
        <v>62</v>
      </c>
      <c r="M1" t="s">
        <v>62</v>
      </c>
      <c r="N1" t="s">
        <v>70</v>
      </c>
      <c r="O1" t="s">
        <v>140</v>
      </c>
      <c r="Q1" t="s">
        <v>68</v>
      </c>
      <c r="R1" t="s">
        <v>69</v>
      </c>
      <c r="S1" t="s">
        <v>66</v>
      </c>
      <c r="T1" t="s">
        <v>66</v>
      </c>
      <c r="U1" t="s">
        <v>66</v>
      </c>
      <c r="V1" t="s">
        <v>66</v>
      </c>
      <c r="W1" t="s">
        <v>70</v>
      </c>
      <c r="X1" t="s">
        <v>141</v>
      </c>
    </row>
    <row r="2" spans="1:27" x14ac:dyDescent="0.25">
      <c r="J2" s="3" t="s">
        <v>131</v>
      </c>
      <c r="K2" s="3" t="s">
        <v>132</v>
      </c>
      <c r="L2" s="3" t="s">
        <v>138</v>
      </c>
      <c r="O2" t="s">
        <v>142</v>
      </c>
      <c r="T2" t="s">
        <v>133</v>
      </c>
      <c r="U2" t="s">
        <v>136</v>
      </c>
      <c r="V2" t="s">
        <v>136</v>
      </c>
      <c r="X2" t="s">
        <v>142</v>
      </c>
    </row>
    <row r="3" spans="1:27" x14ac:dyDescent="0.25">
      <c r="A3" t="s">
        <v>78</v>
      </c>
      <c r="I3" s="4">
        <f>I41*I13-(I9+I8*I22)*I34-(I9+I8*I21)*I33</f>
        <v>0</v>
      </c>
      <c r="J3" s="4" t="s">
        <v>134</v>
      </c>
      <c r="K3" s="4" t="s">
        <v>137</v>
      </c>
      <c r="L3" s="4" t="s">
        <v>139</v>
      </c>
      <c r="O3" t="s">
        <v>143</v>
      </c>
      <c r="T3" t="str">
        <f>CONCATENATE("nome_modelo &lt;- ","""",J3,"""")</f>
        <v>nome_modelo &lt;- "MODELO_H_CB"</v>
      </c>
      <c r="U3" t="str">
        <f>CONCATENATE("nome_modelo &lt;- ","""",K3,"""")</f>
        <v>nome_modelo &lt;- "MODELO_H_SB"</v>
      </c>
      <c r="V3" t="str">
        <f>CONCATENATE("nome_modelo &lt;- ","""",L3,"""")</f>
        <v>nome_modelo &lt;- "MODELO_H_CB_BETA7"</v>
      </c>
      <c r="X3" t="str">
        <f>CONCATENATE("nome_modelo &lt;- ","""",O3,"""")</f>
        <v>nome_modelo &lt;- "BUCCHIANICO_2024"</v>
      </c>
    </row>
    <row r="4" spans="1:27" x14ac:dyDescent="0.25">
      <c r="Z4" s="13" t="s">
        <v>63</v>
      </c>
      <c r="AA4" s="13"/>
    </row>
    <row r="5" spans="1:27" x14ac:dyDescent="0.25">
      <c r="A5" t="s">
        <v>26</v>
      </c>
      <c r="C5" t="s">
        <v>80</v>
      </c>
      <c r="D5" t="s">
        <v>83</v>
      </c>
      <c r="E5" t="s">
        <v>59</v>
      </c>
      <c r="F5" t="s">
        <v>61</v>
      </c>
      <c r="Z5" t="s">
        <v>59</v>
      </c>
      <c r="AA5" t="s">
        <v>61</v>
      </c>
    </row>
    <row r="6" spans="1:27" x14ac:dyDescent="0.25">
      <c r="A6" t="s">
        <v>1</v>
      </c>
      <c r="B6" t="s">
        <v>2</v>
      </c>
      <c r="C6" t="s">
        <v>81</v>
      </c>
      <c r="E6" t="s">
        <v>60</v>
      </c>
      <c r="F6" t="s">
        <v>60</v>
      </c>
      <c r="G6">
        <v>0.05</v>
      </c>
      <c r="H6">
        <v>0.06</v>
      </c>
      <c r="I6" s="3">
        <v>0.05</v>
      </c>
      <c r="J6" s="3">
        <v>0.05</v>
      </c>
      <c r="K6" s="3">
        <v>0.05</v>
      </c>
      <c r="L6" s="3">
        <v>0.05</v>
      </c>
      <c r="M6">
        <v>0.05</v>
      </c>
      <c r="N6">
        <v>8.4000000000000005E-2</v>
      </c>
      <c r="O6" s="3">
        <v>0.03</v>
      </c>
      <c r="Q6" t="str">
        <f t="shared" ref="Q6:V6" si="0">IF($F6="","",CONCATENATE($B6,"_v = ",G6))</f>
        <v>phi0_v = 0.05</v>
      </c>
      <c r="R6" t="str">
        <f t="shared" si="0"/>
        <v>phi0_v = 0.06</v>
      </c>
      <c r="S6" t="str">
        <f t="shared" si="0"/>
        <v>phi0_v = 0.05</v>
      </c>
      <c r="T6" t="str">
        <f t="shared" si="0"/>
        <v>phi0_v = 0.05</v>
      </c>
      <c r="U6" t="str">
        <f t="shared" si="0"/>
        <v>phi0_v = 0.05</v>
      </c>
      <c r="V6" t="str">
        <f t="shared" si="0"/>
        <v>phi0_v = 0.05</v>
      </c>
      <c r="W6" t="str">
        <f t="shared" ref="W6:X38" si="1">IF($F6="","",CONCATENATE($B6,"_v = ",N6))</f>
        <v>phi0_v = 0.084</v>
      </c>
      <c r="X6" t="str">
        <f t="shared" si="1"/>
        <v>phi0_v = 0.03</v>
      </c>
      <c r="Z6" t="str">
        <f>IF(E6="x",CONCATENATE(B6, " = ",B6,"_v,"),"")</f>
        <v>phi0 = phi0_v,</v>
      </c>
      <c r="AA6" t="str">
        <f>IF(F6="x",CONCATENATE(B6, " = ",B6,"_v,"),"")</f>
        <v>phi0 = phi0_v,</v>
      </c>
    </row>
    <row r="7" spans="1:27" x14ac:dyDescent="0.25">
      <c r="A7" t="s">
        <v>72</v>
      </c>
      <c r="B7" t="s">
        <v>71</v>
      </c>
      <c r="E7" t="s">
        <v>60</v>
      </c>
      <c r="F7" t="s">
        <v>60</v>
      </c>
      <c r="G7">
        <v>0</v>
      </c>
      <c r="H7">
        <v>0</v>
      </c>
      <c r="I7" s="3">
        <v>0.05</v>
      </c>
      <c r="J7" s="3">
        <v>0.05</v>
      </c>
      <c r="K7" s="3">
        <v>0.05</v>
      </c>
      <c r="L7" s="3">
        <v>0.05</v>
      </c>
      <c r="M7">
        <v>0.05</v>
      </c>
      <c r="N7">
        <v>0.06</v>
      </c>
      <c r="O7" s="3">
        <v>0.1</v>
      </c>
      <c r="Q7" t="str">
        <f t="shared" ref="Q7:Q40" si="2">IF($F7="","",CONCATENATE($B7,"_v = ",G7))</f>
        <v>phi1_v = 0</v>
      </c>
      <c r="R7" t="str">
        <f t="shared" ref="R7:R28" si="3">IF($F7="","",CONCATENATE($B7,"_v = ",H7))</f>
        <v>phi1_v = 0</v>
      </c>
      <c r="S7" t="str">
        <f t="shared" ref="S7:S28" si="4">IF($F7="","",CONCATENATE($B7,"_v = ",I7))</f>
        <v>phi1_v = 0.05</v>
      </c>
      <c r="T7" t="str">
        <f t="shared" ref="T7:T28" si="5">IF($F7="","",CONCATENATE($B7,"_v = ",J7))</f>
        <v>phi1_v = 0.05</v>
      </c>
      <c r="U7" t="str">
        <f t="shared" ref="U7:U28" si="6">IF($F7="","",CONCATENATE($B7,"_v = ",K7))</f>
        <v>phi1_v = 0.05</v>
      </c>
      <c r="V7" t="str">
        <f t="shared" ref="V7:V28" si="7">IF($F7="","",CONCATENATE($B7,"_v = ",L7))</f>
        <v>phi1_v = 0.05</v>
      </c>
      <c r="W7" t="str">
        <f t="shared" si="1"/>
        <v>phi1_v = 0.06</v>
      </c>
      <c r="X7" t="str">
        <f t="shared" si="1"/>
        <v>phi1_v = 0.1</v>
      </c>
      <c r="Z7" t="str">
        <f t="shared" ref="Z7:Z8" si="8">IF(E7="x",CONCATENATE(B7, " = ",B7,"_v,"),"")</f>
        <v>phi1 = phi1_v,</v>
      </c>
      <c r="AA7" t="str">
        <f t="shared" ref="AA7:AA8" si="9">IF(F7="x",CONCATENATE(B7, " = ",B7,"_v,"),"")</f>
        <v>phi1 = phi1_v,</v>
      </c>
    </row>
    <row r="8" spans="1:27" x14ac:dyDescent="0.25">
      <c r="A8" t="s">
        <v>4</v>
      </c>
      <c r="B8" t="s">
        <v>5</v>
      </c>
      <c r="C8" t="s">
        <v>82</v>
      </c>
      <c r="D8" t="s">
        <v>84</v>
      </c>
      <c r="E8" t="s">
        <v>60</v>
      </c>
      <c r="F8" t="s">
        <v>60</v>
      </c>
      <c r="G8">
        <v>0.03</v>
      </c>
      <c r="H8">
        <v>0.05</v>
      </c>
      <c r="I8" s="3">
        <v>8.1799999999999998E-2</v>
      </c>
      <c r="J8" s="3">
        <v>8.1799999999999998E-2</v>
      </c>
      <c r="K8" s="3">
        <v>8.1799999999999998E-2</v>
      </c>
      <c r="L8" s="3">
        <v>8.1799999999999998E-2</v>
      </c>
      <c r="M8">
        <v>8.1799999999999998E-2</v>
      </c>
      <c r="N8">
        <v>0.02</v>
      </c>
      <c r="O8" s="3">
        <v>0.01</v>
      </c>
      <c r="Q8" t="str">
        <f t="shared" si="2"/>
        <v>i_v = 0.03</v>
      </c>
      <c r="R8" t="str">
        <f t="shared" si="3"/>
        <v>i_v = 0.05</v>
      </c>
      <c r="S8" t="str">
        <f t="shared" si="4"/>
        <v>i_v = 0.0818</v>
      </c>
      <c r="T8" t="str">
        <f t="shared" si="5"/>
        <v>i_v = 0.0818</v>
      </c>
      <c r="U8" t="str">
        <f t="shared" si="6"/>
        <v>i_v = 0.0818</v>
      </c>
      <c r="V8" t="str">
        <f t="shared" si="7"/>
        <v>i_v = 0.0818</v>
      </c>
      <c r="W8" t="str">
        <f t="shared" si="1"/>
        <v>i_v = 0.02</v>
      </c>
      <c r="X8" t="str">
        <f t="shared" si="1"/>
        <v>i_v = 0.01</v>
      </c>
      <c r="Z8" t="str">
        <f t="shared" si="8"/>
        <v>i = i_v,</v>
      </c>
      <c r="AA8" t="str">
        <f t="shared" si="9"/>
        <v>i = i_v,</v>
      </c>
    </row>
    <row r="9" spans="1:27" x14ac:dyDescent="0.25">
      <c r="A9" t="s">
        <v>6</v>
      </c>
      <c r="B9" t="s">
        <v>7</v>
      </c>
      <c r="C9" t="s">
        <v>82</v>
      </c>
      <c r="D9" t="s">
        <v>85</v>
      </c>
      <c r="E9" t="s">
        <v>60</v>
      </c>
      <c r="F9" t="s">
        <v>60</v>
      </c>
      <c r="G9">
        <v>0.15</v>
      </c>
      <c r="H9">
        <v>0.1</v>
      </c>
      <c r="I9" s="3">
        <v>3.8100000000000002E-2</v>
      </c>
      <c r="J9" s="3">
        <v>3.8100000000000002E-2</v>
      </c>
      <c r="K9" s="3">
        <v>3.8100000000000002E-2</v>
      </c>
      <c r="L9" s="3">
        <v>3.8100000000000002E-2</v>
      </c>
      <c r="M9">
        <v>3.8100000000000002E-2</v>
      </c>
      <c r="N9">
        <v>0</v>
      </c>
      <c r="O9" s="3">
        <v>0.01</v>
      </c>
      <c r="Q9" t="str">
        <f t="shared" si="2"/>
        <v>r_v = 0.15</v>
      </c>
      <c r="R9" t="str">
        <f t="shared" si="3"/>
        <v>r_v = 0.1</v>
      </c>
      <c r="S9" t="str">
        <f t="shared" si="4"/>
        <v>r_v = 0.0381</v>
      </c>
      <c r="T9" t="str">
        <f t="shared" si="5"/>
        <v>r_v = 0.0381</v>
      </c>
      <c r="U9" t="str">
        <f t="shared" si="6"/>
        <v>r_v = 0.0381</v>
      </c>
      <c r="V9" t="str">
        <f t="shared" si="7"/>
        <v>r_v = 0.0381</v>
      </c>
      <c r="W9" t="str">
        <f t="shared" si="1"/>
        <v>r_v = 0</v>
      </c>
      <c r="X9" t="str">
        <f t="shared" si="1"/>
        <v>r_v = 0.01</v>
      </c>
      <c r="Z9" t="str">
        <f t="shared" ref="Z9:Z40" si="10">IF(E9="x",CONCATENATE(B9, " = ",B9,"_v,"),"")</f>
        <v>r = r_v,</v>
      </c>
      <c r="AA9" t="str">
        <f t="shared" ref="AA9:AA40" si="11">IF(F9="x",CONCATENATE(B9, " = ",B9,"_v,"),"")</f>
        <v>r = r_v,</v>
      </c>
    </row>
    <row r="10" spans="1:27" x14ac:dyDescent="0.25">
      <c r="A10" t="s">
        <v>8</v>
      </c>
      <c r="B10" t="s">
        <v>9</v>
      </c>
      <c r="C10" t="s">
        <v>86</v>
      </c>
      <c r="D10" t="s">
        <v>87</v>
      </c>
      <c r="E10" t="s">
        <v>60</v>
      </c>
      <c r="F10" t="s">
        <v>60</v>
      </c>
      <c r="G10">
        <v>0.82</v>
      </c>
      <c r="H10">
        <v>0.9</v>
      </c>
      <c r="I10" s="3">
        <v>0.85</v>
      </c>
      <c r="J10" s="3">
        <v>0.85</v>
      </c>
      <c r="K10" s="3">
        <v>0.85</v>
      </c>
      <c r="L10" s="3">
        <v>0.85</v>
      </c>
      <c r="M10">
        <v>0.84</v>
      </c>
      <c r="N10">
        <v>0.9</v>
      </c>
      <c r="O10" s="3">
        <v>0.7</v>
      </c>
      <c r="Q10" t="str">
        <f t="shared" si="2"/>
        <v>cw_v = 0.82</v>
      </c>
      <c r="R10" t="str">
        <f t="shared" si="3"/>
        <v>cw_v = 0.9</v>
      </c>
      <c r="S10" t="str">
        <f t="shared" si="4"/>
        <v>cw_v = 0.85</v>
      </c>
      <c r="T10" t="str">
        <f t="shared" si="5"/>
        <v>cw_v = 0.85</v>
      </c>
      <c r="U10" t="str">
        <f t="shared" si="6"/>
        <v>cw_v = 0.85</v>
      </c>
      <c r="V10" t="str">
        <f t="shared" si="7"/>
        <v>cw_v = 0.85</v>
      </c>
      <c r="W10" t="str">
        <f t="shared" si="1"/>
        <v>cw_v = 0.9</v>
      </c>
      <c r="X10" t="str">
        <f t="shared" si="1"/>
        <v>cw_v = 0.7</v>
      </c>
      <c r="Z10" t="str">
        <f t="shared" si="10"/>
        <v>cw = cw_v,</v>
      </c>
      <c r="AA10" t="str">
        <f t="shared" si="11"/>
        <v>cw = cw_v,</v>
      </c>
    </row>
    <row r="11" spans="1:27" x14ac:dyDescent="0.25">
      <c r="A11" t="s">
        <v>10</v>
      </c>
      <c r="B11" t="s">
        <v>11</v>
      </c>
      <c r="C11" t="s">
        <v>86</v>
      </c>
      <c r="D11" t="s">
        <v>87</v>
      </c>
      <c r="E11" t="s">
        <v>60</v>
      </c>
      <c r="F11" t="s">
        <v>60</v>
      </c>
      <c r="G11">
        <v>0.7</v>
      </c>
      <c r="H11">
        <v>0.5</v>
      </c>
      <c r="I11" s="3">
        <v>0.66</v>
      </c>
      <c r="J11" s="3">
        <v>0.66</v>
      </c>
      <c r="K11" s="3">
        <v>0.66</v>
      </c>
      <c r="L11" s="3">
        <v>0.66</v>
      </c>
      <c r="M11">
        <v>0.56000000000000005</v>
      </c>
      <c r="N11">
        <v>0.2</v>
      </c>
      <c r="O11" s="3">
        <v>0.2</v>
      </c>
      <c r="Q11" t="str">
        <f t="shared" si="2"/>
        <v>cr_v = 0.7</v>
      </c>
      <c r="R11" t="str">
        <f t="shared" si="3"/>
        <v>cr_v = 0.5</v>
      </c>
      <c r="S11" t="str">
        <f t="shared" si="4"/>
        <v>cr_v = 0.66</v>
      </c>
      <c r="T11" t="str">
        <f t="shared" si="5"/>
        <v>cr_v = 0.66</v>
      </c>
      <c r="U11" t="str">
        <f t="shared" si="6"/>
        <v>cr_v = 0.66</v>
      </c>
      <c r="V11" t="str">
        <f t="shared" si="7"/>
        <v>cr_v = 0.66</v>
      </c>
      <c r="W11" t="str">
        <f t="shared" si="1"/>
        <v>cr_v = 0.2</v>
      </c>
      <c r="X11" t="str">
        <f t="shared" si="1"/>
        <v>cr_v = 0.2</v>
      </c>
      <c r="Z11" t="str">
        <f t="shared" si="10"/>
        <v>cr = cr_v,</v>
      </c>
      <c r="AA11" t="str">
        <f t="shared" si="11"/>
        <v>cr = cr_v,</v>
      </c>
    </row>
    <row r="12" spans="1:27" x14ac:dyDescent="0.25">
      <c r="A12" t="s">
        <v>12</v>
      </c>
      <c r="B12" t="s">
        <v>13</v>
      </c>
      <c r="C12" t="s">
        <v>88</v>
      </c>
      <c r="E12" t="s">
        <v>60</v>
      </c>
      <c r="F12" t="s">
        <v>60</v>
      </c>
      <c r="G12">
        <v>0.2</v>
      </c>
      <c r="H12">
        <v>0.5</v>
      </c>
      <c r="I12" s="3">
        <f>1-I13</f>
        <v>0.42969999999999997</v>
      </c>
      <c r="J12" s="3">
        <f>1-J13</f>
        <v>0.42969999999999997</v>
      </c>
      <c r="K12" s="3">
        <f>1-K13</f>
        <v>0.42969999999999997</v>
      </c>
      <c r="L12" s="3">
        <f>1-L13</f>
        <v>0.42969999999999997</v>
      </c>
      <c r="M12">
        <f>1-M13</f>
        <v>0.42969999999999997</v>
      </c>
      <c r="N12">
        <v>0.4</v>
      </c>
      <c r="O12" s="3">
        <v>0.39</v>
      </c>
      <c r="Q12" t="str">
        <f t="shared" si="2"/>
        <v>pi_v = 0.2</v>
      </c>
      <c r="R12" t="str">
        <f t="shared" si="3"/>
        <v>pi_v = 0.5</v>
      </c>
      <c r="S12" t="str">
        <f t="shared" si="4"/>
        <v>pi_v = 0.4297</v>
      </c>
      <c r="T12" t="str">
        <f t="shared" si="5"/>
        <v>pi_v = 0.4297</v>
      </c>
      <c r="U12" t="str">
        <f t="shared" si="6"/>
        <v>pi_v = 0.4297</v>
      </c>
      <c r="V12" t="str">
        <f t="shared" si="7"/>
        <v>pi_v = 0.4297</v>
      </c>
      <c r="W12" t="str">
        <f t="shared" si="1"/>
        <v>pi_v = 0.4</v>
      </c>
      <c r="X12" t="str">
        <f t="shared" si="1"/>
        <v>pi_v = 0.39</v>
      </c>
      <c r="Z12" t="str">
        <f t="shared" si="10"/>
        <v>pi = pi_v,</v>
      </c>
      <c r="AA12" t="str">
        <f t="shared" si="11"/>
        <v>pi = pi_v,</v>
      </c>
    </row>
    <row r="13" spans="1:27" x14ac:dyDescent="0.25">
      <c r="A13" t="s">
        <v>14</v>
      </c>
      <c r="B13" t="s">
        <v>15</v>
      </c>
      <c r="C13" t="s">
        <v>88</v>
      </c>
      <c r="E13" t="s">
        <v>60</v>
      </c>
      <c r="F13" t="s">
        <v>60</v>
      </c>
      <c r="G13">
        <v>0.8</v>
      </c>
      <c r="H13">
        <v>0.5</v>
      </c>
      <c r="I13" s="3">
        <v>0.57030000000000003</v>
      </c>
      <c r="J13" s="3">
        <v>0.57030000000000003</v>
      </c>
      <c r="K13" s="3">
        <v>0.57030000000000003</v>
      </c>
      <c r="L13" s="3">
        <v>0.57030000000000003</v>
      </c>
      <c r="M13">
        <v>0.57030000000000003</v>
      </c>
      <c r="N13">
        <v>0.6</v>
      </c>
      <c r="O13">
        <f>1-O12</f>
        <v>0.61</v>
      </c>
      <c r="Q13" t="str">
        <f t="shared" si="2"/>
        <v>w_v = 0.8</v>
      </c>
      <c r="R13" t="str">
        <f t="shared" si="3"/>
        <v>w_v = 0.5</v>
      </c>
      <c r="S13" t="str">
        <f t="shared" si="4"/>
        <v>w_v = 0.5703</v>
      </c>
      <c r="T13" t="str">
        <f t="shared" si="5"/>
        <v>w_v = 0.5703</v>
      </c>
      <c r="U13" t="str">
        <f t="shared" si="6"/>
        <v>w_v = 0.5703</v>
      </c>
      <c r="V13" t="str">
        <f t="shared" si="7"/>
        <v>w_v = 0.5703</v>
      </c>
      <c r="W13" t="str">
        <f t="shared" si="1"/>
        <v>w_v = 0.6</v>
      </c>
      <c r="X13" t="str">
        <f t="shared" si="1"/>
        <v>w_v = 0.61</v>
      </c>
      <c r="Z13" t="str">
        <f t="shared" si="10"/>
        <v>w = w_v,</v>
      </c>
      <c r="AA13" t="str">
        <f t="shared" si="11"/>
        <v>w = w_v,</v>
      </c>
    </row>
    <row r="14" spans="1:27" x14ac:dyDescent="0.25">
      <c r="A14" t="s">
        <v>16</v>
      </c>
      <c r="B14" t="s">
        <v>17</v>
      </c>
      <c r="C14" t="s">
        <v>3</v>
      </c>
      <c r="E14" t="s">
        <v>60</v>
      </c>
      <c r="F14" t="s">
        <v>60</v>
      </c>
      <c r="G14">
        <v>8.9999999999999993E-3</v>
      </c>
      <c r="H14">
        <v>8.9999999999999993E-3</v>
      </c>
      <c r="I14" s="3">
        <v>8.9999999999999993E-3</v>
      </c>
      <c r="J14" s="3">
        <v>8.9999999999999993E-3</v>
      </c>
      <c r="K14" s="3">
        <v>8.9999999999999993E-3</v>
      </c>
      <c r="L14" s="3">
        <v>8.9999999999999993E-3</v>
      </c>
      <c r="M14">
        <v>8.9999999999999993E-3</v>
      </c>
      <c r="N14">
        <v>0.02</v>
      </c>
      <c r="O14" s="3">
        <v>0.15</v>
      </c>
      <c r="Q14" t="str">
        <f t="shared" si="2"/>
        <v>gamma_v = 0.009</v>
      </c>
      <c r="R14" t="str">
        <f t="shared" si="3"/>
        <v>gamma_v = 0.009</v>
      </c>
      <c r="S14" t="str">
        <f t="shared" si="4"/>
        <v>gamma_v = 0.009</v>
      </c>
      <c r="T14" t="str">
        <f t="shared" si="5"/>
        <v>gamma_v = 0.009</v>
      </c>
      <c r="U14" t="str">
        <f t="shared" si="6"/>
        <v>gamma_v = 0.009</v>
      </c>
      <c r="V14" t="str">
        <f t="shared" si="7"/>
        <v>gamma_v = 0.009</v>
      </c>
      <c r="W14" t="str">
        <f t="shared" si="1"/>
        <v>gamma_v = 0.02</v>
      </c>
      <c r="X14" t="str">
        <f t="shared" si="1"/>
        <v>gamma_v = 0.15</v>
      </c>
      <c r="Z14" t="str">
        <f t="shared" si="10"/>
        <v>gamma = gamma_v,</v>
      </c>
      <c r="AA14" t="str">
        <f t="shared" si="11"/>
        <v>gamma = gamma_v,</v>
      </c>
    </row>
    <row r="15" spans="1:27" x14ac:dyDescent="0.25">
      <c r="A15" t="s">
        <v>18</v>
      </c>
      <c r="B15" t="s">
        <v>19</v>
      </c>
      <c r="C15" t="s">
        <v>94</v>
      </c>
      <c r="E15" t="s">
        <v>60</v>
      </c>
      <c r="F15" t="s">
        <v>60</v>
      </c>
      <c r="G15">
        <v>0.75</v>
      </c>
      <c r="H15">
        <v>0.9</v>
      </c>
      <c r="I15" s="3">
        <v>0.5</v>
      </c>
      <c r="J15" s="3">
        <v>0.5</v>
      </c>
      <c r="K15" s="3">
        <v>0.5</v>
      </c>
      <c r="L15" s="3">
        <v>0.5</v>
      </c>
      <c r="M15">
        <v>0.75</v>
      </c>
      <c r="N15">
        <v>0.3</v>
      </c>
      <c r="O15" s="3">
        <v>1</v>
      </c>
      <c r="Q15" t="str">
        <f t="shared" si="2"/>
        <v>ro_v = 0.75</v>
      </c>
      <c r="R15" t="str">
        <f t="shared" si="3"/>
        <v>ro_v = 0.9</v>
      </c>
      <c r="S15" t="str">
        <f t="shared" si="4"/>
        <v>ro_v = 0.5</v>
      </c>
      <c r="T15" t="str">
        <f t="shared" si="5"/>
        <v>ro_v = 0.5</v>
      </c>
      <c r="U15" t="str">
        <f t="shared" si="6"/>
        <v>ro_v = 0.5</v>
      </c>
      <c r="V15" t="str">
        <f t="shared" si="7"/>
        <v>ro_v = 0.5</v>
      </c>
      <c r="W15" t="str">
        <f t="shared" si="1"/>
        <v>ro_v = 0.3</v>
      </c>
      <c r="X15" t="str">
        <f t="shared" si="1"/>
        <v>ro_v = 1</v>
      </c>
      <c r="Z15" t="str">
        <f t="shared" si="10"/>
        <v>ro = ro_v,</v>
      </c>
      <c r="AA15" t="str">
        <f t="shared" si="11"/>
        <v>ro = ro_v,</v>
      </c>
    </row>
    <row r="16" spans="1:27" x14ac:dyDescent="0.25">
      <c r="A16" t="s">
        <v>20</v>
      </c>
      <c r="B16" t="s">
        <v>21</v>
      </c>
      <c r="C16" t="s">
        <v>89</v>
      </c>
      <c r="D16" t="s">
        <v>95</v>
      </c>
      <c r="E16" t="s">
        <v>60</v>
      </c>
      <c r="F16" t="s">
        <v>60</v>
      </c>
      <c r="G16">
        <v>2</v>
      </c>
      <c r="H16">
        <v>2.5</v>
      </c>
      <c r="I16" s="3">
        <v>2.2999999999999998</v>
      </c>
      <c r="J16" s="3">
        <v>2.2999999999999998</v>
      </c>
      <c r="K16" s="3">
        <v>2.2999999999999998</v>
      </c>
      <c r="L16" s="3">
        <v>2.2999999999999998</v>
      </c>
      <c r="M16">
        <v>2.2000000000000002</v>
      </c>
      <c r="N16">
        <v>3</v>
      </c>
      <c r="O16" s="3">
        <v>0.98899999999999999</v>
      </c>
      <c r="Q16" t="str">
        <f t="shared" si="2"/>
        <v>v_v = 2</v>
      </c>
      <c r="R16" t="str">
        <f t="shared" si="3"/>
        <v>v_v = 2.5</v>
      </c>
      <c r="S16" t="str">
        <f t="shared" si="4"/>
        <v>v_v = 2.3</v>
      </c>
      <c r="T16" t="str">
        <f t="shared" si="5"/>
        <v>v_v = 2.3</v>
      </c>
      <c r="U16" t="str">
        <f t="shared" si="6"/>
        <v>v_v = 2.3</v>
      </c>
      <c r="V16" t="str">
        <f t="shared" si="7"/>
        <v>v_v = 2.3</v>
      </c>
      <c r="W16" t="str">
        <f t="shared" si="1"/>
        <v>v_v = 3</v>
      </c>
      <c r="X16" t="str">
        <f t="shared" si="1"/>
        <v>v_v = 0.989</v>
      </c>
      <c r="Z16" t="str">
        <f t="shared" si="10"/>
        <v>v = v_v,</v>
      </c>
      <c r="AA16" t="str">
        <f t="shared" si="11"/>
        <v>v = v_v,</v>
      </c>
    </row>
    <row r="17" spans="1:29" x14ac:dyDescent="0.25">
      <c r="A17" t="s">
        <v>22</v>
      </c>
      <c r="B17" t="s">
        <v>23</v>
      </c>
      <c r="C17" t="s">
        <v>89</v>
      </c>
      <c r="D17" t="s">
        <v>95</v>
      </c>
      <c r="E17" t="s">
        <v>60</v>
      </c>
      <c r="F17" t="s">
        <v>60</v>
      </c>
      <c r="G17">
        <v>0.02</v>
      </c>
      <c r="H17">
        <v>0.02</v>
      </c>
      <c r="I17" s="6">
        <v>6.354521712697335E-2</v>
      </c>
      <c r="J17" s="6">
        <v>6.3545217126973294E-2</v>
      </c>
      <c r="K17" s="6">
        <v>6.354521712697335E-2</v>
      </c>
      <c r="L17" s="6">
        <v>6.354521712697335E-2</v>
      </c>
      <c r="M17">
        <v>5.9299999999999999E-2</v>
      </c>
      <c r="N17">
        <v>0</v>
      </c>
      <c r="O17" s="3">
        <v>8.4000000000000005E-2</v>
      </c>
      <c r="Q17" t="str">
        <f t="shared" si="2"/>
        <v>delta_v = 0.02</v>
      </c>
      <c r="R17" t="str">
        <f t="shared" si="3"/>
        <v>delta_v = 0.02</v>
      </c>
      <c r="S17" t="str">
        <f t="shared" si="4"/>
        <v>delta_v = 0.0635452171269733</v>
      </c>
      <c r="T17" t="str">
        <f t="shared" si="5"/>
        <v>delta_v = 0.0635452171269733</v>
      </c>
      <c r="U17" t="str">
        <f t="shared" si="6"/>
        <v>delta_v = 0.0635452171269733</v>
      </c>
      <c r="V17" t="str">
        <f t="shared" si="7"/>
        <v>delta_v = 0.0635452171269733</v>
      </c>
      <c r="W17" t="str">
        <f t="shared" si="1"/>
        <v>delta_v = 0</v>
      </c>
      <c r="X17" t="str">
        <f t="shared" si="1"/>
        <v>delta_v = 0.084</v>
      </c>
      <c r="Z17" t="str">
        <f t="shared" si="10"/>
        <v>delta = delta_v,</v>
      </c>
      <c r="AA17" t="str">
        <f t="shared" si="11"/>
        <v>delta = delta_v,</v>
      </c>
    </row>
    <row r="18" spans="1:29" x14ac:dyDescent="0.25">
      <c r="A18" t="s">
        <v>27</v>
      </c>
      <c r="B18" t="s">
        <v>28</v>
      </c>
      <c r="C18" t="s">
        <v>90</v>
      </c>
      <c r="D18" t="s">
        <v>91</v>
      </c>
      <c r="E18" t="s">
        <v>60</v>
      </c>
      <c r="F18" t="s">
        <v>60</v>
      </c>
      <c r="G18">
        <v>0.8</v>
      </c>
      <c r="H18">
        <v>0.8</v>
      </c>
      <c r="I18" s="3">
        <v>0.7893</v>
      </c>
      <c r="J18" s="3">
        <v>0.7893</v>
      </c>
      <c r="K18" s="3">
        <v>0.7893</v>
      </c>
      <c r="L18" s="3">
        <v>0.7893</v>
      </c>
      <c r="M18">
        <v>0.8034</v>
      </c>
      <c r="N18">
        <v>0.79</v>
      </c>
      <c r="O18" s="3">
        <v>0.82420000000000004</v>
      </c>
      <c r="Q18" t="str">
        <f t="shared" si="2"/>
        <v>un_v = 0.8</v>
      </c>
      <c r="R18" t="str">
        <f t="shared" si="3"/>
        <v>un_v = 0.8</v>
      </c>
      <c r="S18" t="str">
        <f t="shared" si="4"/>
        <v>un_v = 0.7893</v>
      </c>
      <c r="T18" t="str">
        <f t="shared" si="5"/>
        <v>un_v = 0.7893</v>
      </c>
      <c r="U18" t="str">
        <f t="shared" si="6"/>
        <v>un_v = 0.7893</v>
      </c>
      <c r="V18" t="str">
        <f t="shared" si="7"/>
        <v>un_v = 0.7893</v>
      </c>
      <c r="W18" t="str">
        <f t="shared" si="1"/>
        <v>un_v = 0.79</v>
      </c>
      <c r="X18" t="str">
        <f t="shared" si="1"/>
        <v>un_v = 0.8242</v>
      </c>
      <c r="Z18" t="str">
        <f t="shared" si="10"/>
        <v>un = un_v,</v>
      </c>
      <c r="AA18" t="str">
        <f t="shared" si="11"/>
        <v>un = un_v,</v>
      </c>
    </row>
    <row r="19" spans="1:29" x14ac:dyDescent="0.25">
      <c r="A19" t="s">
        <v>32</v>
      </c>
      <c r="B19" t="s">
        <v>31</v>
      </c>
      <c r="E19" t="s">
        <v>60</v>
      </c>
      <c r="F19" t="s">
        <v>60</v>
      </c>
      <c r="G19">
        <v>0</v>
      </c>
      <c r="H19">
        <v>0</v>
      </c>
      <c r="I19" s="3">
        <v>3</v>
      </c>
      <c r="J19" s="3">
        <v>1.82</v>
      </c>
      <c r="K19" s="3">
        <v>1.82</v>
      </c>
      <c r="L19" s="3">
        <v>1.82</v>
      </c>
      <c r="M19">
        <v>6</v>
      </c>
      <c r="N19">
        <v>0</v>
      </c>
      <c r="O19" s="3">
        <v>0</v>
      </c>
      <c r="Q19" t="str">
        <f t="shared" si="2"/>
        <v>eta_v = 0</v>
      </c>
      <c r="R19" t="str">
        <f t="shared" si="3"/>
        <v>eta_v = 0</v>
      </c>
      <c r="S19" t="str">
        <f t="shared" si="4"/>
        <v>eta_v = 3</v>
      </c>
      <c r="T19" t="str">
        <f t="shared" si="5"/>
        <v>eta_v = 1.82</v>
      </c>
      <c r="U19" t="str">
        <f t="shared" si="6"/>
        <v>eta_v = 1.82</v>
      </c>
      <c r="V19" t="str">
        <f t="shared" si="7"/>
        <v>eta_v = 1.82</v>
      </c>
      <c r="W19" t="str">
        <f t="shared" si="1"/>
        <v>eta_v = 0</v>
      </c>
      <c r="X19" t="str">
        <f t="shared" si="1"/>
        <v>eta_v = 0</v>
      </c>
      <c r="Z19" t="str">
        <f t="shared" si="10"/>
        <v>eta = eta_v,</v>
      </c>
      <c r="AA19" t="str">
        <f t="shared" si="11"/>
        <v>eta = eta_v,</v>
      </c>
    </row>
    <row r="20" spans="1:29" x14ac:dyDescent="0.25">
      <c r="A20" t="s">
        <v>33</v>
      </c>
      <c r="B20" t="s">
        <v>34</v>
      </c>
      <c r="E20" t="s">
        <v>60</v>
      </c>
      <c r="F20" t="s">
        <v>60</v>
      </c>
      <c r="G20">
        <v>0</v>
      </c>
      <c r="H20">
        <v>0</v>
      </c>
      <c r="I20" s="3">
        <v>0.05</v>
      </c>
      <c r="J20" s="10">
        <v>0.05</v>
      </c>
      <c r="K20" s="10">
        <v>0</v>
      </c>
      <c r="L20" s="10">
        <v>7.0000000000000007E-2</v>
      </c>
      <c r="M20">
        <v>0.05</v>
      </c>
      <c r="N20">
        <v>0</v>
      </c>
      <c r="O20" s="3">
        <v>0</v>
      </c>
      <c r="Q20" t="str">
        <f t="shared" si="2"/>
        <v>beta_v = 0</v>
      </c>
      <c r="R20" t="str">
        <f t="shared" si="3"/>
        <v>beta_v = 0</v>
      </c>
      <c r="S20" t="str">
        <f t="shared" si="4"/>
        <v>beta_v = 0.05</v>
      </c>
      <c r="T20" t="str">
        <f t="shared" si="5"/>
        <v>beta_v = 0.05</v>
      </c>
      <c r="U20" t="str">
        <f t="shared" si="6"/>
        <v>beta_v = 0</v>
      </c>
      <c r="V20" t="str">
        <f t="shared" si="7"/>
        <v>beta_v = 0.07</v>
      </c>
      <c r="W20" t="str">
        <f t="shared" si="1"/>
        <v>beta_v = 0</v>
      </c>
      <c r="X20" t="str">
        <f t="shared" si="1"/>
        <v>beta_v = 0</v>
      </c>
      <c r="Z20" t="str">
        <f t="shared" si="10"/>
        <v>beta = beta_v,</v>
      </c>
      <c r="AA20" t="str">
        <f t="shared" si="11"/>
        <v>beta = beta_v,</v>
      </c>
    </row>
    <row r="21" spans="1:29" x14ac:dyDescent="0.25">
      <c r="A21" t="s">
        <v>35</v>
      </c>
      <c r="B21" t="s">
        <v>38</v>
      </c>
      <c r="C21" t="s">
        <v>92</v>
      </c>
      <c r="D21" t="s">
        <v>93</v>
      </c>
      <c r="E21" t="s">
        <v>60</v>
      </c>
      <c r="F21" t="s">
        <v>60</v>
      </c>
      <c r="G21">
        <v>1</v>
      </c>
      <c r="H21">
        <v>1</v>
      </c>
      <c r="I21" s="3">
        <v>6.74</v>
      </c>
      <c r="J21" s="10">
        <v>1</v>
      </c>
      <c r="K21" s="10">
        <v>1</v>
      </c>
      <c r="L21" s="10">
        <v>1</v>
      </c>
      <c r="M21">
        <v>6.74</v>
      </c>
      <c r="N21">
        <v>1</v>
      </c>
      <c r="O21" s="3">
        <v>1</v>
      </c>
      <c r="Q21" t="str">
        <f t="shared" si="2"/>
        <v>lambda_b_v = 1</v>
      </c>
      <c r="R21" t="str">
        <f t="shared" si="3"/>
        <v>lambda_b_v = 1</v>
      </c>
      <c r="S21" t="str">
        <f t="shared" si="4"/>
        <v>lambda_b_v = 6.74</v>
      </c>
      <c r="T21" t="str">
        <f t="shared" si="5"/>
        <v>lambda_b_v = 1</v>
      </c>
      <c r="U21" t="str">
        <f t="shared" si="6"/>
        <v>lambda_b_v = 1</v>
      </c>
      <c r="V21" t="str">
        <f t="shared" si="7"/>
        <v>lambda_b_v = 1</v>
      </c>
      <c r="W21" t="str">
        <f t="shared" si="1"/>
        <v>lambda_b_v = 1</v>
      </c>
      <c r="X21" t="str">
        <f t="shared" si="1"/>
        <v>lambda_b_v = 1</v>
      </c>
      <c r="Z21" t="str">
        <f t="shared" si="10"/>
        <v>lambda_b = lambda_b_v,</v>
      </c>
      <c r="AA21" t="str">
        <f t="shared" si="11"/>
        <v>lambda_b = lambda_b_v,</v>
      </c>
    </row>
    <row r="22" spans="1:29" x14ac:dyDescent="0.25">
      <c r="A22" t="s">
        <v>36</v>
      </c>
      <c r="B22" t="s">
        <v>37</v>
      </c>
      <c r="C22" t="s">
        <v>92</v>
      </c>
      <c r="D22" t="s">
        <v>93</v>
      </c>
      <c r="E22" t="s">
        <v>60</v>
      </c>
      <c r="F22" t="s">
        <v>60</v>
      </c>
      <c r="G22">
        <v>1</v>
      </c>
      <c r="H22">
        <v>1</v>
      </c>
      <c r="I22" s="3">
        <v>1.84</v>
      </c>
      <c r="J22" s="10">
        <v>1</v>
      </c>
      <c r="K22" s="10">
        <v>1</v>
      </c>
      <c r="L22" s="10">
        <v>1</v>
      </c>
      <c r="M22">
        <v>1.84</v>
      </c>
      <c r="N22">
        <v>1</v>
      </c>
      <c r="O22" s="3">
        <v>1</v>
      </c>
      <c r="Q22" t="str">
        <f t="shared" si="2"/>
        <v>lambda_z_v = 1</v>
      </c>
      <c r="R22" t="str">
        <f t="shared" si="3"/>
        <v>lambda_z_v = 1</v>
      </c>
      <c r="S22" t="str">
        <f t="shared" si="4"/>
        <v>lambda_z_v = 1.84</v>
      </c>
      <c r="T22" t="str">
        <f t="shared" si="5"/>
        <v>lambda_z_v = 1</v>
      </c>
      <c r="U22" t="str">
        <f t="shared" si="6"/>
        <v>lambda_z_v = 1</v>
      </c>
      <c r="V22" t="str">
        <f t="shared" si="7"/>
        <v>lambda_z_v = 1</v>
      </c>
      <c r="W22" t="str">
        <f t="shared" si="1"/>
        <v>lambda_z_v = 1</v>
      </c>
      <c r="X22" t="str">
        <f t="shared" si="1"/>
        <v>lambda_z_v = 1</v>
      </c>
      <c r="Z22" t="str">
        <f t="shared" si="10"/>
        <v>lambda_z = lambda_z_v,</v>
      </c>
      <c r="AA22" t="str">
        <f t="shared" si="11"/>
        <v>lambda_z = lambda_z_v,</v>
      </c>
    </row>
    <row r="23" spans="1:29" x14ac:dyDescent="0.25">
      <c r="Q23" t="str">
        <f t="shared" si="2"/>
        <v/>
      </c>
      <c r="R23" t="str">
        <f t="shared" si="3"/>
        <v/>
      </c>
      <c r="S23" t="str">
        <f t="shared" si="4"/>
        <v/>
      </c>
      <c r="T23" t="str">
        <f t="shared" si="5"/>
        <v/>
      </c>
      <c r="U23" t="str">
        <f t="shared" si="6"/>
        <v/>
      </c>
      <c r="V23" t="str">
        <f t="shared" si="7"/>
        <v/>
      </c>
      <c r="W23" t="str">
        <f t="shared" si="1"/>
        <v/>
      </c>
      <c r="X23" t="str">
        <f t="shared" si="1"/>
        <v/>
      </c>
      <c r="Z23" t="str">
        <f t="shared" si="10"/>
        <v/>
      </c>
      <c r="AA23" t="str">
        <f t="shared" si="11"/>
        <v/>
      </c>
    </row>
    <row r="24" spans="1:29" x14ac:dyDescent="0.25">
      <c r="A24" t="s">
        <v>39</v>
      </c>
      <c r="Q24" t="str">
        <f t="shared" si="2"/>
        <v/>
      </c>
      <c r="R24" t="str">
        <f t="shared" si="3"/>
        <v/>
      </c>
      <c r="S24" t="str">
        <f t="shared" si="4"/>
        <v/>
      </c>
      <c r="T24" t="str">
        <f t="shared" si="5"/>
        <v/>
      </c>
      <c r="U24" t="str">
        <f t="shared" si="6"/>
        <v/>
      </c>
      <c r="V24" t="str">
        <f t="shared" si="7"/>
        <v/>
      </c>
      <c r="W24" t="str">
        <f t="shared" si="1"/>
        <v/>
      </c>
      <c r="X24" t="str">
        <f t="shared" si="1"/>
        <v/>
      </c>
      <c r="Z24" t="str">
        <f t="shared" si="10"/>
        <v/>
      </c>
      <c r="AA24" t="str">
        <f t="shared" si="11"/>
        <v/>
      </c>
    </row>
    <row r="25" spans="1:29" x14ac:dyDescent="0.25">
      <c r="A25" t="s">
        <v>24</v>
      </c>
      <c r="B25" t="s">
        <v>25</v>
      </c>
      <c r="F25" t="s">
        <v>60</v>
      </c>
      <c r="G25">
        <v>0.8</v>
      </c>
      <c r="H25">
        <v>0.8</v>
      </c>
      <c r="I25" s="3">
        <f>I18</f>
        <v>0.7893</v>
      </c>
      <c r="J25" s="3">
        <v>0.7893</v>
      </c>
      <c r="K25" s="3">
        <v>0.7893</v>
      </c>
      <c r="L25" s="3">
        <v>0.7893</v>
      </c>
      <c r="M25">
        <v>0.8</v>
      </c>
      <c r="N25">
        <v>0.79</v>
      </c>
      <c r="O25">
        <f>O18</f>
        <v>0.82420000000000004</v>
      </c>
      <c r="Q25" t="str">
        <f t="shared" si="2"/>
        <v>u_v = 0.8</v>
      </c>
      <c r="R25" t="str">
        <f t="shared" si="3"/>
        <v>u_v = 0.8</v>
      </c>
      <c r="S25" t="str">
        <f t="shared" si="4"/>
        <v>u_v = 0.7893</v>
      </c>
      <c r="T25" t="str">
        <f t="shared" si="5"/>
        <v>u_v = 0.7893</v>
      </c>
      <c r="U25" t="str">
        <f t="shared" si="6"/>
        <v>u_v = 0.7893</v>
      </c>
      <c r="V25" t="str">
        <f t="shared" si="7"/>
        <v>u_v = 0.7893</v>
      </c>
      <c r="W25" t="str">
        <f t="shared" si="1"/>
        <v>u_v = 0.79</v>
      </c>
      <c r="X25" t="str">
        <f t="shared" si="1"/>
        <v>u_v = 0.8242</v>
      </c>
      <c r="Z25" t="str">
        <f t="shared" si="10"/>
        <v/>
      </c>
      <c r="AA25" t="str">
        <f t="shared" si="11"/>
        <v>u = u_v,</v>
      </c>
    </row>
    <row r="26" spans="1:29" x14ac:dyDescent="0.25">
      <c r="A26" t="s">
        <v>30</v>
      </c>
      <c r="B26" t="s">
        <v>29</v>
      </c>
      <c r="F26" t="s">
        <v>60</v>
      </c>
      <c r="G26">
        <v>0.17499999999999999</v>
      </c>
      <c r="H26">
        <v>0.25</v>
      </c>
      <c r="I26" s="3">
        <v>0.17499999999999999</v>
      </c>
      <c r="J26" s="3">
        <f>(((J6-J7*J8*J22)+J17)*J19)/J25</f>
        <v>0.25238628553286635</v>
      </c>
      <c r="K26" s="3">
        <f>(((K6-K7*K8*K22)+K17)*K19)/K25</f>
        <v>0.25238628553286646</v>
      </c>
      <c r="L26" s="3">
        <f>(((L6-L7*L8*L22)+L17)*L19)/L25</f>
        <v>0.25238628553286646</v>
      </c>
      <c r="M26">
        <v>0.17499999999999999</v>
      </c>
      <c r="O26">
        <v>0.14799999999999999</v>
      </c>
      <c r="Q26" t="str">
        <f t="shared" si="2"/>
        <v>h_v = 0.175</v>
      </c>
      <c r="R26" t="str">
        <f t="shared" si="3"/>
        <v>h_v = 0.25</v>
      </c>
      <c r="S26" t="str">
        <f t="shared" si="4"/>
        <v>h_v = 0.175</v>
      </c>
      <c r="T26" t="str">
        <f t="shared" si="5"/>
        <v>h_v = 0.252386285532866</v>
      </c>
      <c r="U26" t="str">
        <f t="shared" si="6"/>
        <v>h_v = 0.252386285532866</v>
      </c>
      <c r="V26" t="str">
        <f t="shared" si="7"/>
        <v>h_v = 0.252386285532866</v>
      </c>
      <c r="W26" t="str">
        <f t="shared" si="1"/>
        <v xml:space="preserve">h_v = </v>
      </c>
      <c r="X26" t="str">
        <f t="shared" si="1"/>
        <v>h_v = 0.148</v>
      </c>
      <c r="Z26" t="str">
        <f t="shared" si="10"/>
        <v/>
      </c>
      <c r="AA26" t="str">
        <f t="shared" si="11"/>
        <v>h = h_v,</v>
      </c>
    </row>
    <row r="27" spans="1:29" x14ac:dyDescent="0.25">
      <c r="Q27" t="str">
        <f t="shared" si="2"/>
        <v/>
      </c>
      <c r="R27" t="str">
        <f t="shared" si="3"/>
        <v/>
      </c>
      <c r="S27" t="str">
        <f t="shared" si="4"/>
        <v/>
      </c>
      <c r="T27" t="str">
        <f t="shared" si="5"/>
        <v/>
      </c>
      <c r="U27" t="str">
        <f t="shared" si="6"/>
        <v/>
      </c>
      <c r="V27" t="str">
        <f t="shared" si="7"/>
        <v/>
      </c>
      <c r="W27" t="str">
        <f t="shared" si="1"/>
        <v/>
      </c>
      <c r="X27" t="str">
        <f t="shared" si="1"/>
        <v/>
      </c>
      <c r="Z27" t="str">
        <f t="shared" si="10"/>
        <v/>
      </c>
      <c r="AA27" t="str">
        <f t="shared" si="11"/>
        <v/>
      </c>
    </row>
    <row r="28" spans="1:29" x14ac:dyDescent="0.25">
      <c r="A28" t="s">
        <v>40</v>
      </c>
      <c r="Q28" t="str">
        <f t="shared" si="2"/>
        <v/>
      </c>
      <c r="R28" t="str">
        <f t="shared" si="3"/>
        <v/>
      </c>
      <c r="S28" t="str">
        <f t="shared" si="4"/>
        <v/>
      </c>
      <c r="T28" t="str">
        <f t="shared" si="5"/>
        <v/>
      </c>
      <c r="U28" t="str">
        <f t="shared" si="6"/>
        <v/>
      </c>
      <c r="V28" t="str">
        <f t="shared" si="7"/>
        <v/>
      </c>
      <c r="W28" t="str">
        <f t="shared" si="1"/>
        <v/>
      </c>
      <c r="X28" t="str">
        <f t="shared" si="1"/>
        <v/>
      </c>
      <c r="Z28" t="str">
        <f t="shared" si="10"/>
        <v/>
      </c>
      <c r="AA28" t="str">
        <f t="shared" si="11"/>
        <v/>
      </c>
    </row>
    <row r="29" spans="1:29" x14ac:dyDescent="0.25">
      <c r="A29" t="s">
        <v>41</v>
      </c>
      <c r="B29" t="s">
        <v>50</v>
      </c>
      <c r="F29" t="s">
        <v>60</v>
      </c>
      <c r="G29" s="2">
        <v>98050</v>
      </c>
      <c r="H29">
        <v>16120</v>
      </c>
      <c r="I29" s="3">
        <v>0</v>
      </c>
      <c r="J29" s="7">
        <f t="shared" ref="J29:J38" si="12">AD29</f>
        <v>0</v>
      </c>
      <c r="K29" s="7"/>
      <c r="L29" s="7">
        <f t="shared" ref="L29:L38" si="13">AF29</f>
        <v>0</v>
      </c>
      <c r="M29" s="2">
        <f>AC29</f>
        <v>1053344100000</v>
      </c>
      <c r="Q29" t="str">
        <f t="shared" si="2"/>
        <v>Dw_v = 98050</v>
      </c>
      <c r="R29" t="str">
        <f t="shared" ref="R29:R40" si="14">IF($F29="","",CONCATENATE($B29,"_v = ",H29))</f>
        <v>Dw_v = 16120</v>
      </c>
      <c r="S29" t="str">
        <f t="shared" ref="S29:S38" si="15">IF($F29="","",CONCATENATE($B29,"_v = ",I29/1000000000))</f>
        <v>Dw_v = 0</v>
      </c>
      <c r="T29" t="str">
        <f t="shared" ref="T29:T38" si="16">IF($F29="","",CONCATENATE($B29,"_v = ",J29/1000000000))</f>
        <v>Dw_v = 0</v>
      </c>
      <c r="U29" t="str">
        <f t="shared" ref="U29:U38" si="17">IF($F29="","",CONCATENATE($B29,"_v = ",K29/1000000000))</f>
        <v>Dw_v = 0</v>
      </c>
      <c r="V29" t="str">
        <f t="shared" ref="V29:V38" si="18">IF($F29="","",CONCATENATE($B29,"_v = ",L29/1000000000))</f>
        <v>Dw_v = 0</v>
      </c>
      <c r="W29" t="str">
        <f t="shared" si="1"/>
        <v xml:space="preserve">Dw_v = </v>
      </c>
      <c r="X29" t="str">
        <f t="shared" si="1"/>
        <v xml:space="preserve">Dw_v = </v>
      </c>
      <c r="Z29" t="str">
        <f t="shared" si="10"/>
        <v/>
      </c>
      <c r="AA29" t="str">
        <f t="shared" si="11"/>
        <v>Dw = Dw_v,</v>
      </c>
      <c r="AC29" s="2">
        <v>1053344100000</v>
      </c>
    </row>
    <row r="30" spans="1:29" x14ac:dyDescent="0.25">
      <c r="A30" t="s">
        <v>42</v>
      </c>
      <c r="B30" t="s">
        <v>51</v>
      </c>
      <c r="F30" t="s">
        <v>60</v>
      </c>
      <c r="G30" s="2">
        <v>46060</v>
      </c>
      <c r="H30">
        <v>142420</v>
      </c>
      <c r="I30" s="3">
        <v>0</v>
      </c>
      <c r="J30" s="7">
        <f t="shared" si="12"/>
        <v>0</v>
      </c>
      <c r="K30" s="7"/>
      <c r="L30" s="7">
        <f t="shared" si="13"/>
        <v>0</v>
      </c>
      <c r="M30" s="2">
        <f t="shared" ref="M30:M31" si="19">AC30</f>
        <v>793655900000</v>
      </c>
      <c r="Q30" t="str">
        <f t="shared" si="2"/>
        <v>Dr_v = 46060</v>
      </c>
      <c r="R30" t="str">
        <f t="shared" si="14"/>
        <v>Dr_v = 142420</v>
      </c>
      <c r="S30" t="str">
        <f t="shared" si="15"/>
        <v>Dr_v = 0</v>
      </c>
      <c r="T30" t="str">
        <f t="shared" si="16"/>
        <v>Dr_v = 0</v>
      </c>
      <c r="U30" t="str">
        <f t="shared" si="17"/>
        <v>Dr_v = 0</v>
      </c>
      <c r="V30" t="str">
        <f t="shared" si="18"/>
        <v>Dr_v = 0</v>
      </c>
      <c r="W30" t="str">
        <f t="shared" si="1"/>
        <v xml:space="preserve">Dr_v = </v>
      </c>
      <c r="X30" t="str">
        <f t="shared" si="1"/>
        <v xml:space="preserve">Dr_v = </v>
      </c>
      <c r="Z30" t="str">
        <f t="shared" si="10"/>
        <v/>
      </c>
      <c r="AA30" t="str">
        <f t="shared" si="11"/>
        <v>Dr = Dr_v,</v>
      </c>
      <c r="AC30" s="2">
        <v>793655900000</v>
      </c>
    </row>
    <row r="31" spans="1:29" x14ac:dyDescent="0.25">
      <c r="A31" t="s">
        <v>43</v>
      </c>
      <c r="B31" t="s">
        <v>52</v>
      </c>
      <c r="F31" t="s">
        <v>60</v>
      </c>
      <c r="G31" s="2">
        <f>SUM(G29:G30)</f>
        <v>144110</v>
      </c>
      <c r="H31">
        <f>SUM(H29:H30)</f>
        <v>158540</v>
      </c>
      <c r="I31" s="3">
        <v>0</v>
      </c>
      <c r="J31" s="7">
        <f t="shared" si="12"/>
        <v>0</v>
      </c>
      <c r="K31" s="7"/>
      <c r="L31" s="7">
        <f t="shared" si="13"/>
        <v>0</v>
      </c>
      <c r="M31" s="2">
        <f t="shared" si="19"/>
        <v>1847000000000</v>
      </c>
      <c r="Q31" t="str">
        <f t="shared" si="2"/>
        <v>D_v = 144110</v>
      </c>
      <c r="R31" t="str">
        <f t="shared" si="14"/>
        <v>D_v = 158540</v>
      </c>
      <c r="S31" t="str">
        <f t="shared" si="15"/>
        <v>D_v = 0</v>
      </c>
      <c r="T31" t="str">
        <f t="shared" si="16"/>
        <v>D_v = 0</v>
      </c>
      <c r="U31" t="str">
        <f t="shared" si="17"/>
        <v>D_v = 0</v>
      </c>
      <c r="V31" t="str">
        <f t="shared" si="18"/>
        <v>D_v = 0</v>
      </c>
      <c r="W31" t="str">
        <f t="shared" si="1"/>
        <v xml:space="preserve">D_v = </v>
      </c>
      <c r="X31" t="str">
        <f t="shared" si="1"/>
        <v xml:space="preserve">D_v = </v>
      </c>
      <c r="Z31" t="str">
        <f t="shared" si="10"/>
        <v/>
      </c>
      <c r="AA31" t="str">
        <f t="shared" si="11"/>
        <v>D = D_v,</v>
      </c>
      <c r="AC31" s="2">
        <v>1847000000000</v>
      </c>
    </row>
    <row r="32" spans="1:29" x14ac:dyDescent="0.25">
      <c r="G32" s="2"/>
      <c r="J32" s="7">
        <f t="shared" si="12"/>
        <v>0</v>
      </c>
      <c r="K32" s="7"/>
      <c r="L32" s="7">
        <f t="shared" si="13"/>
        <v>0</v>
      </c>
      <c r="M32" s="2">
        <f t="shared" ref="M32" si="20">AC32/1000000</f>
        <v>0</v>
      </c>
      <c r="Q32" t="str">
        <f t="shared" si="2"/>
        <v/>
      </c>
      <c r="R32" t="str">
        <f t="shared" si="14"/>
        <v/>
      </c>
      <c r="S32" t="str">
        <f t="shared" si="15"/>
        <v/>
      </c>
      <c r="T32" t="str">
        <f t="shared" si="16"/>
        <v/>
      </c>
      <c r="U32" t="str">
        <f t="shared" si="17"/>
        <v/>
      </c>
      <c r="V32" t="str">
        <f t="shared" si="18"/>
        <v/>
      </c>
      <c r="W32" t="str">
        <f t="shared" si="1"/>
        <v/>
      </c>
      <c r="X32" t="str">
        <f t="shared" si="1"/>
        <v/>
      </c>
      <c r="Z32" t="str">
        <f t="shared" si="10"/>
        <v/>
      </c>
      <c r="AA32" t="str">
        <f t="shared" si="11"/>
        <v/>
      </c>
      <c r="AC32" s="2"/>
    </row>
    <row r="33" spans="1:29" x14ac:dyDescent="0.25">
      <c r="A33" t="s">
        <v>44</v>
      </c>
      <c r="B33" t="s">
        <v>53</v>
      </c>
      <c r="F33" t="s">
        <v>60</v>
      </c>
      <c r="G33" s="2">
        <v>13230</v>
      </c>
      <c r="H33">
        <v>21090</v>
      </c>
      <c r="I33" s="3">
        <v>0</v>
      </c>
      <c r="J33" s="7">
        <f t="shared" si="12"/>
        <v>0</v>
      </c>
      <c r="K33" s="7"/>
      <c r="L33" s="7">
        <f t="shared" si="13"/>
        <v>0</v>
      </c>
      <c r="M33" s="2">
        <f>AC33</f>
        <v>363226000000</v>
      </c>
      <c r="O33">
        <f>0.049*O40</f>
        <v>191.1</v>
      </c>
      <c r="Q33" t="str">
        <f t="shared" si="2"/>
        <v>Lbw_v = 13230</v>
      </c>
      <c r="R33" t="str">
        <f t="shared" si="14"/>
        <v>Lbw_v = 21090</v>
      </c>
      <c r="S33" t="str">
        <f t="shared" si="15"/>
        <v>Lbw_v = 0</v>
      </c>
      <c r="T33" t="str">
        <f t="shared" si="16"/>
        <v>Lbw_v = 0</v>
      </c>
      <c r="U33" t="str">
        <f t="shared" si="17"/>
        <v>Lbw_v = 0</v>
      </c>
      <c r="V33" t="str">
        <f t="shared" si="18"/>
        <v>Lbw_v = 0</v>
      </c>
      <c r="W33" t="str">
        <f t="shared" si="1"/>
        <v xml:space="preserve">Lbw_v = </v>
      </c>
      <c r="X33" t="str">
        <f t="shared" si="1"/>
        <v>Lbw_v = 191.1</v>
      </c>
      <c r="Z33" t="str">
        <f t="shared" si="10"/>
        <v/>
      </c>
      <c r="AA33" t="str">
        <f t="shared" si="11"/>
        <v>Lbw = Lbw_v,</v>
      </c>
      <c r="AC33" s="2">
        <v>363226000000</v>
      </c>
    </row>
    <row r="34" spans="1:29" x14ac:dyDescent="0.25">
      <c r="A34" t="s">
        <v>45</v>
      </c>
      <c r="B34" t="s">
        <v>54</v>
      </c>
      <c r="F34" t="s">
        <v>60</v>
      </c>
      <c r="G34" s="2">
        <v>13230</v>
      </c>
      <c r="H34">
        <v>21090</v>
      </c>
      <c r="I34" s="3">
        <v>0</v>
      </c>
      <c r="J34" s="7">
        <f t="shared" si="12"/>
        <v>0</v>
      </c>
      <c r="K34" s="7"/>
      <c r="L34" s="7">
        <f t="shared" si="13"/>
        <v>0</v>
      </c>
      <c r="M34" s="2">
        <f t="shared" ref="M34:M37" si="21">AC34</f>
        <v>518778000000</v>
      </c>
      <c r="Q34" t="str">
        <f t="shared" si="2"/>
        <v>Lzw_v = 13230</v>
      </c>
      <c r="R34" t="str">
        <f t="shared" si="14"/>
        <v>Lzw_v = 21090</v>
      </c>
      <c r="S34" t="str">
        <f t="shared" si="15"/>
        <v>Lzw_v = 0</v>
      </c>
      <c r="T34" t="str">
        <f t="shared" si="16"/>
        <v>Lzw_v = 0</v>
      </c>
      <c r="U34" t="str">
        <f t="shared" si="17"/>
        <v>Lzw_v = 0</v>
      </c>
      <c r="V34" t="str">
        <f t="shared" si="18"/>
        <v>Lzw_v = 0</v>
      </c>
      <c r="W34" t="str">
        <f t="shared" si="1"/>
        <v xml:space="preserve">Lzw_v = </v>
      </c>
      <c r="X34" t="str">
        <f t="shared" si="1"/>
        <v xml:space="preserve">Lzw_v = </v>
      </c>
      <c r="Z34" t="str">
        <f t="shared" si="10"/>
        <v/>
      </c>
      <c r="AA34" t="str">
        <f t="shared" si="11"/>
        <v>Lzw = Lzw_v,</v>
      </c>
      <c r="AC34" s="2">
        <v>518778000000</v>
      </c>
    </row>
    <row r="35" spans="1:29" x14ac:dyDescent="0.25">
      <c r="A35" t="s">
        <v>64</v>
      </c>
      <c r="B35" t="s">
        <v>65</v>
      </c>
      <c r="F35" t="s">
        <v>60</v>
      </c>
      <c r="G35" s="2">
        <f>SUM(G33:G34)</f>
        <v>26460</v>
      </c>
      <c r="H35">
        <f>SUM(H33:H34)</f>
        <v>42180</v>
      </c>
      <c r="I35" s="3">
        <v>0</v>
      </c>
      <c r="J35" s="7">
        <f t="shared" si="12"/>
        <v>0</v>
      </c>
      <c r="K35" s="7"/>
      <c r="L35" s="7">
        <f t="shared" si="13"/>
        <v>0</v>
      </c>
      <c r="M35" s="2">
        <f t="shared" si="21"/>
        <v>882004000000</v>
      </c>
      <c r="Q35" t="str">
        <f t="shared" si="2"/>
        <v>Lw_v = 26460</v>
      </c>
      <c r="R35" t="str">
        <f t="shared" si="14"/>
        <v>Lw_v = 42180</v>
      </c>
      <c r="S35" t="str">
        <f t="shared" si="15"/>
        <v>Lw_v = 0</v>
      </c>
      <c r="T35" t="str">
        <f t="shared" si="16"/>
        <v>Lw_v = 0</v>
      </c>
      <c r="U35" t="str">
        <f t="shared" si="17"/>
        <v>Lw_v = 0</v>
      </c>
      <c r="V35" t="str">
        <f t="shared" si="18"/>
        <v>Lw_v = 0</v>
      </c>
      <c r="W35" t="str">
        <f t="shared" si="1"/>
        <v xml:space="preserve">Lw_v = </v>
      </c>
      <c r="X35" t="str">
        <f t="shared" si="1"/>
        <v xml:space="preserve">Lw_v = </v>
      </c>
      <c r="Z35" t="str">
        <f t="shared" si="10"/>
        <v/>
      </c>
      <c r="AA35" t="str">
        <f t="shared" si="11"/>
        <v>Lw = Lw_v,</v>
      </c>
      <c r="AC35" s="2">
        <v>882004000000</v>
      </c>
    </row>
    <row r="36" spans="1:29" x14ac:dyDescent="0.25">
      <c r="A36" t="s">
        <v>46</v>
      </c>
      <c r="B36" t="s">
        <v>55</v>
      </c>
      <c r="F36" t="s">
        <v>60</v>
      </c>
      <c r="G36" s="2">
        <v>117650</v>
      </c>
      <c r="H36">
        <v>158540</v>
      </c>
      <c r="I36" s="3">
        <v>0</v>
      </c>
      <c r="J36" s="7">
        <f t="shared" si="12"/>
        <v>0</v>
      </c>
      <c r="K36" s="7"/>
      <c r="L36" s="7">
        <f t="shared" si="13"/>
        <v>0</v>
      </c>
      <c r="M36" s="2">
        <f t="shared" si="21"/>
        <v>0</v>
      </c>
      <c r="Q36" t="str">
        <f t="shared" si="2"/>
        <v>Lf_v = 117650</v>
      </c>
      <c r="R36" t="str">
        <f t="shared" si="14"/>
        <v>Lf_v = 158540</v>
      </c>
      <c r="S36" t="str">
        <f t="shared" si="15"/>
        <v>Lf_v = 0</v>
      </c>
      <c r="T36" t="str">
        <f t="shared" si="16"/>
        <v>Lf_v = 0</v>
      </c>
      <c r="U36" t="str">
        <f t="shared" si="17"/>
        <v>Lf_v = 0</v>
      </c>
      <c r="V36" t="str">
        <f t="shared" si="18"/>
        <v>Lf_v = 0</v>
      </c>
      <c r="W36" t="str">
        <f t="shared" si="1"/>
        <v xml:space="preserve">Lf_v = </v>
      </c>
      <c r="X36" t="str">
        <f t="shared" si="1"/>
        <v xml:space="preserve">Lf_v = </v>
      </c>
      <c r="Z36" t="str">
        <f t="shared" si="10"/>
        <v/>
      </c>
      <c r="AA36" t="str">
        <f t="shared" si="11"/>
        <v>Lf = Lf_v,</v>
      </c>
      <c r="AC36" s="2">
        <v>0</v>
      </c>
    </row>
    <row r="37" spans="1:29" x14ac:dyDescent="0.25">
      <c r="A37" t="s">
        <v>47</v>
      </c>
      <c r="B37" t="s">
        <v>56</v>
      </c>
      <c r="F37" t="s">
        <v>60</v>
      </c>
      <c r="G37" s="2">
        <f>SUM(G35:G36)</f>
        <v>144110</v>
      </c>
      <c r="H37">
        <f>SUM(H35:H36)</f>
        <v>200720</v>
      </c>
      <c r="I37" s="3">
        <v>0</v>
      </c>
      <c r="J37" s="7">
        <f t="shared" si="12"/>
        <v>0</v>
      </c>
      <c r="K37" s="7"/>
      <c r="L37" s="7">
        <f t="shared" si="13"/>
        <v>0</v>
      </c>
      <c r="M37" s="2">
        <f t="shared" si="21"/>
        <v>882004000000</v>
      </c>
      <c r="Q37" t="str">
        <f t="shared" si="2"/>
        <v>L_v = 144110</v>
      </c>
      <c r="R37" t="str">
        <f t="shared" si="14"/>
        <v>L_v = 200720</v>
      </c>
      <c r="S37" t="str">
        <f t="shared" si="15"/>
        <v>L_v = 0</v>
      </c>
      <c r="T37" t="str">
        <f t="shared" si="16"/>
        <v>L_v = 0</v>
      </c>
      <c r="U37" t="str">
        <f t="shared" si="17"/>
        <v>L_v = 0</v>
      </c>
      <c r="V37" t="str">
        <f t="shared" si="18"/>
        <v>L_v = 0</v>
      </c>
      <c r="W37" t="str">
        <f t="shared" si="1"/>
        <v xml:space="preserve">L_v = </v>
      </c>
      <c r="X37" t="str">
        <f t="shared" si="1"/>
        <v xml:space="preserve">L_v = </v>
      </c>
      <c r="Z37" t="str">
        <f t="shared" si="10"/>
        <v/>
      </c>
      <c r="AA37" t="str">
        <f t="shared" si="11"/>
        <v>L = L_v,</v>
      </c>
      <c r="AC37" s="2">
        <v>882004000000</v>
      </c>
    </row>
    <row r="38" spans="1:29" x14ac:dyDescent="0.25">
      <c r="G38" s="2"/>
      <c r="J38" s="7">
        <f t="shared" si="12"/>
        <v>0</v>
      </c>
      <c r="K38" s="7"/>
      <c r="L38" s="7">
        <f t="shared" si="13"/>
        <v>0</v>
      </c>
      <c r="M38" s="2">
        <f>AD38/1000000</f>
        <v>0</v>
      </c>
      <c r="Q38" t="str">
        <f t="shared" si="2"/>
        <v/>
      </c>
      <c r="R38" t="str">
        <f t="shared" si="14"/>
        <v/>
      </c>
      <c r="S38" t="str">
        <f t="shared" si="15"/>
        <v/>
      </c>
      <c r="T38" t="str">
        <f t="shared" si="16"/>
        <v/>
      </c>
      <c r="U38" t="str">
        <f t="shared" si="17"/>
        <v/>
      </c>
      <c r="V38" t="str">
        <f t="shared" si="18"/>
        <v/>
      </c>
      <c r="W38" t="str">
        <f t="shared" si="1"/>
        <v/>
      </c>
      <c r="X38" t="str">
        <f t="shared" si="1"/>
        <v/>
      </c>
      <c r="Z38" t="str">
        <f t="shared" si="10"/>
        <v/>
      </c>
      <c r="AA38" t="str">
        <f t="shared" si="11"/>
        <v/>
      </c>
      <c r="AC38" s="2"/>
    </row>
    <row r="39" spans="1:29" x14ac:dyDescent="0.25">
      <c r="A39" t="s">
        <v>48</v>
      </c>
      <c r="B39" t="s">
        <v>49</v>
      </c>
      <c r="F39" t="s">
        <v>60</v>
      </c>
      <c r="G39" s="2">
        <v>100000</v>
      </c>
      <c r="H39">
        <v>100000</v>
      </c>
      <c r="I39" s="3">
        <v>100000</v>
      </c>
      <c r="J39" s="3">
        <v>100000</v>
      </c>
      <c r="K39" s="3">
        <v>100000</v>
      </c>
      <c r="L39" s="3">
        <v>100000</v>
      </c>
      <c r="M39" s="2">
        <f>M41*M16</f>
        <v>9182815400000</v>
      </c>
      <c r="N39">
        <v>100000</v>
      </c>
      <c r="O39" s="3">
        <v>100000</v>
      </c>
      <c r="Q39" t="str">
        <f t="shared" si="2"/>
        <v>K_v = 100000</v>
      </c>
      <c r="R39" t="str">
        <f t="shared" si="14"/>
        <v>K_v = 100000</v>
      </c>
      <c r="S39" t="str">
        <f>IF($F39="","",CONCATENATE($B39,"_v = ",I39))</f>
        <v>K_v = 100000</v>
      </c>
      <c r="T39" t="str">
        <f>IF($F39="","",CONCATENATE($B39,"_v = ",J39))</f>
        <v>K_v = 100000</v>
      </c>
      <c r="U39" t="str">
        <f>IF($F39="","",CONCATENATE($B39,"_v = ",K39))</f>
        <v>K_v = 100000</v>
      </c>
      <c r="V39" t="str">
        <f>IF($F39="","",CONCATENATE($B39,"_v = ",L39))</f>
        <v>K_v = 100000</v>
      </c>
      <c r="W39" t="str">
        <f>IF($F39="","",CONCATENATE($B39,"_v = ",K39))</f>
        <v>K_v = 100000</v>
      </c>
      <c r="X39" t="str">
        <f t="shared" ref="X39:X42" si="22">IF($F39="","",CONCATENATE($B39,"_v = ",O39))</f>
        <v>K_v = 100000</v>
      </c>
      <c r="Z39" t="str">
        <f t="shared" si="10"/>
        <v/>
      </c>
      <c r="AA39" t="str">
        <f t="shared" si="11"/>
        <v>K = K_v,</v>
      </c>
      <c r="AC39" s="2">
        <v>2132647599850.832</v>
      </c>
    </row>
    <row r="40" spans="1:29" x14ac:dyDescent="0.25">
      <c r="A40" t="s">
        <v>57</v>
      </c>
      <c r="B40" t="s">
        <v>58</v>
      </c>
      <c r="F40" t="s">
        <v>60</v>
      </c>
      <c r="G40" s="2">
        <v>5040</v>
      </c>
      <c r="H40">
        <v>6370</v>
      </c>
      <c r="I40" s="3">
        <v>5000</v>
      </c>
      <c r="J40" s="3">
        <v>5000</v>
      </c>
      <c r="K40" s="3">
        <v>5000</v>
      </c>
      <c r="L40" s="3">
        <v>5000</v>
      </c>
      <c r="M40" s="2">
        <v>551793000000</v>
      </c>
      <c r="N40">
        <v>5000</v>
      </c>
      <c r="O40" s="3">
        <f>O39*O42</f>
        <v>3900</v>
      </c>
      <c r="Q40" t="str">
        <f t="shared" si="2"/>
        <v>Zw_v = 5040</v>
      </c>
      <c r="R40" t="str">
        <f t="shared" si="14"/>
        <v>Zw_v = 6370</v>
      </c>
      <c r="S40" t="str">
        <f>IF($F40="","",CONCATENATE($B40,"_v = ",I40))</f>
        <v>Zw_v = 5000</v>
      </c>
      <c r="W40" t="str">
        <f>IF($F40="","",CONCATENATE($B40,"_v = ",K40))</f>
        <v>Zw_v = 5000</v>
      </c>
      <c r="X40" t="str">
        <f t="shared" si="22"/>
        <v>Zw_v = 3900</v>
      </c>
      <c r="Z40" t="str">
        <f t="shared" si="10"/>
        <v/>
      </c>
      <c r="AA40" t="str">
        <f t="shared" si="11"/>
        <v>Zw = Zw_v,</v>
      </c>
      <c r="AC40" s="2">
        <v>2956657000000</v>
      </c>
    </row>
    <row r="41" spans="1:29" x14ac:dyDescent="0.25">
      <c r="A41" t="s">
        <v>77</v>
      </c>
      <c r="J41" s="7">
        <f>AD41</f>
        <v>0</v>
      </c>
      <c r="K41" s="7"/>
      <c r="L41" s="7">
        <f>AF41</f>
        <v>0</v>
      </c>
      <c r="M41" s="2">
        <v>4174007000000</v>
      </c>
      <c r="Q41" t="str">
        <f>IF(B41="","",CONCATENATE($B41,"_val = ",G41))</f>
        <v/>
      </c>
      <c r="X41" t="str">
        <f t="shared" si="22"/>
        <v/>
      </c>
      <c r="AC41" s="2">
        <v>5331618999627.0801</v>
      </c>
    </row>
    <row r="42" spans="1:29" x14ac:dyDescent="0.25">
      <c r="A42" t="s">
        <v>135</v>
      </c>
      <c r="B42" t="s">
        <v>118</v>
      </c>
      <c r="F42" t="s">
        <v>60</v>
      </c>
      <c r="I42" s="11">
        <f>I6-(I7*I8*I22)</f>
        <v>4.2474400000000002E-2</v>
      </c>
      <c r="J42" s="11">
        <f>J6-(J7*J8*J22)</f>
        <v>4.5910000000000006E-2</v>
      </c>
      <c r="K42" s="11">
        <f>K6-(K7*K8*K22)</f>
        <v>4.5910000000000006E-2</v>
      </c>
      <c r="L42" s="11">
        <f>L6-(L7*L8*L22)</f>
        <v>4.5910000000000006E-2</v>
      </c>
      <c r="M42" s="2">
        <f>M39/H39</f>
        <v>91828154</v>
      </c>
      <c r="O42">
        <v>3.9E-2</v>
      </c>
      <c r="S42" t="str">
        <f>IF($F42="","",CONCATENATE($B42,"_v = ",I42))</f>
        <v>gZw_v = 0.0424744</v>
      </c>
      <c r="W42" t="str">
        <f>IF($F42="","",CONCATENATE($B42,"_v = ",K42))</f>
        <v>gZw_v = 0.04591</v>
      </c>
      <c r="X42" t="str">
        <f t="shared" si="22"/>
        <v>gZw_v = 0.039</v>
      </c>
      <c r="AC42" s="2">
        <v>21326475.998508319</v>
      </c>
    </row>
    <row r="44" spans="1:29" x14ac:dyDescent="0.25">
      <c r="A44" t="s">
        <v>79</v>
      </c>
      <c r="I44" s="5">
        <f>I41/0.8</f>
        <v>0</v>
      </c>
      <c r="J44" s="5">
        <f t="shared" ref="J44:K44" si="23">J11*J20*J19</f>
        <v>6.0060000000000002E-2</v>
      </c>
      <c r="K44" s="5">
        <f t="shared" si="23"/>
        <v>0</v>
      </c>
      <c r="L44" s="5">
        <f>L11*L20*L19</f>
        <v>8.4084000000000006E-2</v>
      </c>
      <c r="M44" s="12">
        <f>M33/$M$39</f>
        <v>3.955497134353806E-2</v>
      </c>
    </row>
    <row r="45" spans="1:29" x14ac:dyDescent="0.25">
      <c r="J45" s="3">
        <f t="shared" ref="J45:K45" si="24">J10*(1+J20)</f>
        <v>0.89249999999999996</v>
      </c>
      <c r="K45" s="3">
        <f t="shared" si="24"/>
        <v>0.85</v>
      </c>
      <c r="L45" s="3">
        <f>L10*(1+L20)</f>
        <v>0.90949999999999998</v>
      </c>
      <c r="M45" s="12">
        <f>M34/$M$39</f>
        <v>5.6494438513922426E-2</v>
      </c>
    </row>
    <row r="46" spans="1:29" x14ac:dyDescent="0.25">
      <c r="J46" s="5">
        <f t="shared" ref="J46:K46" si="25">J44-J45</f>
        <v>-0.83243999999999996</v>
      </c>
      <c r="K46" s="5">
        <f t="shared" si="25"/>
        <v>-0.85</v>
      </c>
      <c r="L46" s="5">
        <f>L44-L45</f>
        <v>-0.82541599999999993</v>
      </c>
      <c r="M46" s="12">
        <f t="shared" ref="M46" si="26">M35/$M$39</f>
        <v>9.6049409857460494E-2</v>
      </c>
    </row>
    <row r="48" spans="1:29" x14ac:dyDescent="0.25">
      <c r="M48">
        <f>M40/M39</f>
        <v>6.0089741104890335E-2</v>
      </c>
    </row>
    <row r="49" spans="9:14" x14ac:dyDescent="0.25">
      <c r="M49">
        <f>M33/M39</f>
        <v>3.955497134353806E-2</v>
      </c>
      <c r="N49">
        <f>M34/M33</f>
        <v>1.4282512815712531</v>
      </c>
    </row>
    <row r="50" spans="9:14" x14ac:dyDescent="0.25">
      <c r="M50">
        <f>M34/M39</f>
        <v>5.6494438513922426E-2</v>
      </c>
    </row>
    <row r="51" spans="9:14" x14ac:dyDescent="0.25">
      <c r="I51" s="3" t="s">
        <v>74</v>
      </c>
      <c r="M51" t="s">
        <v>74</v>
      </c>
      <c r="N51" t="s">
        <v>73</v>
      </c>
    </row>
    <row r="52" spans="9:14" x14ac:dyDescent="0.25">
      <c r="I52" s="3" t="s">
        <v>76</v>
      </c>
      <c r="M52" t="s">
        <v>76</v>
      </c>
      <c r="N52" t="s">
        <v>75</v>
      </c>
    </row>
    <row r="54" spans="9:14" x14ac:dyDescent="0.25">
      <c r="I54" s="3">
        <v>5331619</v>
      </c>
      <c r="M54">
        <v>5331619</v>
      </c>
    </row>
    <row r="55" spans="9:14" x14ac:dyDescent="0.25">
      <c r="I55" s="5">
        <f>I41/I54</f>
        <v>0</v>
      </c>
      <c r="J55" s="5"/>
      <c r="K55" s="5"/>
      <c r="L55" s="5"/>
      <c r="M55" s="1">
        <f>M41/M54</f>
        <v>782877.95883389271</v>
      </c>
    </row>
  </sheetData>
  <mergeCells count="1">
    <mergeCell ref="Z4:AA4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8DE5-7DE4-4078-8FA7-E239ED56D47A}">
  <dimension ref="A1:B9"/>
  <sheetViews>
    <sheetView workbookViewId="0">
      <selection activeCell="C8" sqref="C8"/>
    </sheetView>
  </sheetViews>
  <sheetFormatPr defaultRowHeight="15" x14ac:dyDescent="0.25"/>
  <sheetData>
    <row r="1" spans="1:2" x14ac:dyDescent="0.25">
      <c r="A1" t="s">
        <v>2</v>
      </c>
      <c r="B1">
        <v>0.06</v>
      </c>
    </row>
    <row r="2" spans="1:2" x14ac:dyDescent="0.25">
      <c r="A2" t="s">
        <v>71</v>
      </c>
      <c r="B2">
        <v>0.05</v>
      </c>
    </row>
    <row r="3" spans="1:2" x14ac:dyDescent="0.25">
      <c r="A3" t="s">
        <v>23</v>
      </c>
      <c r="B3">
        <v>0.06</v>
      </c>
    </row>
    <row r="4" spans="1:2" x14ac:dyDescent="0.25">
      <c r="A4" t="s">
        <v>29</v>
      </c>
      <c r="B4" s="9">
        <f>((B1-B2*B7+B3)*B6)/B5</f>
        <v>0.26586850000000001</v>
      </c>
    </row>
    <row r="5" spans="1:2" x14ac:dyDescent="0.25">
      <c r="A5" t="s">
        <v>25</v>
      </c>
      <c r="B5">
        <v>0.8034</v>
      </c>
    </row>
    <row r="6" spans="1:2" x14ac:dyDescent="0.25">
      <c r="A6" t="s">
        <v>21</v>
      </c>
      <c r="B6">
        <f>B5*2.3</f>
        <v>1.8478199999999998</v>
      </c>
    </row>
    <row r="7" spans="1:2" x14ac:dyDescent="0.25">
      <c r="A7" t="s">
        <v>5</v>
      </c>
      <c r="B7">
        <v>8.8099999999999998E-2</v>
      </c>
    </row>
    <row r="9" spans="1:2" x14ac:dyDescent="0.25">
      <c r="A9" t="s">
        <v>127</v>
      </c>
      <c r="B9" s="9">
        <f>B1-B2*B7</f>
        <v>5.5594999999999999E-2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BBBD-04F1-42F7-A8A4-A5EC936D85C5}">
  <dimension ref="A1:D23"/>
  <sheetViews>
    <sheetView tabSelected="1" workbookViewId="0">
      <selection activeCell="D14" sqref="D14"/>
    </sheetView>
  </sheetViews>
  <sheetFormatPr defaultRowHeight="15" x14ac:dyDescent="0.25"/>
  <cols>
    <col min="1" max="1" width="17" customWidth="1"/>
    <col min="2" max="2" width="37" customWidth="1"/>
    <col min="3" max="3" width="10.85546875" bestFit="1" customWidth="1"/>
    <col min="4" max="4" width="52.5703125" bestFit="1" customWidth="1"/>
  </cols>
  <sheetData>
    <row r="1" spans="1:4" ht="15.75" thickBot="1" x14ac:dyDescent="0.3">
      <c r="A1" s="14" t="s">
        <v>144</v>
      </c>
      <c r="B1" s="15" t="s">
        <v>145</v>
      </c>
      <c r="C1" s="15" t="s">
        <v>146</v>
      </c>
      <c r="D1" s="19" t="s">
        <v>156</v>
      </c>
    </row>
    <row r="2" spans="1:4" x14ac:dyDescent="0.25">
      <c r="A2" s="16" t="s">
        <v>13</v>
      </c>
      <c r="B2" s="17" t="s">
        <v>147</v>
      </c>
      <c r="C2" s="17">
        <v>0.42970000000000003</v>
      </c>
      <c r="D2" t="s">
        <v>158</v>
      </c>
    </row>
    <row r="3" spans="1:4" ht="15.75" thickBot="1" x14ac:dyDescent="0.3">
      <c r="A3" s="16"/>
      <c r="B3" s="17" t="s">
        <v>157</v>
      </c>
      <c r="C3" s="17">
        <f>1-C2</f>
        <v>0.57030000000000003</v>
      </c>
      <c r="D3" t="s">
        <v>158</v>
      </c>
    </row>
    <row r="4" spans="1:4" ht="26.25" thickBot="1" x14ac:dyDescent="0.3">
      <c r="A4" s="18" t="s">
        <v>9</v>
      </c>
      <c r="B4" s="15" t="s">
        <v>148</v>
      </c>
      <c r="C4" s="15">
        <v>0.89400000000000002</v>
      </c>
      <c r="D4" t="s">
        <v>159</v>
      </c>
    </row>
    <row r="5" spans="1:4" ht="15.75" thickBot="1" x14ac:dyDescent="0.3">
      <c r="A5" s="16" t="s">
        <v>11</v>
      </c>
      <c r="B5" s="17" t="s">
        <v>149</v>
      </c>
      <c r="C5" s="17">
        <v>0.52100000000000002</v>
      </c>
      <c r="D5" t="s">
        <v>160</v>
      </c>
    </row>
    <row r="6" spans="1:4" ht="15.75" thickBot="1" x14ac:dyDescent="0.3">
      <c r="A6" s="18" t="s">
        <v>28</v>
      </c>
      <c r="B6" s="15" t="s">
        <v>150</v>
      </c>
      <c r="C6" s="15">
        <v>0.78959999999999997</v>
      </c>
      <c r="D6" t="s">
        <v>161</v>
      </c>
    </row>
    <row r="7" spans="1:4" ht="15.75" thickBot="1" x14ac:dyDescent="0.3">
      <c r="A7" s="16" t="s">
        <v>21</v>
      </c>
      <c r="B7" s="17" t="s">
        <v>151</v>
      </c>
      <c r="C7" s="17">
        <v>1.82</v>
      </c>
      <c r="D7" t="s">
        <v>162</v>
      </c>
    </row>
    <row r="8" spans="1:4" ht="15.75" thickBot="1" x14ac:dyDescent="0.3">
      <c r="A8" s="18" t="s">
        <v>23</v>
      </c>
      <c r="B8" s="15" t="s">
        <v>152</v>
      </c>
      <c r="C8" s="15">
        <v>6.3500000000000001E-2</v>
      </c>
      <c r="D8" t="s">
        <v>163</v>
      </c>
    </row>
    <row r="9" spans="1:4" ht="15.75" thickBot="1" x14ac:dyDescent="0.3">
      <c r="A9" s="16" t="s">
        <v>5</v>
      </c>
      <c r="B9" s="17" t="s">
        <v>175</v>
      </c>
      <c r="C9" s="17">
        <v>0.81799999999999995</v>
      </c>
      <c r="D9" t="s">
        <v>164</v>
      </c>
    </row>
    <row r="10" spans="1:4" ht="26.25" thickBot="1" x14ac:dyDescent="0.3">
      <c r="A10" s="18" t="s">
        <v>17</v>
      </c>
      <c r="B10" s="15" t="s">
        <v>153</v>
      </c>
      <c r="C10" s="15" t="s">
        <v>165</v>
      </c>
      <c r="D10" t="s">
        <v>166</v>
      </c>
    </row>
    <row r="11" spans="1:4" ht="38.25" x14ac:dyDescent="0.25">
      <c r="A11" s="16" t="s">
        <v>34</v>
      </c>
      <c r="B11" s="17" t="s">
        <v>171</v>
      </c>
      <c r="C11" s="17" t="s">
        <v>170</v>
      </c>
      <c r="D11" t="s">
        <v>164</v>
      </c>
    </row>
    <row r="12" spans="1:4" ht="39" thickBot="1" x14ac:dyDescent="0.3">
      <c r="A12" s="16" t="s">
        <v>2</v>
      </c>
      <c r="B12" s="17" t="s">
        <v>154</v>
      </c>
      <c r="C12" s="17" t="s">
        <v>168</v>
      </c>
      <c r="D12" t="s">
        <v>167</v>
      </c>
    </row>
    <row r="13" spans="1:4" ht="39" thickBot="1" x14ac:dyDescent="0.3">
      <c r="A13" s="18" t="s">
        <v>71</v>
      </c>
      <c r="B13" s="15" t="s">
        <v>155</v>
      </c>
      <c r="C13" s="15" t="s">
        <v>169</v>
      </c>
      <c r="D13" t="s">
        <v>167</v>
      </c>
    </row>
    <row r="14" spans="1:4" x14ac:dyDescent="0.25">
      <c r="A14" s="21" t="s">
        <v>173</v>
      </c>
      <c r="B14" s="22" t="s">
        <v>176</v>
      </c>
      <c r="C14" s="22">
        <v>3.5799999999999998E-2</v>
      </c>
      <c r="D14" t="s">
        <v>164</v>
      </c>
    </row>
    <row r="15" spans="1:4" ht="25.5" x14ac:dyDescent="0.25">
      <c r="A15" s="21" t="s">
        <v>38</v>
      </c>
      <c r="B15" s="22" t="s">
        <v>178</v>
      </c>
      <c r="C15" s="22">
        <v>2</v>
      </c>
      <c r="D15" t="s">
        <v>167</v>
      </c>
    </row>
    <row r="16" spans="1:4" x14ac:dyDescent="0.25">
      <c r="A16" s="21" t="s">
        <v>174</v>
      </c>
      <c r="B16" s="22" t="s">
        <v>179</v>
      </c>
      <c r="C16" s="22">
        <v>1.2500000000000001E-2</v>
      </c>
      <c r="D16" t="s">
        <v>164</v>
      </c>
    </row>
    <row r="17" spans="1:4" ht="25.5" x14ac:dyDescent="0.25">
      <c r="A17" s="21" t="s">
        <v>37</v>
      </c>
      <c r="B17" s="22" t="s">
        <v>177</v>
      </c>
      <c r="C17" s="22">
        <v>1</v>
      </c>
      <c r="D17" t="s">
        <v>167</v>
      </c>
    </row>
    <row r="18" spans="1:4" x14ac:dyDescent="0.25">
      <c r="A18" s="21"/>
      <c r="B18" s="22"/>
      <c r="C18" s="22"/>
    </row>
    <row r="20" spans="1:4" ht="38.25" customHeight="1" thickBot="1" x14ac:dyDescent="0.3">
      <c r="A20" s="20" t="s">
        <v>172</v>
      </c>
      <c r="B20" s="20"/>
      <c r="C20" s="20"/>
    </row>
    <row r="21" spans="1:4" ht="15.75" thickBot="1" x14ac:dyDescent="0.3">
      <c r="A21" s="14" t="s">
        <v>144</v>
      </c>
      <c r="B21" s="15" t="s">
        <v>145</v>
      </c>
      <c r="C21" s="15" t="s">
        <v>146</v>
      </c>
      <c r="D21" s="19" t="s">
        <v>156</v>
      </c>
    </row>
    <row r="22" spans="1:4" x14ac:dyDescent="0.25">
      <c r="A22" t="s">
        <v>180</v>
      </c>
      <c r="B22" t="s">
        <v>181</v>
      </c>
      <c r="C22">
        <v>100</v>
      </c>
    </row>
    <row r="23" spans="1:4" x14ac:dyDescent="0.25">
      <c r="A23" t="s">
        <v>182</v>
      </c>
    </row>
  </sheetData>
  <mergeCells count="1">
    <mergeCell ref="A20:C2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42CB19-31AE-46F1-BC74-D08CE61721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modelo_tese_H (2)</vt:lpstr>
      <vt:lpstr>Planilha1</vt:lpstr>
      <vt:lpstr>Planilha2</vt:lpstr>
      <vt:lpstr>parâmetros escolhidos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2025-04-14T14:56:59Z</dcterms:created>
  <dcterms:modified xsi:type="dcterms:W3CDTF">2025-05-16T17:50:38Z</dcterms:modified>
</cp:coreProperties>
</file>