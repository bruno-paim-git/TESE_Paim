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58cd692ca3cd0e/Documentos/Doutorado/Projeto de Tese/DADOS2023-09-30/ARTIGO/2024-07-15/Modelo_tese/parametros/"/>
    </mc:Choice>
  </mc:AlternateContent>
  <xr:revisionPtr revIDLastSave="0" documentId="8_{DC715277-A153-463D-80A5-83ABE70060D3}" xr6:coauthVersionLast="47" xr6:coauthVersionMax="47" xr10:uidLastSave="{00000000-0000-0000-0000-000000000000}"/>
  <bookViews>
    <workbookView xWindow="-28920" yWindow="-60" windowWidth="29040" windowHeight="15720" activeTab="2" xr2:uid="{5063347A-3699-4533-BBB7-E091A992FD9C}"/>
  </bookViews>
  <sheets>
    <sheet name="DESPESAS1.1.1" sheetId="3" r:id="rId1"/>
    <sheet name="RENDIMENTO2.1.1 " sheetId="2" r:id="rId2"/>
    <sheet name="Planilha1" sheetId="1" r:id="rId3"/>
  </sheets>
  <externalReferences>
    <externalReference r:id="rId4"/>
  </externalReferences>
  <definedNames>
    <definedName name="_xlnm.Print_Area" localSheetId="0">'DESPESAS1.1.1'!$A$1:$I$119</definedName>
    <definedName name="_xlnm.Print_Area" localSheetId="1">'RENDIMENTO2.1.1 '!$A$1:$I$37</definedName>
    <definedName name="CODTERRITORIO">#REF!</definedName>
    <definedName name="DICNOMEBL_BLC_UNIC">#REF!</definedName>
    <definedName name="FILTROBL_BLC_UNIC">#REF!</definedName>
    <definedName name="NOMEPRODUTO1">#REF!</definedName>
    <definedName name="NOMEPRODUTO2">#REF!</definedName>
    <definedName name="NOMEPRODUTO3">#REF!</definedName>
    <definedName name="NOMEPRODUTO4">#REF!</definedName>
    <definedName name="NOMETERRITORIO">#REF!</definedName>
    <definedName name="NOMETERRITORIOMAIS">#REF!</definedName>
    <definedName name="NOMETERRITORIOTIT">#REF!</definedName>
    <definedName name="NOMETERRITORIOTITMAIS">#REF!</definedName>
    <definedName name="NOMEUNIDADE1">#REF!</definedName>
    <definedName name="NOMEUNIDADE2">#REF!</definedName>
    <definedName name="NOMEUNIDADE3">#REF!</definedName>
    <definedName name="NOMEUNIDADE4">#REF!</definedName>
    <definedName name="NUMERODEORDEM">#REF!</definedName>
    <definedName name="ORDEMTERRITORIO">#REF!</definedName>
    <definedName name="TOTORDEMBLC_UNI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C26" i="1"/>
  <c r="D26" i="1"/>
  <c r="E26" i="1"/>
  <c r="F26" i="1"/>
  <c r="G26" i="1"/>
  <c r="H26" i="1"/>
  <c r="H27" i="1" s="1"/>
  <c r="I26" i="1"/>
  <c r="I27" i="1" s="1"/>
  <c r="C27" i="1"/>
  <c r="D27" i="1"/>
  <c r="E27" i="1"/>
  <c r="F27" i="1"/>
  <c r="G27" i="1"/>
  <c r="B27" i="1"/>
  <c r="B26" i="1"/>
</calcChain>
</file>

<file path=xl/sharedStrings.xml><?xml version="1.0" encoding="utf-8"?>
<sst xmlns="http://schemas.openxmlformats.org/spreadsheetml/2006/main" count="194" uniqueCount="140">
  <si>
    <t xml:space="preserve">Tabela 2.1.1  -  Rendimento total e variação patrimonial médio mensal familiar, por classes de rendimento total e variação patrimonial mensal familiar, segundo os tipos de origem do rendimento, com indicação do número e tamanho médio das famílias - Brasil - período 2017-2018                                                                  </t>
  </si>
  <si>
    <t>Origem do rendimento, número e tamanho médio das famílias</t>
  </si>
  <si>
    <t>Rendimento total e variação patrimonial médio mensal familiar (R$)</t>
  </si>
  <si>
    <t>Total</t>
  </si>
  <si>
    <t xml:space="preserve">Classes de rendimento total e variação patrimonial mensal familiar (1) </t>
  </si>
  <si>
    <t>Até 1 908             (2)</t>
  </si>
  <si>
    <t>Mais de                1 908 a 2 862</t>
  </si>
  <si>
    <t>Mais de                2 862 a 5 724</t>
  </si>
  <si>
    <t>Mais de                5 724 a 9 540</t>
  </si>
  <si>
    <t>Mais de                9 540 a 14 310</t>
  </si>
  <si>
    <t>Mais de                 14 310 a 23 850</t>
  </si>
  <si>
    <t>Mais de 23 850</t>
  </si>
  <si>
    <t>Rendimento total e variação patrimonial</t>
  </si>
  <si>
    <t xml:space="preserve">Rendimento total </t>
  </si>
  <si>
    <t xml:space="preserve">          Rendimento do trabalho</t>
  </si>
  <si>
    <t xml:space="preserve">               Empregado</t>
  </si>
  <si>
    <t xml:space="preserve">               Empregador</t>
  </si>
  <si>
    <t xml:space="preserve">               Conta própria</t>
  </si>
  <si>
    <t xml:space="preserve">          Transferência</t>
  </si>
  <si>
    <t xml:space="preserve">               Aposentadoria e pensão do INSS</t>
  </si>
  <si>
    <t xml:space="preserve">               Aposentadoria, pensão da previdência pública</t>
  </si>
  <si>
    <t xml:space="preserve">               Aposentadoria, pensão da previdência privada</t>
  </si>
  <si>
    <t xml:space="preserve">               Programas sociais federais</t>
  </si>
  <si>
    <t xml:space="preserve">               Pensão alimentícia, mesada ou doação</t>
  </si>
  <si>
    <t xml:space="preserve">               Outras transferências</t>
  </si>
  <si>
    <t xml:space="preserve">          Rendimento de aluguel </t>
  </si>
  <si>
    <t xml:space="preserve">          Outras rendas</t>
  </si>
  <si>
    <t xml:space="preserve">          Rendimento não monetário</t>
  </si>
  <si>
    <t>Variação patrimonial</t>
  </si>
  <si>
    <t>Número de famílias</t>
  </si>
  <si>
    <t>Tamanho médio da família (pessoas)</t>
  </si>
  <si>
    <t xml:space="preserve"> </t>
  </si>
  <si>
    <t>Fonte: IBGE, Diretoria de Pesquisas, Coordenação de Trabalho e Rendimento, Pesquisa de Orçamentos Familiares 2017-2018.</t>
  </si>
  <si>
    <t>Nota: O termo família está sendo utilizado para indicar a unidade de investigação da pesquisa, unidade de Consumo, conforme descrito na Introdução da publicação.</t>
  </si>
  <si>
    <t>(1) Inclui os rendimentos monetário e não monetário e a variação patrimonial. (2) Inclusive sem rendimento.</t>
  </si>
  <si>
    <t xml:space="preserve">Tabela 1.1.1 - Despesas monetária e não monetária média mensal familiar, por classes de rendimento total 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</si>
  <si>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variação patrimonial mensal familiar, segundo os tipos de despesa, com indicação do número e </t>
  </si>
  <si>
    <t>tamanho médio das famílias - Brasil - período 2017-2018</t>
  </si>
  <si>
    <t>(continua)</t>
  </si>
  <si>
    <t>Tipos de despesa,  
número e tamanho médio                                                  das famílias</t>
  </si>
  <si>
    <t xml:space="preserve">Despesas monetária e não monetária média mensal familiar (R$)                    </t>
  </si>
  <si>
    <t xml:space="preserve">Total                                                                           </t>
  </si>
  <si>
    <t xml:space="preserve">Classes de rendimento total e variação patrimonial mensal familiar (1)                 </t>
  </si>
  <si>
    <t xml:space="preserve">Até 1 908
(2)                                                                    </t>
  </si>
  <si>
    <t xml:space="preserve">Mais de
1 908
a
2 862                                                          </t>
  </si>
  <si>
    <t xml:space="preserve">Mais de
2 862
a
5 724                                                          </t>
  </si>
  <si>
    <t xml:space="preserve">Mais de
5 724 
a
9 540                                                       </t>
  </si>
  <si>
    <t xml:space="preserve">Mais de
9 540 
a
14 310                                                       </t>
  </si>
  <si>
    <t xml:space="preserve">Mais de
14 310 
a
23 850                                                       </t>
  </si>
  <si>
    <t xml:space="preserve">Mais de
23 850                                                                  </t>
  </si>
  <si>
    <t>Despesa total</t>
  </si>
  <si>
    <t xml:space="preserve"> Despesas correntes</t>
  </si>
  <si>
    <t xml:space="preserve">  Despesas de consumo</t>
  </si>
  <si>
    <t xml:space="preserve">   Alimentação</t>
  </si>
  <si>
    <t xml:space="preserve">   Habitação</t>
  </si>
  <si>
    <t xml:space="preserve">    Aluguel</t>
  </si>
  <si>
    <t xml:space="preserve">     Aluguel monetário</t>
  </si>
  <si>
    <t xml:space="preserve">     Aluguel não monetário</t>
  </si>
  <si>
    <t xml:space="preserve">    Condomínio</t>
  </si>
  <si>
    <t xml:space="preserve">    Serviços e taxas</t>
  </si>
  <si>
    <t xml:space="preserve">     Energia elétrica</t>
  </si>
  <si>
    <t xml:space="preserve">     Telefone fixo</t>
  </si>
  <si>
    <t xml:space="preserve">     Telefone Celular</t>
  </si>
  <si>
    <t xml:space="preserve">     Pacote de telefone, TV e Internet</t>
  </si>
  <si>
    <t xml:space="preserve">     Gás doméstico</t>
  </si>
  <si>
    <t xml:space="preserve">     Água e esgoto</t>
  </si>
  <si>
    <t xml:space="preserve">     Outros</t>
  </si>
  <si>
    <t xml:space="preserve">    Manutenção do lar</t>
  </si>
  <si>
    <t xml:space="preserve">    Artigos de limpeza</t>
  </si>
  <si>
    <t xml:space="preserve">    Mobiliários e artigos do lar</t>
  </si>
  <si>
    <t xml:space="preserve">    Eletrodomésticos</t>
  </si>
  <si>
    <t xml:space="preserve">    Consertos artigos do lar</t>
  </si>
  <si>
    <t xml:space="preserve">   Vestuário</t>
  </si>
  <si>
    <t xml:space="preserve">    Roupa de homem</t>
  </si>
  <si>
    <t xml:space="preserve">    Roupa de mulher</t>
  </si>
  <si>
    <t xml:space="preserve">    Roupa de criança</t>
  </si>
  <si>
    <t xml:space="preserve">    Calçados e apetrechos</t>
  </si>
  <si>
    <t xml:space="preserve">    Joias e bijuterias</t>
  </si>
  <si>
    <t xml:space="preserve">    Tecidos e armarinhos</t>
  </si>
  <si>
    <t xml:space="preserve">   Transporte</t>
  </si>
  <si>
    <t xml:space="preserve">    Urbano</t>
  </si>
  <si>
    <t xml:space="preserve">    Gasolina - veículo próprio</t>
  </si>
  <si>
    <t xml:space="preserve">    Álcool - veículo próprio</t>
  </si>
  <si>
    <t xml:space="preserve">    Manutenção e acessórios</t>
  </si>
  <si>
    <t xml:space="preserve">    Aquisição de veículos</t>
  </si>
  <si>
    <t xml:space="preserve">    Viagens esporádicas</t>
  </si>
  <si>
    <t xml:space="preserve">    Outras</t>
  </si>
  <si>
    <t xml:space="preserve">   Higiene e Cuidados Pessoais</t>
  </si>
  <si>
    <t xml:space="preserve">    Perfume</t>
  </si>
  <si>
    <t xml:space="preserve">    Produtos para cabelo</t>
  </si>
  <si>
    <t xml:space="preserve">    Sabonete</t>
  </si>
  <si>
    <t xml:space="preserve">    Instrumentos e produtos de uso pessoal</t>
  </si>
  <si>
    <t xml:space="preserve">   Assistência a saúde</t>
  </si>
  <si>
    <t xml:space="preserve">    Remédios</t>
  </si>
  <si>
    <t xml:space="preserve">    Plano/Seguro saúde</t>
  </si>
  <si>
    <t xml:space="preserve">    Consulta e tratamento dentário  </t>
  </si>
  <si>
    <t xml:space="preserve">    Consulta médica</t>
  </si>
  <si>
    <t xml:space="preserve">    Tratamento médico e ambulatorial</t>
  </si>
  <si>
    <t xml:space="preserve">    Serviços de cirurgia</t>
  </si>
  <si>
    <t xml:space="preserve">    Hospitalização</t>
  </si>
  <si>
    <t xml:space="preserve">    Exames diversos</t>
  </si>
  <si>
    <t xml:space="preserve">    Material de tratamento</t>
  </si>
  <si>
    <t>(conclusão)</t>
  </si>
  <si>
    <t xml:space="preserve">   Educação</t>
  </si>
  <si>
    <t xml:space="preserve">    Cursos regulares</t>
  </si>
  <si>
    <t xml:space="preserve">    Cursos superiores</t>
  </si>
  <si>
    <t xml:space="preserve">    Outros cursos e atividades</t>
  </si>
  <si>
    <t xml:space="preserve">    Livros didáticos e revistas técnicas</t>
  </si>
  <si>
    <t xml:space="preserve">    Artigos escolares</t>
  </si>
  <si>
    <t xml:space="preserve">   Recreação e cultura</t>
  </si>
  <si>
    <t xml:space="preserve">    Brinquedos e jogos</t>
  </si>
  <si>
    <t xml:space="preserve">    Celular e acessórios</t>
  </si>
  <si>
    <t xml:space="preserve">    Periódicos, livros e revistas não didáticos</t>
  </si>
  <si>
    <t xml:space="preserve">    Recreações e esportes</t>
  </si>
  <si>
    <t xml:space="preserve">   Fumo</t>
  </si>
  <si>
    <t xml:space="preserve">   Serviços pessoais</t>
  </si>
  <si>
    <t xml:space="preserve">    Cabeleireiro</t>
  </si>
  <si>
    <t xml:space="preserve">    Manicuro e pedicuro</t>
  </si>
  <si>
    <t xml:space="preserve">    Consertos de artigos pessoais </t>
  </si>
  <si>
    <t xml:space="preserve">   Despesas diversas</t>
  </si>
  <si>
    <t xml:space="preserve">    Jogos e apostas</t>
  </si>
  <si>
    <t xml:space="preserve">    Comunicação</t>
  </si>
  <si>
    <t xml:space="preserve">    Cerimônias e festas</t>
  </si>
  <si>
    <t xml:space="preserve">    Serviços profissionais</t>
  </si>
  <si>
    <t xml:space="preserve">    Imóveis de uso ocasional</t>
  </si>
  <si>
    <t xml:space="preserve">  Outras despesas correntes</t>
  </si>
  <si>
    <t xml:space="preserve">    Impostos</t>
  </si>
  <si>
    <t xml:space="preserve">    Contribuições trabalhistas</t>
  </si>
  <si>
    <t xml:space="preserve">    Serviços bancários</t>
  </si>
  <si>
    <t xml:space="preserve">    Pensões, mesadas e doações</t>
  </si>
  <si>
    <t xml:space="preserve">    Previdência privada</t>
  </si>
  <si>
    <t xml:space="preserve"> Aumento do ativo</t>
  </si>
  <si>
    <t xml:space="preserve">   Imóvel (aquisição)</t>
  </si>
  <si>
    <t xml:space="preserve">   Imóvel (reforma)</t>
  </si>
  <si>
    <t xml:space="preserve">  Outros investimentos</t>
  </si>
  <si>
    <t xml:space="preserve"> Diminuição do passivo</t>
  </si>
  <si>
    <t xml:space="preserve">   Empréstimo</t>
  </si>
  <si>
    <t xml:space="preserve">   Prestação de imóvel</t>
  </si>
  <si>
    <t>Nota: O termo família está sendo utilizado para indicar a unidade de investigação da pesquisa, unidade de consumo, conforme descrito na Introdução da pesquisa.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</si>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</sst>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###\ ###\ ##0.00;\-###\ ###\ ##0.00;&quot;-&quot;"/>
    <numFmt numFmtId="166" formatCode="0\ 000\ 000"/>
    <numFmt numFmtId="167" formatCode="#\ ##0.00"/>
    <numFmt numFmtId="168" formatCode="##\ ###\ ###"/>
    <numFmt numFmtId="169" formatCode="#.0"/>
  </numFmts>
  <fonts count="18">
    <font>
      <sz val="11"/>
      <color theme="1"/>
      <name val="Aptos Narrow"/>
      <family val="2"/>
      <scheme val="minor"/>
    </font>
    <font>
      <sz val="6"/>
      <name val="Arial"/>
    </font>
    <font>
      <b/>
      <sz val="8"/>
      <name val="Univers"/>
      <family val="2"/>
    </font>
    <font>
      <sz val="8"/>
      <name val="Arial"/>
      <family val="2"/>
    </font>
    <font>
      <sz val="7"/>
      <name val="Univers"/>
      <family val="2"/>
    </font>
    <font>
      <b/>
      <sz val="7"/>
      <name val="Univers 55"/>
    </font>
    <font>
      <b/>
      <sz val="7"/>
      <color theme="1"/>
      <name val="Univers"/>
      <family val="2"/>
    </font>
    <font>
      <b/>
      <sz val="6"/>
      <name val="Arial"/>
      <family val="2"/>
    </font>
    <font>
      <b/>
      <sz val="6"/>
      <name val="Arial"/>
    </font>
    <font>
      <sz val="7"/>
      <name val="Univers 55"/>
      <family val="2"/>
    </font>
    <font>
      <sz val="7"/>
      <color theme="1"/>
      <name val="Univers"/>
      <family val="2"/>
    </font>
    <font>
      <sz val="6"/>
      <name val="Arial"/>
      <family val="2"/>
    </font>
    <font>
      <sz val="7"/>
      <name val="Arial"/>
      <family val="2"/>
    </font>
    <font>
      <sz val="6"/>
      <name val="Univers 55"/>
    </font>
    <font>
      <b/>
      <sz val="9"/>
      <name val="Univers 45 Light"/>
      <family val="2"/>
    </font>
    <font>
      <sz val="6"/>
      <name val="Univers 55"/>
      <family val="2"/>
    </font>
    <font>
      <sz val="8"/>
      <name val="Univers 45 Light"/>
    </font>
    <font>
      <b/>
      <sz val="7"/>
      <name val="Univers 45 Light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vertical="top"/>
    </xf>
    <xf numFmtId="0" fontId="3" fillId="0" borderId="0" xfId="1" applyFont="1" applyAlignment="1">
      <alignment vertical="center"/>
    </xf>
    <xf numFmtId="0" fontId="1" fillId="0" borderId="1" xfId="1" applyBorder="1"/>
    <xf numFmtId="0" fontId="1" fillId="0" borderId="0" xfId="1"/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1" fillId="0" borderId="6" xfId="1" applyBorder="1" applyAlignment="1">
      <alignment horizontal="center" vertical="center" wrapText="1"/>
    </xf>
    <xf numFmtId="0" fontId="1" fillId="0" borderId="7" xfId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1" fillId="0" borderId="11" xfId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1" fillId="0" borderId="13" xfId="1" applyBorder="1"/>
    <xf numFmtId="0" fontId="1" fillId="0" borderId="13" xfId="1" applyBorder="1" applyAlignment="1">
      <alignment horizontal="right"/>
    </xf>
    <xf numFmtId="49" fontId="5" fillId="0" borderId="0" xfId="1" applyNumberFormat="1" applyFont="1" applyAlignment="1">
      <alignment horizontal="left"/>
    </xf>
    <xf numFmtId="165" fontId="6" fillId="0" borderId="0" xfId="2" applyNumberFormat="1" applyFont="1"/>
    <xf numFmtId="165" fontId="7" fillId="0" borderId="0" xfId="1" applyNumberFormat="1" applyFont="1"/>
    <xf numFmtId="49" fontId="5" fillId="0" borderId="0" xfId="1" applyNumberFormat="1" applyFont="1" applyAlignment="1">
      <alignment horizontal="left" indent="1"/>
    </xf>
    <xf numFmtId="0" fontId="8" fillId="0" borderId="0" xfId="1" applyFont="1" applyAlignment="1">
      <alignment horizontal="left"/>
    </xf>
    <xf numFmtId="165" fontId="1" fillId="0" borderId="0" xfId="1" applyNumberFormat="1"/>
    <xf numFmtId="49" fontId="9" fillId="0" borderId="0" xfId="1" applyNumberFormat="1" applyFont="1" applyAlignment="1">
      <alignment horizontal="left"/>
    </xf>
    <xf numFmtId="165" fontId="10" fillId="0" borderId="0" xfId="2" applyNumberFormat="1" applyFont="1" applyBorder="1"/>
    <xf numFmtId="165" fontId="6" fillId="0" borderId="0" xfId="2" applyNumberFormat="1" applyFont="1" applyBorder="1"/>
    <xf numFmtId="166" fontId="6" fillId="0" borderId="0" xfId="2" applyNumberFormat="1" applyFont="1" applyBorder="1"/>
    <xf numFmtId="2" fontId="6" fillId="0" borderId="0" xfId="1" applyNumberFormat="1" applyFont="1"/>
    <xf numFmtId="0" fontId="9" fillId="0" borderId="13" xfId="3" applyFont="1" applyBorder="1"/>
    <xf numFmtId="0" fontId="12" fillId="0" borderId="13" xfId="3" applyFont="1" applyBorder="1"/>
    <xf numFmtId="0" fontId="9" fillId="0" borderId="0" xfId="3" applyFont="1" applyAlignment="1">
      <alignment horizontal="left" vertical="center" wrapText="1"/>
    </xf>
    <xf numFmtId="0" fontId="12" fillId="0" borderId="0" xfId="3" applyFont="1" applyAlignment="1">
      <alignment horizontal="left" vertical="center" wrapText="1"/>
    </xf>
    <xf numFmtId="0" fontId="9" fillId="0" borderId="0" xfId="3" applyFont="1" applyAlignment="1">
      <alignment horizontal="left" vertical="center" wrapText="1" shrinkToFit="1"/>
    </xf>
    <xf numFmtId="0" fontId="12" fillId="0" borderId="0" xfId="3" applyFont="1" applyAlignment="1">
      <alignment horizontal="left" vertical="center" wrapText="1" shrinkToFit="1"/>
    </xf>
    <xf numFmtId="0" fontId="13" fillId="0" borderId="0" xfId="1" applyFont="1"/>
    <xf numFmtId="0" fontId="14" fillId="0" borderId="0" xfId="1" applyFont="1" applyAlignment="1">
      <alignment horizontal="center" vertical="center" wrapText="1"/>
    </xf>
    <xf numFmtId="0" fontId="15" fillId="0" borderId="0" xfId="1" applyFont="1"/>
    <xf numFmtId="0" fontId="14" fillId="0" borderId="0" xfId="1" applyFont="1" applyAlignment="1">
      <alignment horizontal="center" vertical="center" wrapText="1"/>
    </xf>
    <xf numFmtId="0" fontId="16" fillId="0" borderId="1" xfId="1" applyFont="1" applyBorder="1" applyAlignment="1">
      <alignment horizontal="right" vertical="center" wrapText="1"/>
    </xf>
    <xf numFmtId="0" fontId="1" fillId="0" borderId="1" xfId="1" applyBorder="1" applyAlignment="1">
      <alignment horizontal="right" vertical="center" wrapText="1"/>
    </xf>
    <xf numFmtId="0" fontId="9" fillId="0" borderId="2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167" fontId="10" fillId="0" borderId="0" xfId="4" applyNumberFormat="1" applyFont="1"/>
    <xf numFmtId="0" fontId="9" fillId="0" borderId="0" xfId="1" applyFont="1"/>
    <xf numFmtId="0" fontId="15" fillId="0" borderId="1" xfId="1" applyFont="1" applyBorder="1"/>
    <xf numFmtId="49" fontId="17" fillId="0" borderId="0" xfId="1" applyNumberFormat="1" applyFont="1" applyAlignment="1">
      <alignment horizontal="left"/>
    </xf>
    <xf numFmtId="168" fontId="6" fillId="0" borderId="0" xfId="4" applyNumberFormat="1" applyFont="1"/>
    <xf numFmtId="0" fontId="17" fillId="0" borderId="0" xfId="1" applyFont="1"/>
    <xf numFmtId="169" fontId="15" fillId="0" borderId="1" xfId="1" applyNumberFormat="1" applyFont="1" applyBorder="1"/>
    <xf numFmtId="0" fontId="9" fillId="0" borderId="13" xfId="1" applyFont="1" applyBorder="1"/>
    <xf numFmtId="0" fontId="12" fillId="0" borderId="13" xfId="1" applyFont="1" applyBorder="1"/>
    <xf numFmtId="0" fontId="9" fillId="0" borderId="0" xfId="1" applyFont="1" applyAlignment="1">
      <alignment horizontal="left" vertical="center" wrapText="1"/>
    </xf>
    <xf numFmtId="0" fontId="12" fillId="0" borderId="0" xfId="1" applyFont="1" applyAlignment="1">
      <alignment horizontal="left" vertical="center" wrapText="1"/>
    </xf>
    <xf numFmtId="0" fontId="9" fillId="0" borderId="0" xfId="1" applyFont="1" applyAlignment="1">
      <alignment horizontal="left" vertical="center" wrapText="1" shrinkToFit="1"/>
    </xf>
    <xf numFmtId="0" fontId="12" fillId="0" borderId="0" xfId="1" applyFont="1" applyAlignment="1">
      <alignment horizontal="left" vertical="center" wrapText="1" shrinkToFit="1"/>
    </xf>
    <xf numFmtId="0" fontId="9" fillId="0" borderId="0" xfId="1" applyFont="1" applyAlignment="1">
      <alignment wrapText="1"/>
    </xf>
    <xf numFmtId="2" fontId="0" fillId="0" borderId="0" xfId="0" applyNumberFormat="1"/>
    <xf numFmtId="0" fontId="0" fillId="0" borderId="0" xfId="0" applyAlignment="1">
      <alignment horizontal="center"/>
    </xf>
  </cellXfs>
  <cellStyles count="5">
    <cellStyle name="Normal" xfId="0" builtinId="0"/>
    <cellStyle name="Normal 2" xfId="1" xr:uid="{DA77015A-D3A8-4B29-A851-5BA3CE0E9A85}"/>
    <cellStyle name="Normal 2 2" xfId="3" xr:uid="{8585026A-946E-4FDD-8DBF-8D994DBC8287}"/>
    <cellStyle name="Vírgula 2" xfId="2" xr:uid="{4D93AFA2-3F73-4525-A1A6-7185AF4CC4D8}"/>
    <cellStyle name="Vírgula 3" xfId="4" xr:uid="{14699C0D-0CDD-47CF-A279-8B11763B71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78</xdr:row>
      <xdr:rowOff>0</xdr:rowOff>
    </xdr:from>
    <xdr:to>
      <xdr:col>9</xdr:col>
      <xdr:colOff>0</xdr:colOff>
      <xdr:row>78</xdr:row>
      <xdr:rowOff>0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2CFE4CC7-0C47-4D98-BE6C-ACB5DC25974E}"/>
            </a:ext>
          </a:extLst>
        </xdr:cNvPr>
        <xdr:cNvSpPr txBox="1">
          <a:spLocks noChangeArrowheads="1"/>
        </xdr:cNvSpPr>
      </xdr:nvSpPr>
      <xdr:spPr bwMode="auto">
        <a:xfrm>
          <a:off x="6848475" y="110109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18288" rIns="27432" bIns="18288" anchor="ctr" upright="1"/>
        <a:lstStyle/>
        <a:p>
          <a:pPr algn="r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runo-paim\AppData\Local\Temp\fe19beb4-899e-4069-86f1-cc505b10988a_POF_2017-2018%20-%20tabelas_despesas_xls_20191108.zip.88a\Tab%201.1.1%20at&#233;%201.1.6.xls.xlsx" TargetMode="External"/><Relationship Id="rId1" Type="http://schemas.openxmlformats.org/officeDocument/2006/relationships/externalLinkPath" Target="file:///C:\Users\bruno-paim\AppData\Local\Temp\fe19beb4-899e-4069-86f1-cc505b10988a_POF_2017-2018%20-%20tabelas_despesas_xls_20191108.zip.88a\Tab%201.1.1%20at&#233;%201.1.6.x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1.1"/>
      <sheetName val="1.1.2"/>
      <sheetName val="1.1.3"/>
      <sheetName val="1.1.4"/>
      <sheetName val="1.1.5"/>
      <sheetName val="1.1.6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991FB-C4A4-4736-9094-6C9F777752BF}">
  <dimension ref="A1:I120"/>
  <sheetViews>
    <sheetView showGridLines="0" topLeftCell="A74" zoomScaleNormal="100" workbookViewId="0">
      <selection activeCell="A9" activeCellId="1" sqref="A98:XFD111 A9:XFD10"/>
    </sheetView>
  </sheetViews>
  <sheetFormatPr defaultColWidth="6.7109375" defaultRowHeight="8.25"/>
  <cols>
    <col min="1" max="1" width="31.28515625" style="38" customWidth="1"/>
    <col min="2" max="5" width="9.28515625" style="38" customWidth="1"/>
    <col min="6" max="9" width="8.5703125" style="38" customWidth="1"/>
    <col min="10" max="16384" width="6.7109375" style="38"/>
  </cols>
  <sheetData>
    <row r="1" spans="1:9" ht="10.9" customHeight="1">
      <c r="A1" s="37" t="s">
        <v>35</v>
      </c>
      <c r="B1" s="37"/>
      <c r="C1" s="37"/>
      <c r="D1" s="37"/>
      <c r="E1" s="37"/>
      <c r="F1" s="37"/>
      <c r="G1" s="37"/>
      <c r="H1" s="37"/>
      <c r="I1" s="37"/>
    </row>
    <row r="2" spans="1:9" ht="10.9" customHeight="1">
      <c r="A2" s="37" t="s">
        <v>36</v>
      </c>
      <c r="B2" s="37"/>
      <c r="C2" s="37"/>
      <c r="D2" s="37"/>
      <c r="E2" s="37"/>
      <c r="F2" s="37"/>
      <c r="G2" s="37"/>
      <c r="H2" s="37"/>
      <c r="I2" s="37"/>
    </row>
    <row r="3" spans="1:9" ht="10.9" customHeight="1">
      <c r="A3" s="37" t="s">
        <v>37</v>
      </c>
      <c r="B3" s="37"/>
      <c r="C3" s="37"/>
      <c r="D3" s="37"/>
      <c r="E3" s="37"/>
      <c r="F3" s="37"/>
      <c r="G3" s="37"/>
      <c r="H3" s="37"/>
      <c r="I3" s="37"/>
    </row>
    <row r="4" spans="1:9" ht="10.9" customHeight="1">
      <c r="A4" s="39"/>
      <c r="B4" s="39"/>
      <c r="C4" s="39"/>
      <c r="D4" s="39"/>
      <c r="E4" s="39"/>
      <c r="F4" s="39"/>
      <c r="G4" s="39"/>
      <c r="H4" s="39"/>
      <c r="I4" s="39"/>
    </row>
    <row r="5" spans="1:9" ht="9" customHeight="1">
      <c r="A5" s="39"/>
      <c r="B5" s="39"/>
      <c r="C5" s="39"/>
      <c r="D5" s="39"/>
      <c r="E5" s="39"/>
      <c r="F5" s="39"/>
      <c r="G5" s="39"/>
      <c r="H5" s="40" t="s">
        <v>38</v>
      </c>
      <c r="I5" s="41"/>
    </row>
    <row r="6" spans="1:9" ht="15" customHeight="1">
      <c r="A6" s="42" t="s">
        <v>39</v>
      </c>
      <c r="B6" s="43" t="s">
        <v>40</v>
      </c>
      <c r="C6" s="43"/>
      <c r="D6" s="43"/>
      <c r="E6" s="43"/>
      <c r="F6" s="43"/>
      <c r="G6" s="43"/>
      <c r="H6" s="43"/>
      <c r="I6" s="44"/>
    </row>
    <row r="7" spans="1:9" ht="15" customHeight="1">
      <c r="A7" s="45"/>
      <c r="B7" s="43" t="s">
        <v>41</v>
      </c>
      <c r="C7" s="43" t="s">
        <v>42</v>
      </c>
      <c r="D7" s="43"/>
      <c r="E7" s="43"/>
      <c r="F7" s="43"/>
      <c r="G7" s="43"/>
      <c r="H7" s="43"/>
      <c r="I7" s="44"/>
    </row>
    <row r="8" spans="1:9" ht="45" customHeight="1">
      <c r="A8" s="46"/>
      <c r="B8" s="43"/>
      <c r="C8" s="47" t="s">
        <v>43</v>
      </c>
      <c r="D8" s="47" t="s">
        <v>44</v>
      </c>
      <c r="E8" s="47" t="s">
        <v>45</v>
      </c>
      <c r="F8" s="47" t="s">
        <v>46</v>
      </c>
      <c r="G8" s="47" t="s">
        <v>47</v>
      </c>
      <c r="H8" s="47" t="s">
        <v>48</v>
      </c>
      <c r="I8" s="48" t="s">
        <v>49</v>
      </c>
    </row>
    <row r="9" spans="1:9" s="50" customFormat="1" ht="15" customHeight="1">
      <c r="A9" s="25" t="s">
        <v>50</v>
      </c>
      <c r="B9" s="49">
        <v>4649.03</v>
      </c>
      <c r="C9" s="49">
        <v>1500.73</v>
      </c>
      <c r="D9" s="49">
        <v>2350.7399999999998</v>
      </c>
      <c r="E9" s="49">
        <v>3705.24</v>
      </c>
      <c r="F9" s="49">
        <v>6326.5</v>
      </c>
      <c r="G9" s="49">
        <v>9401.98</v>
      </c>
      <c r="H9" s="49">
        <v>14872.3</v>
      </c>
      <c r="I9" s="49">
        <v>27866.89</v>
      </c>
    </row>
    <row r="10" spans="1:9" s="50" customFormat="1" ht="10.15" customHeight="1">
      <c r="A10" s="25" t="s">
        <v>51</v>
      </c>
      <c r="B10" s="49">
        <v>4309.88</v>
      </c>
      <c r="C10" s="49">
        <v>1448.92</v>
      </c>
      <c r="D10" s="49">
        <v>2245.19</v>
      </c>
      <c r="E10" s="49">
        <v>3508.03</v>
      </c>
      <c r="F10" s="49">
        <v>5933.07</v>
      </c>
      <c r="G10" s="49">
        <v>8734.09</v>
      </c>
      <c r="H10" s="49">
        <v>13267.16</v>
      </c>
      <c r="I10" s="49">
        <v>24236.06</v>
      </c>
    </row>
    <row r="11" spans="1:9" s="50" customFormat="1" ht="10.15" customHeight="1">
      <c r="A11" s="25" t="s">
        <v>52</v>
      </c>
      <c r="B11" s="49">
        <v>3764.51</v>
      </c>
      <c r="C11" s="49">
        <v>1388.29</v>
      </c>
      <c r="D11" s="49">
        <v>2111.3200000000002</v>
      </c>
      <c r="E11" s="49">
        <v>3221.51</v>
      </c>
      <c r="F11" s="49">
        <v>5245.63</v>
      </c>
      <c r="G11" s="49">
        <v>7353.83</v>
      </c>
      <c r="H11" s="49">
        <v>10832.65</v>
      </c>
      <c r="I11" s="49">
        <v>18364.669999999998</v>
      </c>
    </row>
    <row r="12" spans="1:9" s="50" customFormat="1" ht="10.15" customHeight="1">
      <c r="A12" s="25" t="s">
        <v>53</v>
      </c>
      <c r="B12" s="49">
        <v>658.23</v>
      </c>
      <c r="C12" s="49">
        <v>329.84</v>
      </c>
      <c r="D12" s="49">
        <v>449.21</v>
      </c>
      <c r="E12" s="49">
        <v>634.41</v>
      </c>
      <c r="F12" s="49">
        <v>872.68</v>
      </c>
      <c r="G12" s="49">
        <v>1143.83</v>
      </c>
      <c r="H12" s="49">
        <v>1478.68</v>
      </c>
      <c r="I12" s="49">
        <v>2105.91</v>
      </c>
    </row>
    <row r="13" spans="1:9" s="50" customFormat="1" ht="10.15" customHeight="1">
      <c r="A13" s="25" t="s">
        <v>54</v>
      </c>
      <c r="B13" s="49">
        <v>1377.14</v>
      </c>
      <c r="C13" s="49">
        <v>585.91</v>
      </c>
      <c r="D13" s="49">
        <v>859.96</v>
      </c>
      <c r="E13" s="49">
        <v>1203.17</v>
      </c>
      <c r="F13" s="49">
        <v>1792.13</v>
      </c>
      <c r="G13" s="49">
        <v>2562.4899999999998</v>
      </c>
      <c r="H13" s="49">
        <v>3761.14</v>
      </c>
      <c r="I13" s="49">
        <v>6312.01</v>
      </c>
    </row>
    <row r="14" spans="1:9" s="50" customFormat="1" ht="10.15" customHeight="1">
      <c r="A14" s="25" t="s">
        <v>55</v>
      </c>
      <c r="B14" s="49">
        <v>700.49</v>
      </c>
      <c r="C14" s="49">
        <v>307.98</v>
      </c>
      <c r="D14" s="49">
        <v>456.75</v>
      </c>
      <c r="E14" s="49">
        <v>626.87</v>
      </c>
      <c r="F14" s="49">
        <v>914.82</v>
      </c>
      <c r="G14" s="49">
        <v>1270.6400000000001</v>
      </c>
      <c r="H14" s="49">
        <v>1831.36</v>
      </c>
      <c r="I14" s="49">
        <v>2970.61</v>
      </c>
    </row>
    <row r="15" spans="1:9" s="50" customFormat="1" ht="10.15" customHeight="1">
      <c r="A15" s="25" t="s">
        <v>56</v>
      </c>
      <c r="B15" s="49">
        <v>94.34</v>
      </c>
      <c r="C15" s="49">
        <v>63.9</v>
      </c>
      <c r="D15" s="49">
        <v>80.02</v>
      </c>
      <c r="E15" s="49">
        <v>85.8</v>
      </c>
      <c r="F15" s="49">
        <v>118.57</v>
      </c>
      <c r="G15" s="49">
        <v>143.77000000000001</v>
      </c>
      <c r="H15" s="49">
        <v>213.99</v>
      </c>
      <c r="I15" s="49">
        <v>165.66</v>
      </c>
    </row>
    <row r="16" spans="1:9" s="50" customFormat="1" ht="10.15" customHeight="1">
      <c r="A16" s="25" t="s">
        <v>57</v>
      </c>
      <c r="B16" s="49">
        <v>606.15</v>
      </c>
      <c r="C16" s="49">
        <v>244.09</v>
      </c>
      <c r="D16" s="49">
        <v>376.73</v>
      </c>
      <c r="E16" s="49">
        <v>541.05999999999995</v>
      </c>
      <c r="F16" s="49">
        <v>796.25</v>
      </c>
      <c r="G16" s="49">
        <v>1126.8699999999999</v>
      </c>
      <c r="H16" s="49">
        <v>1617.38</v>
      </c>
      <c r="I16" s="49">
        <v>2804.96</v>
      </c>
    </row>
    <row r="17" spans="1:9" s="50" customFormat="1" ht="10.15" customHeight="1">
      <c r="A17" s="25" t="s">
        <v>58</v>
      </c>
      <c r="B17" s="49">
        <v>53.61</v>
      </c>
      <c r="C17" s="49">
        <v>3</v>
      </c>
      <c r="D17" s="49">
        <v>8.58</v>
      </c>
      <c r="E17" s="49">
        <v>18.57</v>
      </c>
      <c r="F17" s="49">
        <v>64.27</v>
      </c>
      <c r="G17" s="49">
        <v>145.77000000000001</v>
      </c>
      <c r="H17" s="49">
        <v>294.14999999999998</v>
      </c>
      <c r="I17" s="49">
        <v>668.71</v>
      </c>
    </row>
    <row r="18" spans="1:9" s="50" customFormat="1" ht="10.15" customHeight="1">
      <c r="A18" s="25" t="s">
        <v>59</v>
      </c>
      <c r="B18" s="49">
        <v>344.43</v>
      </c>
      <c r="C18" s="49">
        <v>167.14</v>
      </c>
      <c r="D18" s="49">
        <v>240.08</v>
      </c>
      <c r="E18" s="49">
        <v>339.79</v>
      </c>
      <c r="F18" s="49">
        <v>476.89</v>
      </c>
      <c r="G18" s="49">
        <v>602.29999999999995</v>
      </c>
      <c r="H18" s="49">
        <v>730.74</v>
      </c>
      <c r="I18" s="49">
        <v>964.07</v>
      </c>
    </row>
    <row r="19" spans="1:9" s="50" customFormat="1" ht="10.15" customHeight="1">
      <c r="A19" s="25" t="s">
        <v>60</v>
      </c>
      <c r="B19" s="49">
        <v>115.36</v>
      </c>
      <c r="C19" s="49">
        <v>65.62</v>
      </c>
      <c r="D19" s="49">
        <v>88.14</v>
      </c>
      <c r="E19" s="49">
        <v>117.64</v>
      </c>
      <c r="F19" s="49">
        <v>152.75</v>
      </c>
      <c r="G19" s="49">
        <v>183.86</v>
      </c>
      <c r="H19" s="49">
        <v>208.94</v>
      </c>
      <c r="I19" s="49">
        <v>260.14</v>
      </c>
    </row>
    <row r="20" spans="1:9" s="50" customFormat="1" ht="10.15" customHeight="1">
      <c r="A20" s="25" t="s">
        <v>61</v>
      </c>
      <c r="B20" s="49">
        <v>7.72</v>
      </c>
      <c r="C20" s="49">
        <v>3.02</v>
      </c>
      <c r="D20" s="49">
        <v>6.04</v>
      </c>
      <c r="E20" s="49">
        <v>8.76</v>
      </c>
      <c r="F20" s="49">
        <v>10.4</v>
      </c>
      <c r="G20" s="49">
        <v>12.8</v>
      </c>
      <c r="H20" s="49">
        <v>13.88</v>
      </c>
      <c r="I20" s="49">
        <v>16.79</v>
      </c>
    </row>
    <row r="21" spans="1:9" s="50" customFormat="1" ht="10.15" customHeight="1">
      <c r="A21" s="25" t="s">
        <v>62</v>
      </c>
      <c r="B21" s="49">
        <v>49.42</v>
      </c>
      <c r="C21" s="49">
        <v>16.350000000000001</v>
      </c>
      <c r="D21" s="49">
        <v>28.17</v>
      </c>
      <c r="E21" s="49">
        <v>45.01</v>
      </c>
      <c r="F21" s="49">
        <v>74.760000000000005</v>
      </c>
      <c r="G21" s="49">
        <v>97</v>
      </c>
      <c r="H21" s="49">
        <v>124.23</v>
      </c>
      <c r="I21" s="49">
        <v>216.03</v>
      </c>
    </row>
    <row r="22" spans="1:9" s="50" customFormat="1" ht="10.15" customHeight="1">
      <c r="A22" s="25" t="s">
        <v>63</v>
      </c>
      <c r="B22" s="49">
        <v>50.41</v>
      </c>
      <c r="C22" s="49">
        <v>7.84</v>
      </c>
      <c r="D22" s="49">
        <v>18.11</v>
      </c>
      <c r="E22" s="49">
        <v>40.47</v>
      </c>
      <c r="F22" s="49">
        <v>83.56</v>
      </c>
      <c r="G22" s="49">
        <v>129.4</v>
      </c>
      <c r="H22" s="49">
        <v>183.16</v>
      </c>
      <c r="I22" s="49">
        <v>252.33</v>
      </c>
    </row>
    <row r="23" spans="1:9" s="50" customFormat="1" ht="10.15" customHeight="1">
      <c r="A23" s="25" t="s">
        <v>64</v>
      </c>
      <c r="B23" s="49">
        <v>38.15</v>
      </c>
      <c r="C23" s="49">
        <v>32.83</v>
      </c>
      <c r="D23" s="49">
        <v>37.15</v>
      </c>
      <c r="E23" s="49">
        <v>39.21</v>
      </c>
      <c r="F23" s="49">
        <v>39.25</v>
      </c>
      <c r="G23" s="49">
        <v>42.96</v>
      </c>
      <c r="H23" s="49">
        <v>43.85</v>
      </c>
      <c r="I23" s="49">
        <v>58.19</v>
      </c>
    </row>
    <row r="24" spans="1:9" s="50" customFormat="1" ht="10.15" customHeight="1">
      <c r="A24" s="25" t="s">
        <v>65</v>
      </c>
      <c r="B24" s="49">
        <v>47.34</v>
      </c>
      <c r="C24" s="49">
        <v>28.12</v>
      </c>
      <c r="D24" s="49">
        <v>39.119999999999997</v>
      </c>
      <c r="E24" s="49">
        <v>50.81</v>
      </c>
      <c r="F24" s="49">
        <v>64.099999999999994</v>
      </c>
      <c r="G24" s="49">
        <v>68.010000000000005</v>
      </c>
      <c r="H24" s="49">
        <v>70.42</v>
      </c>
      <c r="I24" s="49">
        <v>75.27</v>
      </c>
    </row>
    <row r="25" spans="1:9" s="50" customFormat="1" ht="10.15" customHeight="1">
      <c r="A25" s="25" t="s">
        <v>66</v>
      </c>
      <c r="B25" s="49">
        <v>36.03</v>
      </c>
      <c r="C25" s="49">
        <v>13.36</v>
      </c>
      <c r="D25" s="49">
        <v>23.36</v>
      </c>
      <c r="E25" s="49">
        <v>37.880000000000003</v>
      </c>
      <c r="F25" s="49">
        <v>52.07</v>
      </c>
      <c r="G25" s="49">
        <v>68.27</v>
      </c>
      <c r="H25" s="49">
        <v>86.26</v>
      </c>
      <c r="I25" s="49">
        <v>85.32</v>
      </c>
    </row>
    <row r="26" spans="1:9" s="50" customFormat="1" ht="10.15" customHeight="1">
      <c r="A26" s="25" t="s">
        <v>67</v>
      </c>
      <c r="B26" s="49">
        <v>122.94</v>
      </c>
      <c r="C26" s="49">
        <v>29.66</v>
      </c>
      <c r="D26" s="49">
        <v>48.16</v>
      </c>
      <c r="E26" s="49">
        <v>71.36</v>
      </c>
      <c r="F26" s="49">
        <v>128.81</v>
      </c>
      <c r="G26" s="49">
        <v>284.45999999999998</v>
      </c>
      <c r="H26" s="49">
        <v>549.04999999999995</v>
      </c>
      <c r="I26" s="49">
        <v>1157.1600000000001</v>
      </c>
    </row>
    <row r="27" spans="1:9" s="50" customFormat="1" ht="10.15" customHeight="1">
      <c r="A27" s="25" t="s">
        <v>68</v>
      </c>
      <c r="B27" s="49">
        <v>22.4</v>
      </c>
      <c r="C27" s="49">
        <v>11.14</v>
      </c>
      <c r="D27" s="49">
        <v>16.84</v>
      </c>
      <c r="E27" s="49">
        <v>22.11</v>
      </c>
      <c r="F27" s="49">
        <v>28.66</v>
      </c>
      <c r="G27" s="49">
        <v>39.49</v>
      </c>
      <c r="H27" s="49">
        <v>49.62</v>
      </c>
      <c r="I27" s="49">
        <v>59.79</v>
      </c>
    </row>
    <row r="28" spans="1:9" s="50" customFormat="1" ht="10.15" customHeight="1">
      <c r="A28" s="25" t="s">
        <v>69</v>
      </c>
      <c r="B28" s="49">
        <v>67.03</v>
      </c>
      <c r="C28" s="49">
        <v>31.16</v>
      </c>
      <c r="D28" s="49">
        <v>41.96</v>
      </c>
      <c r="E28" s="49">
        <v>61.71</v>
      </c>
      <c r="F28" s="49">
        <v>88.32</v>
      </c>
      <c r="G28" s="49">
        <v>112.31</v>
      </c>
      <c r="H28" s="49">
        <v>166.82</v>
      </c>
      <c r="I28" s="49">
        <v>291.72000000000003</v>
      </c>
    </row>
    <row r="29" spans="1:9" s="50" customFormat="1" ht="10.15" customHeight="1">
      <c r="A29" s="25" t="s">
        <v>70</v>
      </c>
      <c r="B29" s="49">
        <v>62.19</v>
      </c>
      <c r="C29" s="49">
        <v>34.4</v>
      </c>
      <c r="D29" s="49">
        <v>45.41</v>
      </c>
      <c r="E29" s="49">
        <v>59.4</v>
      </c>
      <c r="F29" s="49">
        <v>85.29</v>
      </c>
      <c r="G29" s="49">
        <v>100.1</v>
      </c>
      <c r="H29" s="49">
        <v>127.31</v>
      </c>
      <c r="I29" s="49">
        <v>174.13</v>
      </c>
    </row>
    <row r="30" spans="1:9" s="50" customFormat="1" ht="10.15" customHeight="1">
      <c r="A30" s="25" t="s">
        <v>71</v>
      </c>
      <c r="B30" s="49">
        <v>4.04</v>
      </c>
      <c r="C30" s="49">
        <v>1.43</v>
      </c>
      <c r="D30" s="49">
        <v>2.19</v>
      </c>
      <c r="E30" s="49">
        <v>3.36</v>
      </c>
      <c r="F30" s="49">
        <v>5.07</v>
      </c>
      <c r="G30" s="49">
        <v>7.42</v>
      </c>
      <c r="H30" s="49">
        <v>12.09</v>
      </c>
      <c r="I30" s="49">
        <v>25.81</v>
      </c>
    </row>
    <row r="31" spans="1:9" s="50" customFormat="1" ht="10.15" customHeight="1">
      <c r="A31" s="25" t="s">
        <v>72</v>
      </c>
      <c r="B31" s="49">
        <v>160.25</v>
      </c>
      <c r="C31" s="49">
        <v>63.46</v>
      </c>
      <c r="D31" s="49">
        <v>91.6</v>
      </c>
      <c r="E31" s="49">
        <v>150.44</v>
      </c>
      <c r="F31" s="49">
        <v>233.04</v>
      </c>
      <c r="G31" s="49">
        <v>296.33999999999997</v>
      </c>
      <c r="H31" s="49">
        <v>391.55</v>
      </c>
      <c r="I31" s="49">
        <v>655.96</v>
      </c>
    </row>
    <row r="32" spans="1:9" s="50" customFormat="1" ht="10.15" customHeight="1">
      <c r="A32" s="25" t="s">
        <v>73</v>
      </c>
      <c r="B32" s="49">
        <v>38.65</v>
      </c>
      <c r="C32" s="49">
        <v>15.18</v>
      </c>
      <c r="D32" s="49">
        <v>21.85</v>
      </c>
      <c r="E32" s="49">
        <v>36.44</v>
      </c>
      <c r="F32" s="49">
        <v>56.2</v>
      </c>
      <c r="G32" s="49">
        <v>73.34</v>
      </c>
      <c r="H32" s="49">
        <v>93.92</v>
      </c>
      <c r="I32" s="49">
        <v>155.69999999999999</v>
      </c>
    </row>
    <row r="33" spans="1:9" s="50" customFormat="1" ht="10.15" customHeight="1">
      <c r="A33" s="25" t="s">
        <v>74</v>
      </c>
      <c r="B33" s="49">
        <v>48.67</v>
      </c>
      <c r="C33" s="49">
        <v>17.93</v>
      </c>
      <c r="D33" s="49">
        <v>26.26</v>
      </c>
      <c r="E33" s="49">
        <v>43.67</v>
      </c>
      <c r="F33" s="49">
        <v>71.87</v>
      </c>
      <c r="G33" s="49">
        <v>93.35</v>
      </c>
      <c r="H33" s="49">
        <v>124.34</v>
      </c>
      <c r="I33" s="49">
        <v>226.61</v>
      </c>
    </row>
    <row r="34" spans="1:9" s="50" customFormat="1" ht="10.15" customHeight="1">
      <c r="A34" s="25" t="s">
        <v>75</v>
      </c>
      <c r="B34" s="49">
        <v>21.58</v>
      </c>
      <c r="C34" s="49">
        <v>10.26</v>
      </c>
      <c r="D34" s="49">
        <v>14.17</v>
      </c>
      <c r="E34" s="49">
        <v>21.59</v>
      </c>
      <c r="F34" s="49">
        <v>30.4</v>
      </c>
      <c r="G34" s="49">
        <v>34.17</v>
      </c>
      <c r="H34" s="49">
        <v>44.29</v>
      </c>
      <c r="I34" s="49">
        <v>73.7</v>
      </c>
    </row>
    <row r="35" spans="1:9" s="50" customFormat="1" ht="10.15" customHeight="1">
      <c r="A35" s="25" t="s">
        <v>76</v>
      </c>
      <c r="B35" s="49">
        <v>42.93</v>
      </c>
      <c r="C35" s="49">
        <v>18.11</v>
      </c>
      <c r="D35" s="49">
        <v>25.39</v>
      </c>
      <c r="E35" s="49">
        <v>42.34</v>
      </c>
      <c r="F35" s="49">
        <v>63.2</v>
      </c>
      <c r="G35" s="49">
        <v>78.569999999999993</v>
      </c>
      <c r="H35" s="49">
        <v>99.72</v>
      </c>
      <c r="I35" s="49">
        <v>138.9</v>
      </c>
    </row>
    <row r="36" spans="1:9" s="50" customFormat="1" ht="10.15" customHeight="1">
      <c r="A36" s="25" t="s">
        <v>77</v>
      </c>
      <c r="B36" s="49">
        <v>6.59</v>
      </c>
      <c r="C36" s="49">
        <v>1.44</v>
      </c>
      <c r="D36" s="49">
        <v>2.59</v>
      </c>
      <c r="E36" s="49">
        <v>4.7</v>
      </c>
      <c r="F36" s="49">
        <v>9.01</v>
      </c>
      <c r="G36" s="49">
        <v>13.22</v>
      </c>
      <c r="H36" s="49">
        <v>24.19</v>
      </c>
      <c r="I36" s="49">
        <v>53.97</v>
      </c>
    </row>
    <row r="37" spans="1:9" s="50" customFormat="1" ht="10.15" customHeight="1">
      <c r="A37" s="25" t="s">
        <v>78</v>
      </c>
      <c r="B37" s="49">
        <v>1.83</v>
      </c>
      <c r="C37" s="49">
        <v>0.54</v>
      </c>
      <c r="D37" s="49">
        <v>1.34</v>
      </c>
      <c r="E37" s="49">
        <v>1.71</v>
      </c>
      <c r="F37" s="49">
        <v>2.35</v>
      </c>
      <c r="G37" s="49">
        <v>3.68</v>
      </c>
      <c r="H37" s="49">
        <v>5.09</v>
      </c>
      <c r="I37" s="49">
        <v>7.08</v>
      </c>
    </row>
    <row r="38" spans="1:9" s="50" customFormat="1" ht="10.15" customHeight="1">
      <c r="A38" s="25" t="s">
        <v>79</v>
      </c>
      <c r="B38" s="49">
        <v>679.76</v>
      </c>
      <c r="C38" s="49">
        <v>142.22999999999999</v>
      </c>
      <c r="D38" s="49">
        <v>265.93</v>
      </c>
      <c r="E38" s="49">
        <v>527.1</v>
      </c>
      <c r="F38" s="49">
        <v>1074.81</v>
      </c>
      <c r="G38" s="49">
        <v>1493.48</v>
      </c>
      <c r="H38" s="49">
        <v>2396.58</v>
      </c>
      <c r="I38" s="49">
        <v>4136.09</v>
      </c>
    </row>
    <row r="39" spans="1:9" s="50" customFormat="1" ht="10.15" customHeight="1">
      <c r="A39" s="25" t="s">
        <v>80</v>
      </c>
      <c r="B39" s="49">
        <v>60.47</v>
      </c>
      <c r="C39" s="49">
        <v>31.7</v>
      </c>
      <c r="D39" s="49">
        <v>47.72</v>
      </c>
      <c r="E39" s="49">
        <v>66.709999999999994</v>
      </c>
      <c r="F39" s="49">
        <v>84.15</v>
      </c>
      <c r="G39" s="49">
        <v>88.03</v>
      </c>
      <c r="H39" s="49">
        <v>98.67</v>
      </c>
      <c r="I39" s="49">
        <v>103.51</v>
      </c>
    </row>
    <row r="40" spans="1:9" s="50" customFormat="1" ht="10.15" customHeight="1">
      <c r="A40" s="25" t="s">
        <v>81</v>
      </c>
      <c r="B40" s="49">
        <v>141.55000000000001</v>
      </c>
      <c r="C40" s="49">
        <v>35.94</v>
      </c>
      <c r="D40" s="49">
        <v>62.2</v>
      </c>
      <c r="E40" s="49">
        <v>127.13</v>
      </c>
      <c r="F40" s="49">
        <v>230.26</v>
      </c>
      <c r="G40" s="49">
        <v>311.69</v>
      </c>
      <c r="H40" s="49">
        <v>424.15</v>
      </c>
      <c r="I40" s="49">
        <v>610.04</v>
      </c>
    </row>
    <row r="41" spans="1:9" s="50" customFormat="1" ht="10.15" customHeight="1">
      <c r="A41" s="25" t="s">
        <v>82</v>
      </c>
      <c r="B41" s="49">
        <v>18.09</v>
      </c>
      <c r="C41" s="49">
        <v>2.0499999999999998</v>
      </c>
      <c r="D41" s="49">
        <v>5.3</v>
      </c>
      <c r="E41" s="49">
        <v>16.38</v>
      </c>
      <c r="F41" s="49">
        <v>33.47</v>
      </c>
      <c r="G41" s="49">
        <v>54.82</v>
      </c>
      <c r="H41" s="49">
        <v>55.54</v>
      </c>
      <c r="I41" s="49">
        <v>59.68</v>
      </c>
    </row>
    <row r="42" spans="1:9" s="50" customFormat="1" ht="10.15" customHeight="1">
      <c r="A42" s="25" t="s">
        <v>83</v>
      </c>
      <c r="B42" s="49">
        <v>79.33</v>
      </c>
      <c r="C42" s="49">
        <v>20.7</v>
      </c>
      <c r="D42" s="49">
        <v>38.47</v>
      </c>
      <c r="E42" s="49">
        <v>75.03</v>
      </c>
      <c r="F42" s="49">
        <v>130.15</v>
      </c>
      <c r="G42" s="49">
        <v>166.66</v>
      </c>
      <c r="H42" s="49">
        <v>226.07</v>
      </c>
      <c r="I42" s="49">
        <v>293.88</v>
      </c>
    </row>
    <row r="43" spans="1:9" s="50" customFormat="1" ht="10.15" customHeight="1">
      <c r="A43" s="25" t="s">
        <v>84</v>
      </c>
      <c r="B43" s="49">
        <v>258.14999999999998</v>
      </c>
      <c r="C43" s="49">
        <v>35.89</v>
      </c>
      <c r="D43" s="49">
        <v>78.37</v>
      </c>
      <c r="E43" s="49">
        <v>170.52</v>
      </c>
      <c r="F43" s="49">
        <v>416.47</v>
      </c>
      <c r="G43" s="49">
        <v>570.72</v>
      </c>
      <c r="H43" s="49">
        <v>1040.3800000000001</v>
      </c>
      <c r="I43" s="49">
        <v>2033.04</v>
      </c>
    </row>
    <row r="44" spans="1:9" s="50" customFormat="1" ht="10.15" customHeight="1">
      <c r="A44" s="25" t="s">
        <v>85</v>
      </c>
      <c r="B44" s="49">
        <v>69.239999999999995</v>
      </c>
      <c r="C44" s="49">
        <v>9.84</v>
      </c>
      <c r="D44" s="49">
        <v>20.27</v>
      </c>
      <c r="E44" s="49">
        <v>38.479999999999997</v>
      </c>
      <c r="F44" s="49">
        <v>95.83</v>
      </c>
      <c r="G44" s="49">
        <v>156.56</v>
      </c>
      <c r="H44" s="49">
        <v>318.44</v>
      </c>
      <c r="I44" s="49">
        <v>657.56</v>
      </c>
    </row>
    <row r="45" spans="1:9" s="50" customFormat="1" ht="10.15" customHeight="1">
      <c r="A45" s="25" t="s">
        <v>86</v>
      </c>
      <c r="B45" s="49">
        <v>52.92</v>
      </c>
      <c r="C45" s="49">
        <v>6.11</v>
      </c>
      <c r="D45" s="49">
        <v>13.59</v>
      </c>
      <c r="E45" s="49">
        <v>32.85</v>
      </c>
      <c r="F45" s="49">
        <v>84.49</v>
      </c>
      <c r="G45" s="49">
        <v>145</v>
      </c>
      <c r="H45" s="49">
        <v>233.33</v>
      </c>
      <c r="I45" s="49">
        <v>378.38</v>
      </c>
    </row>
    <row r="46" spans="1:9" s="50" customFormat="1" ht="10.15" customHeight="1">
      <c r="A46" s="25" t="s">
        <v>87</v>
      </c>
      <c r="B46" s="49">
        <v>136.82</v>
      </c>
      <c r="C46" s="49">
        <v>75.400000000000006</v>
      </c>
      <c r="D46" s="49">
        <v>101.49</v>
      </c>
      <c r="E46" s="49">
        <v>141.77000000000001</v>
      </c>
      <c r="F46" s="49">
        <v>192.28</v>
      </c>
      <c r="G46" s="49">
        <v>212.24</v>
      </c>
      <c r="H46" s="49">
        <v>242.96</v>
      </c>
      <c r="I46" s="49">
        <v>288.29000000000002</v>
      </c>
    </row>
    <row r="47" spans="1:9" s="50" customFormat="1" ht="10.15" customHeight="1">
      <c r="A47" s="25" t="s">
        <v>88</v>
      </c>
      <c r="B47" s="49">
        <v>37.619999999999997</v>
      </c>
      <c r="C47" s="49">
        <v>21.28</v>
      </c>
      <c r="D47" s="49">
        <v>29.4</v>
      </c>
      <c r="E47" s="49">
        <v>39.53</v>
      </c>
      <c r="F47" s="49">
        <v>50.74</v>
      </c>
      <c r="G47" s="49">
        <v>57.25</v>
      </c>
      <c r="H47" s="49">
        <v>66.86</v>
      </c>
      <c r="I47" s="49">
        <v>70.13</v>
      </c>
    </row>
    <row r="48" spans="1:9" s="50" customFormat="1" ht="10.15" customHeight="1">
      <c r="A48" s="25" t="s">
        <v>89</v>
      </c>
      <c r="B48" s="49">
        <v>17.63</v>
      </c>
      <c r="C48" s="49">
        <v>9.59</v>
      </c>
      <c r="D48" s="49">
        <v>13.82</v>
      </c>
      <c r="E48" s="49">
        <v>18.489999999999998</v>
      </c>
      <c r="F48" s="49">
        <v>25.22</v>
      </c>
      <c r="G48" s="49">
        <v>27.09</v>
      </c>
      <c r="H48" s="49">
        <v>28.07</v>
      </c>
      <c r="I48" s="49">
        <v>33.36</v>
      </c>
    </row>
    <row r="49" spans="1:9" s="50" customFormat="1" ht="10.15" customHeight="1">
      <c r="A49" s="25" t="s">
        <v>90</v>
      </c>
      <c r="B49" s="49">
        <v>8.58</v>
      </c>
      <c r="C49" s="49">
        <v>5.82</v>
      </c>
      <c r="D49" s="49">
        <v>7.33</v>
      </c>
      <c r="E49" s="49">
        <v>9.0299999999999994</v>
      </c>
      <c r="F49" s="49">
        <v>10.92</v>
      </c>
      <c r="G49" s="49">
        <v>12.07</v>
      </c>
      <c r="H49" s="49">
        <v>12.22</v>
      </c>
      <c r="I49" s="49">
        <v>12.07</v>
      </c>
    </row>
    <row r="50" spans="1:9" s="50" customFormat="1" ht="10.15" customHeight="1">
      <c r="A50" s="25" t="s">
        <v>91</v>
      </c>
      <c r="B50" s="49">
        <v>72.989999999999995</v>
      </c>
      <c r="C50" s="49">
        <v>38.71</v>
      </c>
      <c r="D50" s="49">
        <v>50.95</v>
      </c>
      <c r="E50" s="49">
        <v>74.72</v>
      </c>
      <c r="F50" s="49">
        <v>105.4</v>
      </c>
      <c r="G50" s="49">
        <v>115.83</v>
      </c>
      <c r="H50" s="49">
        <v>135.81</v>
      </c>
      <c r="I50" s="49">
        <v>172.73</v>
      </c>
    </row>
    <row r="51" spans="1:9" s="50" customFormat="1" ht="10.15" customHeight="1">
      <c r="A51" s="25" t="s">
        <v>92</v>
      </c>
      <c r="B51" s="49">
        <v>302.06</v>
      </c>
      <c r="C51" s="49">
        <v>88.66</v>
      </c>
      <c r="D51" s="49">
        <v>164.99</v>
      </c>
      <c r="E51" s="49">
        <v>240.84</v>
      </c>
      <c r="F51" s="49">
        <v>426.9</v>
      </c>
      <c r="G51" s="49">
        <v>670.1</v>
      </c>
      <c r="H51" s="49">
        <v>968.07</v>
      </c>
      <c r="I51" s="49">
        <v>1563.41</v>
      </c>
    </row>
    <row r="52" spans="1:9" s="50" customFormat="1" ht="10.15" customHeight="1">
      <c r="A52" s="25" t="s">
        <v>93</v>
      </c>
      <c r="B52" s="49">
        <v>135.24</v>
      </c>
      <c r="C52" s="49">
        <v>62.4</v>
      </c>
      <c r="D52" s="49">
        <v>102.87</v>
      </c>
      <c r="E52" s="49">
        <v>134.5</v>
      </c>
      <c r="F52" s="49">
        <v>183.23</v>
      </c>
      <c r="G52" s="49">
        <v>221.11</v>
      </c>
      <c r="H52" s="49">
        <v>282.33999999999997</v>
      </c>
      <c r="I52" s="49">
        <v>398.9</v>
      </c>
    </row>
    <row r="53" spans="1:9" s="50" customFormat="1" ht="10.15" customHeight="1">
      <c r="A53" s="25" t="s">
        <v>94</v>
      </c>
      <c r="B53" s="49">
        <v>95.4</v>
      </c>
      <c r="C53" s="49">
        <v>6.02</v>
      </c>
      <c r="D53" s="49">
        <v>17.760000000000002</v>
      </c>
      <c r="E53" s="49">
        <v>47.83</v>
      </c>
      <c r="F53" s="49">
        <v>144.21</v>
      </c>
      <c r="G53" s="49">
        <v>284.06</v>
      </c>
      <c r="H53" s="49">
        <v>472.96</v>
      </c>
      <c r="I53" s="49">
        <v>831.13</v>
      </c>
    </row>
    <row r="54" spans="1:9" s="50" customFormat="1" ht="10.15" customHeight="1">
      <c r="A54" s="25" t="s">
        <v>95</v>
      </c>
      <c r="B54" s="49">
        <v>14.59</v>
      </c>
      <c r="C54" s="49">
        <v>2.29</v>
      </c>
      <c r="D54" s="49">
        <v>6.41</v>
      </c>
      <c r="E54" s="49">
        <v>10.56</v>
      </c>
      <c r="F54" s="49">
        <v>22.62</v>
      </c>
      <c r="G54" s="49">
        <v>46.35</v>
      </c>
      <c r="H54" s="49">
        <v>49.26</v>
      </c>
      <c r="I54" s="49">
        <v>70.66</v>
      </c>
    </row>
    <row r="55" spans="1:9" s="50" customFormat="1" ht="10.15" customHeight="1">
      <c r="A55" s="25" t="s">
        <v>96</v>
      </c>
      <c r="B55" s="49">
        <v>15.76</v>
      </c>
      <c r="C55" s="49">
        <v>5.84</v>
      </c>
      <c r="D55" s="49">
        <v>11.12</v>
      </c>
      <c r="E55" s="49">
        <v>14.47</v>
      </c>
      <c r="F55" s="49">
        <v>20.34</v>
      </c>
      <c r="G55" s="49">
        <v>31.46</v>
      </c>
      <c r="H55" s="49">
        <v>42.05</v>
      </c>
      <c r="I55" s="49">
        <v>59.6</v>
      </c>
    </row>
    <row r="56" spans="1:9" s="50" customFormat="1" ht="10.15" customHeight="1">
      <c r="A56" s="25" t="s">
        <v>97</v>
      </c>
      <c r="B56" s="49">
        <v>4.45</v>
      </c>
      <c r="C56" s="49">
        <v>1.02</v>
      </c>
      <c r="D56" s="49">
        <v>1.71</v>
      </c>
      <c r="E56" s="49">
        <v>2.44</v>
      </c>
      <c r="F56" s="49">
        <v>5.0999999999999996</v>
      </c>
      <c r="G56" s="49">
        <v>10.39</v>
      </c>
      <c r="H56" s="49">
        <v>23.42</v>
      </c>
      <c r="I56" s="49">
        <v>36.25</v>
      </c>
    </row>
    <row r="57" spans="1:9" s="50" customFormat="1" ht="10.15" customHeight="1">
      <c r="A57" s="25" t="s">
        <v>98</v>
      </c>
      <c r="B57" s="49">
        <v>10.46</v>
      </c>
      <c r="C57" s="49">
        <v>1.06</v>
      </c>
      <c r="D57" s="49">
        <v>6.31</v>
      </c>
      <c r="E57" s="49">
        <v>6.56</v>
      </c>
      <c r="F57" s="49">
        <v>14.46</v>
      </c>
      <c r="G57" s="49">
        <v>25.81</v>
      </c>
      <c r="H57" s="49">
        <v>40.840000000000003</v>
      </c>
      <c r="I57" s="49">
        <v>75.150000000000006</v>
      </c>
    </row>
    <row r="58" spans="1:9" s="50" customFormat="1" ht="10.15" customHeight="1">
      <c r="A58" s="25" t="s">
        <v>99</v>
      </c>
      <c r="B58" s="49">
        <v>1.22</v>
      </c>
      <c r="C58" s="49">
        <v>0.24</v>
      </c>
      <c r="D58" s="49">
        <v>0.42</v>
      </c>
      <c r="E58" s="49">
        <v>0.8</v>
      </c>
      <c r="F58" s="49">
        <v>3.3</v>
      </c>
      <c r="G58" s="49">
        <v>3.35</v>
      </c>
      <c r="H58" s="49">
        <v>2.09</v>
      </c>
      <c r="I58" s="49">
        <v>4.2</v>
      </c>
    </row>
    <row r="59" spans="1:9" s="50" customFormat="1" ht="10.15" customHeight="1">
      <c r="A59" s="25" t="s">
        <v>100</v>
      </c>
      <c r="B59" s="49">
        <v>8.9499999999999993</v>
      </c>
      <c r="C59" s="49">
        <v>4.51</v>
      </c>
      <c r="D59" s="49">
        <v>7.93</v>
      </c>
      <c r="E59" s="49">
        <v>9.61</v>
      </c>
      <c r="F59" s="49">
        <v>12.42</v>
      </c>
      <c r="G59" s="49">
        <v>13.51</v>
      </c>
      <c r="H59" s="49">
        <v>9.9700000000000006</v>
      </c>
      <c r="I59" s="49">
        <v>20.02</v>
      </c>
    </row>
    <row r="60" spans="1:9" s="50" customFormat="1" ht="10.15" customHeight="1">
      <c r="A60" s="25" t="s">
        <v>101</v>
      </c>
      <c r="B60" s="49">
        <v>13.18</v>
      </c>
      <c r="C60" s="49">
        <v>4.5999999999999996</v>
      </c>
      <c r="D60" s="49">
        <v>8.33</v>
      </c>
      <c r="E60" s="49">
        <v>11.86</v>
      </c>
      <c r="F60" s="49">
        <v>17.78</v>
      </c>
      <c r="G60" s="49">
        <v>25.49</v>
      </c>
      <c r="H60" s="49">
        <v>38.29</v>
      </c>
      <c r="I60" s="49">
        <v>55.83</v>
      </c>
    </row>
    <row r="61" spans="1:9" s="50" customFormat="1" ht="10.15" customHeight="1">
      <c r="A61" s="25" t="s">
        <v>86</v>
      </c>
      <c r="B61" s="49">
        <v>2.8</v>
      </c>
      <c r="C61" s="49">
        <v>0.68</v>
      </c>
      <c r="D61" s="49">
        <v>2.13</v>
      </c>
      <c r="E61" s="49">
        <v>2.21</v>
      </c>
      <c r="F61" s="49">
        <v>3.45</v>
      </c>
      <c r="G61" s="49">
        <v>8.57</v>
      </c>
      <c r="H61" s="49">
        <v>6.84</v>
      </c>
      <c r="I61" s="49">
        <v>11.67</v>
      </c>
    </row>
    <row r="62" spans="1:9" s="50" customFormat="1" ht="7.5" customHeight="1">
      <c r="A62" s="51"/>
      <c r="B62" s="51"/>
      <c r="C62" s="51"/>
      <c r="D62" s="51"/>
      <c r="E62" s="51"/>
      <c r="F62" s="51"/>
      <c r="G62" s="51"/>
      <c r="H62" s="51"/>
      <c r="I62" s="51"/>
    </row>
    <row r="63" spans="1:9" s="50" customFormat="1" ht="7.5" customHeight="1">
      <c r="A63" s="38"/>
      <c r="B63" s="38"/>
      <c r="C63" s="38"/>
      <c r="D63" s="38"/>
      <c r="E63" s="38"/>
      <c r="F63" s="38"/>
      <c r="G63" s="38"/>
      <c r="H63" s="38"/>
      <c r="I63" s="38"/>
    </row>
    <row r="64" spans="1:9" ht="10.9" customHeight="1">
      <c r="A64" s="37" t="s">
        <v>35</v>
      </c>
      <c r="B64" s="37"/>
      <c r="C64" s="37"/>
      <c r="D64" s="37"/>
      <c r="E64" s="37"/>
      <c r="F64" s="37"/>
      <c r="G64" s="37"/>
      <c r="H64" s="37"/>
      <c r="I64" s="37"/>
    </row>
    <row r="65" spans="1:9" ht="10.9" customHeight="1">
      <c r="A65" s="37" t="s">
        <v>36</v>
      </c>
      <c r="B65" s="37"/>
      <c r="C65" s="37"/>
      <c r="D65" s="37"/>
      <c r="E65" s="37"/>
      <c r="F65" s="37"/>
      <c r="G65" s="37"/>
      <c r="H65" s="37"/>
      <c r="I65" s="37"/>
    </row>
    <row r="66" spans="1:9" ht="10.9" customHeight="1">
      <c r="A66" s="37" t="s">
        <v>37</v>
      </c>
      <c r="B66" s="37"/>
      <c r="C66" s="37"/>
      <c r="D66" s="37"/>
      <c r="E66" s="37"/>
      <c r="F66" s="37"/>
      <c r="G66" s="37"/>
      <c r="H66" s="37"/>
      <c r="I66" s="37"/>
    </row>
    <row r="67" spans="1:9" ht="10.9" customHeight="1">
      <c r="A67" s="39"/>
      <c r="B67" s="39"/>
      <c r="C67" s="39"/>
      <c r="D67" s="39"/>
      <c r="E67" s="39"/>
      <c r="F67" s="39"/>
      <c r="G67" s="39"/>
      <c r="H67" s="39"/>
      <c r="I67" s="39"/>
    </row>
    <row r="68" spans="1:9" ht="9" customHeight="1">
      <c r="A68" s="39"/>
      <c r="B68" s="39"/>
      <c r="C68" s="39"/>
      <c r="D68" s="39"/>
      <c r="E68" s="39"/>
      <c r="F68" s="39"/>
      <c r="G68" s="39"/>
      <c r="H68" s="40" t="s">
        <v>102</v>
      </c>
      <c r="I68" s="41"/>
    </row>
    <row r="69" spans="1:9" ht="15" customHeight="1">
      <c r="A69" s="42" t="s">
        <v>39</v>
      </c>
      <c r="B69" s="43" t="s">
        <v>40</v>
      </c>
      <c r="C69" s="43"/>
      <c r="D69" s="43"/>
      <c r="E69" s="43"/>
      <c r="F69" s="43"/>
      <c r="G69" s="43"/>
      <c r="H69" s="43"/>
      <c r="I69" s="44"/>
    </row>
    <row r="70" spans="1:9" ht="15" customHeight="1">
      <c r="A70" s="45"/>
      <c r="B70" s="43" t="s">
        <v>41</v>
      </c>
      <c r="C70" s="43" t="s">
        <v>42</v>
      </c>
      <c r="D70" s="43"/>
      <c r="E70" s="43"/>
      <c r="F70" s="43"/>
      <c r="G70" s="43"/>
      <c r="H70" s="43"/>
      <c r="I70" s="44"/>
    </row>
    <row r="71" spans="1:9" ht="45" customHeight="1">
      <c r="A71" s="46"/>
      <c r="B71" s="43"/>
      <c r="C71" s="47" t="s">
        <v>43</v>
      </c>
      <c r="D71" s="47" t="s">
        <v>44</v>
      </c>
      <c r="E71" s="47" t="s">
        <v>45</v>
      </c>
      <c r="F71" s="47" t="s">
        <v>46</v>
      </c>
      <c r="G71" s="47" t="s">
        <v>47</v>
      </c>
      <c r="H71" s="47" t="s">
        <v>48</v>
      </c>
      <c r="I71" s="48" t="s">
        <v>49</v>
      </c>
    </row>
    <row r="72" spans="1:9" s="50" customFormat="1" ht="15" customHeight="1">
      <c r="A72" s="25" t="s">
        <v>103</v>
      </c>
      <c r="B72" s="49">
        <v>175.6</v>
      </c>
      <c r="C72" s="49">
        <v>29.02</v>
      </c>
      <c r="D72" s="49">
        <v>56.22</v>
      </c>
      <c r="E72" s="49">
        <v>115.75</v>
      </c>
      <c r="F72" s="49">
        <v>261.01</v>
      </c>
      <c r="G72" s="49">
        <v>413.4</v>
      </c>
      <c r="H72" s="49">
        <v>682.69</v>
      </c>
      <c r="I72" s="49">
        <v>1418.41</v>
      </c>
    </row>
    <row r="73" spans="1:9" s="50" customFormat="1" ht="10.9" customHeight="1">
      <c r="A73" s="25" t="s">
        <v>104</v>
      </c>
      <c r="B73" s="49">
        <v>55.15</v>
      </c>
      <c r="C73" s="49">
        <v>6.21</v>
      </c>
      <c r="D73" s="49">
        <v>14.24</v>
      </c>
      <c r="E73" s="49">
        <v>26.34</v>
      </c>
      <c r="F73" s="49">
        <v>62.89</v>
      </c>
      <c r="G73" s="49">
        <v>133.66</v>
      </c>
      <c r="H73" s="49">
        <v>242.25</v>
      </c>
      <c r="I73" s="49">
        <v>677.77</v>
      </c>
    </row>
    <row r="74" spans="1:9" s="50" customFormat="1" ht="10.9" customHeight="1">
      <c r="A74" s="25" t="s">
        <v>105</v>
      </c>
      <c r="B74" s="49">
        <v>47.74</v>
      </c>
      <c r="C74" s="49">
        <v>5.5</v>
      </c>
      <c r="D74" s="49">
        <v>13.05</v>
      </c>
      <c r="E74" s="49">
        <v>33.08</v>
      </c>
      <c r="F74" s="49">
        <v>93.7</v>
      </c>
      <c r="G74" s="49">
        <v>133.53</v>
      </c>
      <c r="H74" s="49">
        <v>147.96</v>
      </c>
      <c r="I74" s="49">
        <v>284.63</v>
      </c>
    </row>
    <row r="75" spans="1:9" s="50" customFormat="1" ht="10.9" customHeight="1">
      <c r="A75" s="25" t="s">
        <v>106</v>
      </c>
      <c r="B75" s="49">
        <v>39.07</v>
      </c>
      <c r="C75" s="49">
        <v>4.5199999999999996</v>
      </c>
      <c r="D75" s="49">
        <v>9.2899999999999991</v>
      </c>
      <c r="E75" s="49">
        <v>25.98</v>
      </c>
      <c r="F75" s="49">
        <v>55.46</v>
      </c>
      <c r="G75" s="49">
        <v>89.77</v>
      </c>
      <c r="H75" s="49">
        <v>199.16</v>
      </c>
      <c r="I75" s="49">
        <v>303.92</v>
      </c>
    </row>
    <row r="76" spans="1:9" s="50" customFormat="1" ht="10.9" customHeight="1">
      <c r="A76" s="25" t="s">
        <v>107</v>
      </c>
      <c r="B76" s="49">
        <v>12.56</v>
      </c>
      <c r="C76" s="49">
        <v>5.92</v>
      </c>
      <c r="D76" s="49">
        <v>7.79</v>
      </c>
      <c r="E76" s="49">
        <v>12.7</v>
      </c>
      <c r="F76" s="49">
        <v>17.3</v>
      </c>
      <c r="G76" s="49">
        <v>19.64</v>
      </c>
      <c r="H76" s="49">
        <v>32.4</v>
      </c>
      <c r="I76" s="49">
        <v>37.619999999999997</v>
      </c>
    </row>
    <row r="77" spans="1:9" s="50" customFormat="1" ht="10.9" customHeight="1">
      <c r="A77" s="25" t="s">
        <v>108</v>
      </c>
      <c r="B77" s="49">
        <v>8.06</v>
      </c>
      <c r="C77" s="49">
        <v>4.0999999999999996</v>
      </c>
      <c r="D77" s="49">
        <v>5.45</v>
      </c>
      <c r="E77" s="49">
        <v>7.62</v>
      </c>
      <c r="F77" s="49">
        <v>12.05</v>
      </c>
      <c r="G77" s="49">
        <v>11.54</v>
      </c>
      <c r="H77" s="49">
        <v>17.72</v>
      </c>
      <c r="I77" s="49">
        <v>26.67</v>
      </c>
    </row>
    <row r="78" spans="1:9" s="50" customFormat="1" ht="10.9" customHeight="1">
      <c r="A78" s="25" t="s">
        <v>86</v>
      </c>
      <c r="B78" s="49">
        <v>13.03</v>
      </c>
      <c r="C78" s="49">
        <v>2.77</v>
      </c>
      <c r="D78" s="49">
        <v>6.4</v>
      </c>
      <c r="E78" s="49">
        <v>10.029999999999999</v>
      </c>
      <c r="F78" s="49">
        <v>19.600000000000001</v>
      </c>
      <c r="G78" s="49">
        <v>25.26</v>
      </c>
      <c r="H78" s="49">
        <v>43.19</v>
      </c>
      <c r="I78" s="49">
        <v>87.81</v>
      </c>
    </row>
    <row r="79" spans="1:9" s="50" customFormat="1" ht="10.9" customHeight="1">
      <c r="A79" s="25" t="s">
        <v>109</v>
      </c>
      <c r="B79" s="49">
        <v>96.16</v>
      </c>
      <c r="C79" s="49">
        <v>25.79</v>
      </c>
      <c r="D79" s="49">
        <v>40.75</v>
      </c>
      <c r="E79" s="49">
        <v>72.08</v>
      </c>
      <c r="F79" s="49">
        <v>139.05000000000001</v>
      </c>
      <c r="G79" s="49">
        <v>206.88</v>
      </c>
      <c r="H79" s="49">
        <v>324.49</v>
      </c>
      <c r="I79" s="49">
        <v>642.21</v>
      </c>
    </row>
    <row r="80" spans="1:9" s="50" customFormat="1" ht="10.9" customHeight="1">
      <c r="A80" s="25" t="s">
        <v>110</v>
      </c>
      <c r="B80" s="49">
        <v>7.68</v>
      </c>
      <c r="C80" s="49">
        <v>2.27</v>
      </c>
      <c r="D80" s="49">
        <v>3.45</v>
      </c>
      <c r="E80" s="49">
        <v>6.17</v>
      </c>
      <c r="F80" s="49">
        <v>12.62</v>
      </c>
      <c r="G80" s="49">
        <v>14.86</v>
      </c>
      <c r="H80" s="49">
        <v>23.07</v>
      </c>
      <c r="I80" s="49">
        <v>42.78</v>
      </c>
    </row>
    <row r="81" spans="1:9" s="50" customFormat="1" ht="10.9" customHeight="1">
      <c r="A81" s="25" t="s">
        <v>111</v>
      </c>
      <c r="B81" s="49">
        <v>39.72</v>
      </c>
      <c r="C81" s="49">
        <v>16.23</v>
      </c>
      <c r="D81" s="49">
        <v>24.79</v>
      </c>
      <c r="E81" s="49">
        <v>37.479999999999997</v>
      </c>
      <c r="F81" s="49">
        <v>56.54</v>
      </c>
      <c r="G81" s="49">
        <v>79.73</v>
      </c>
      <c r="H81" s="49">
        <v>100.16</v>
      </c>
      <c r="I81" s="49">
        <v>125.49</v>
      </c>
    </row>
    <row r="82" spans="1:9" s="50" customFormat="1" ht="10.9" customHeight="1">
      <c r="A82" s="25" t="s">
        <v>112</v>
      </c>
      <c r="B82" s="49">
        <v>6.01</v>
      </c>
      <c r="C82" s="49">
        <v>0.81</v>
      </c>
      <c r="D82" s="49">
        <v>1.57</v>
      </c>
      <c r="E82" s="49">
        <v>3.87</v>
      </c>
      <c r="F82" s="49">
        <v>8.66</v>
      </c>
      <c r="G82" s="49">
        <v>14.95</v>
      </c>
      <c r="H82" s="49">
        <v>25.46</v>
      </c>
      <c r="I82" s="49">
        <v>50.71</v>
      </c>
    </row>
    <row r="83" spans="1:9" s="50" customFormat="1" ht="10.9" customHeight="1">
      <c r="A83" s="25" t="s">
        <v>113</v>
      </c>
      <c r="B83" s="49">
        <v>21.55</v>
      </c>
      <c r="C83" s="49">
        <v>3.94</v>
      </c>
      <c r="D83" s="49">
        <v>6.43</v>
      </c>
      <c r="E83" s="49">
        <v>14.41</v>
      </c>
      <c r="F83" s="49">
        <v>34.11</v>
      </c>
      <c r="G83" s="49">
        <v>49.75</v>
      </c>
      <c r="H83" s="49">
        <v>87.96</v>
      </c>
      <c r="I83" s="49">
        <v>155.75</v>
      </c>
    </row>
    <row r="84" spans="1:9" s="50" customFormat="1" ht="10.9" customHeight="1">
      <c r="A84" s="25" t="s">
        <v>86</v>
      </c>
      <c r="B84" s="49">
        <v>21.21</v>
      </c>
      <c r="C84" s="49">
        <v>2.54</v>
      </c>
      <c r="D84" s="49">
        <v>4.5199999999999996</v>
      </c>
      <c r="E84" s="49">
        <v>10.16</v>
      </c>
      <c r="F84" s="49">
        <v>27.12</v>
      </c>
      <c r="G84" s="49">
        <v>47.6</v>
      </c>
      <c r="H84" s="49">
        <v>87.84</v>
      </c>
      <c r="I84" s="49">
        <v>267.48</v>
      </c>
    </row>
    <row r="85" spans="1:9" s="50" customFormat="1" ht="10.9" customHeight="1">
      <c r="A85" s="25" t="s">
        <v>114</v>
      </c>
      <c r="B85" s="49">
        <v>17.399999999999999</v>
      </c>
      <c r="C85" s="49">
        <v>10.37</v>
      </c>
      <c r="D85" s="49">
        <v>14.08</v>
      </c>
      <c r="E85" s="49">
        <v>19.47</v>
      </c>
      <c r="F85" s="49">
        <v>22.3</v>
      </c>
      <c r="G85" s="49">
        <v>22.88</v>
      </c>
      <c r="H85" s="49">
        <v>30.44</v>
      </c>
      <c r="I85" s="49">
        <v>25.08</v>
      </c>
    </row>
    <row r="86" spans="1:9" s="50" customFormat="1" ht="10.9" customHeight="1">
      <c r="A86" s="25" t="s">
        <v>115</v>
      </c>
      <c r="B86" s="49">
        <v>48.55</v>
      </c>
      <c r="C86" s="49">
        <v>14.42</v>
      </c>
      <c r="D86" s="49">
        <v>24.02</v>
      </c>
      <c r="E86" s="49">
        <v>42.51</v>
      </c>
      <c r="F86" s="49">
        <v>72.31</v>
      </c>
      <c r="G86" s="49">
        <v>103.59</v>
      </c>
      <c r="H86" s="49">
        <v>142.85</v>
      </c>
      <c r="I86" s="49">
        <v>231.2</v>
      </c>
    </row>
    <row r="87" spans="1:9" s="50" customFormat="1" ht="10.9" customHeight="1">
      <c r="A87" s="25" t="s">
        <v>116</v>
      </c>
      <c r="B87" s="49">
        <v>29.16</v>
      </c>
      <c r="C87" s="49">
        <v>10.82</v>
      </c>
      <c r="D87" s="49">
        <v>16.93</v>
      </c>
      <c r="E87" s="49">
        <v>28.16</v>
      </c>
      <c r="F87" s="49">
        <v>43.11</v>
      </c>
      <c r="G87" s="49">
        <v>56.66</v>
      </c>
      <c r="H87" s="49">
        <v>72</v>
      </c>
      <c r="I87" s="49">
        <v>102.71</v>
      </c>
    </row>
    <row r="88" spans="1:9" s="50" customFormat="1" ht="10.9" customHeight="1">
      <c r="A88" s="25" t="s">
        <v>117</v>
      </c>
      <c r="B88" s="49">
        <v>9.1300000000000008</v>
      </c>
      <c r="C88" s="49">
        <v>1.73</v>
      </c>
      <c r="D88" s="49">
        <v>3.55</v>
      </c>
      <c r="E88" s="49">
        <v>7.31</v>
      </c>
      <c r="F88" s="49">
        <v>14.85</v>
      </c>
      <c r="G88" s="49">
        <v>22.8</v>
      </c>
      <c r="H88" s="49">
        <v>31.53</v>
      </c>
      <c r="I88" s="49">
        <v>46.45</v>
      </c>
    </row>
    <row r="89" spans="1:9" s="50" customFormat="1" ht="10.9" customHeight="1">
      <c r="A89" s="25" t="s">
        <v>118</v>
      </c>
      <c r="B89" s="49">
        <v>1.87</v>
      </c>
      <c r="C89" s="49">
        <v>0.68</v>
      </c>
      <c r="D89" s="49">
        <v>1.36</v>
      </c>
      <c r="E89" s="49">
        <v>1.94</v>
      </c>
      <c r="F89" s="49">
        <v>3.07</v>
      </c>
      <c r="G89" s="49">
        <v>2.59</v>
      </c>
      <c r="H89" s="49">
        <v>3.76</v>
      </c>
      <c r="I89" s="49">
        <v>5.03</v>
      </c>
    </row>
    <row r="90" spans="1:9" s="50" customFormat="1" ht="10.9" customHeight="1">
      <c r="A90" s="25" t="s">
        <v>86</v>
      </c>
      <c r="B90" s="49">
        <v>8.4</v>
      </c>
      <c r="C90" s="49">
        <v>1.19</v>
      </c>
      <c r="D90" s="49">
        <v>2.1800000000000002</v>
      </c>
      <c r="E90" s="49">
        <v>5.09</v>
      </c>
      <c r="F90" s="49">
        <v>11.28</v>
      </c>
      <c r="G90" s="49">
        <v>21.53</v>
      </c>
      <c r="H90" s="49">
        <v>35.56</v>
      </c>
      <c r="I90" s="49">
        <v>77.010000000000005</v>
      </c>
    </row>
    <row r="91" spans="1:9" s="50" customFormat="1" ht="10.9" customHeight="1">
      <c r="A91" s="25" t="s">
        <v>119</v>
      </c>
      <c r="B91" s="49">
        <v>112.53</v>
      </c>
      <c r="C91" s="49">
        <v>23.19</v>
      </c>
      <c r="D91" s="49">
        <v>43.06</v>
      </c>
      <c r="E91" s="49">
        <v>73.97</v>
      </c>
      <c r="F91" s="49">
        <v>159.11000000000001</v>
      </c>
      <c r="G91" s="49">
        <v>228.6</v>
      </c>
      <c r="H91" s="49">
        <v>413.2</v>
      </c>
      <c r="I91" s="49">
        <v>986.1</v>
      </c>
    </row>
    <row r="92" spans="1:9" s="50" customFormat="1" ht="10.9" customHeight="1">
      <c r="A92" s="25" t="s">
        <v>120</v>
      </c>
      <c r="B92" s="49">
        <v>10.08</v>
      </c>
      <c r="C92" s="49">
        <v>4.26</v>
      </c>
      <c r="D92" s="49">
        <v>5.88</v>
      </c>
      <c r="E92" s="49">
        <v>9.8000000000000007</v>
      </c>
      <c r="F92" s="49">
        <v>15.18</v>
      </c>
      <c r="G92" s="49">
        <v>16.8</v>
      </c>
      <c r="H92" s="49">
        <v>29.36</v>
      </c>
      <c r="I92" s="49">
        <v>27.91</v>
      </c>
    </row>
    <row r="93" spans="1:9" s="50" customFormat="1" ht="10.9" customHeight="1">
      <c r="A93" s="25" t="s">
        <v>121</v>
      </c>
      <c r="B93" s="49">
        <v>2.41</v>
      </c>
      <c r="C93" s="49">
        <v>0.74</v>
      </c>
      <c r="D93" s="49">
        <v>1.1299999999999999</v>
      </c>
      <c r="E93" s="49">
        <v>1.99</v>
      </c>
      <c r="F93" s="49">
        <v>3.58</v>
      </c>
      <c r="G93" s="49">
        <v>5.46</v>
      </c>
      <c r="H93" s="49">
        <v>8.44</v>
      </c>
      <c r="I93" s="49">
        <v>10.56</v>
      </c>
    </row>
    <row r="94" spans="1:9" s="50" customFormat="1" ht="10.9" customHeight="1">
      <c r="A94" s="25" t="s">
        <v>122</v>
      </c>
      <c r="B94" s="49">
        <v>16.2</v>
      </c>
      <c r="C94" s="49">
        <v>2.52</v>
      </c>
      <c r="D94" s="49">
        <v>4.1900000000000004</v>
      </c>
      <c r="E94" s="49">
        <v>9.17</v>
      </c>
      <c r="F94" s="49">
        <v>22.72</v>
      </c>
      <c r="G94" s="49">
        <v>48.32</v>
      </c>
      <c r="H94" s="49">
        <v>60.88</v>
      </c>
      <c r="I94" s="49">
        <v>144.31</v>
      </c>
    </row>
    <row r="95" spans="1:9" s="50" customFormat="1" ht="10.9" customHeight="1">
      <c r="A95" s="25" t="s">
        <v>123</v>
      </c>
      <c r="B95" s="49">
        <v>34.79</v>
      </c>
      <c r="C95" s="49">
        <v>6.08</v>
      </c>
      <c r="D95" s="49">
        <v>13.34</v>
      </c>
      <c r="E95" s="49">
        <v>20.6</v>
      </c>
      <c r="F95" s="49">
        <v>50.34</v>
      </c>
      <c r="G95" s="49">
        <v>62.38</v>
      </c>
      <c r="H95" s="49">
        <v>109.75</v>
      </c>
      <c r="I95" s="49">
        <v>385.22</v>
      </c>
    </row>
    <row r="96" spans="1:9" s="50" customFormat="1" ht="10.9" customHeight="1">
      <c r="A96" s="25" t="s">
        <v>124</v>
      </c>
      <c r="B96" s="49">
        <v>24.94</v>
      </c>
      <c r="C96" s="49">
        <v>2.89</v>
      </c>
      <c r="D96" s="49">
        <v>5.78</v>
      </c>
      <c r="E96" s="49">
        <v>11.93</v>
      </c>
      <c r="F96" s="49">
        <v>31.38</v>
      </c>
      <c r="G96" s="49">
        <v>44.12</v>
      </c>
      <c r="H96" s="49">
        <v>123.68</v>
      </c>
      <c r="I96" s="49">
        <v>313.38</v>
      </c>
    </row>
    <row r="97" spans="1:9" s="50" customFormat="1" ht="10.9" customHeight="1">
      <c r="A97" s="25" t="s">
        <v>86</v>
      </c>
      <c r="B97" s="49">
        <v>24.11</v>
      </c>
      <c r="C97" s="49">
        <v>6.71</v>
      </c>
      <c r="D97" s="49">
        <v>12.75</v>
      </c>
      <c r="E97" s="49">
        <v>20.48</v>
      </c>
      <c r="F97" s="49">
        <v>35.92</v>
      </c>
      <c r="G97" s="49">
        <v>51.51</v>
      </c>
      <c r="H97" s="49">
        <v>81.08</v>
      </c>
      <c r="I97" s="49">
        <v>104.72</v>
      </c>
    </row>
    <row r="98" spans="1:9" s="50" customFormat="1" ht="10.9" customHeight="1">
      <c r="A98" s="25" t="s">
        <v>125</v>
      </c>
      <c r="B98" s="49">
        <v>545.37</v>
      </c>
      <c r="C98" s="49">
        <v>60.64</v>
      </c>
      <c r="D98" s="49">
        <v>133.88</v>
      </c>
      <c r="E98" s="49">
        <v>286.51</v>
      </c>
      <c r="F98" s="49">
        <v>687.44</v>
      </c>
      <c r="G98" s="49">
        <v>1380.26</v>
      </c>
      <c r="H98" s="49">
        <v>2434.5</v>
      </c>
      <c r="I98" s="49">
        <v>5871.39</v>
      </c>
    </row>
    <row r="99" spans="1:9" s="50" customFormat="1" ht="10.9" customHeight="1">
      <c r="A99" s="25" t="s">
        <v>126</v>
      </c>
      <c r="B99" s="49">
        <v>217.05</v>
      </c>
      <c r="C99" s="49">
        <v>19.940000000000001</v>
      </c>
      <c r="D99" s="49">
        <v>39.65</v>
      </c>
      <c r="E99" s="49">
        <v>82.22</v>
      </c>
      <c r="F99" s="49">
        <v>237.9</v>
      </c>
      <c r="G99" s="49">
        <v>558.14</v>
      </c>
      <c r="H99" s="49">
        <v>1087.56</v>
      </c>
      <c r="I99" s="49">
        <v>2869.86</v>
      </c>
    </row>
    <row r="100" spans="1:9" s="50" customFormat="1" ht="10.9" customHeight="1">
      <c r="A100" s="25" t="s">
        <v>127</v>
      </c>
      <c r="B100" s="49">
        <v>161.84</v>
      </c>
      <c r="C100" s="49">
        <v>17.399999999999999</v>
      </c>
      <c r="D100" s="49">
        <v>48.2</v>
      </c>
      <c r="E100" s="49">
        <v>117.6</v>
      </c>
      <c r="F100" s="49">
        <v>250.24</v>
      </c>
      <c r="G100" s="49">
        <v>433.93</v>
      </c>
      <c r="H100" s="49">
        <v>607.29999999999995</v>
      </c>
      <c r="I100" s="49">
        <v>1139.2</v>
      </c>
    </row>
    <row r="101" spans="1:9" s="50" customFormat="1" ht="10.9" customHeight="1">
      <c r="A101" s="25" t="s">
        <v>128</v>
      </c>
      <c r="B101" s="49">
        <v>46.23</v>
      </c>
      <c r="C101" s="49">
        <v>8.0399999999999991</v>
      </c>
      <c r="D101" s="49">
        <v>15.13</v>
      </c>
      <c r="E101" s="49">
        <v>31.34</v>
      </c>
      <c r="F101" s="49">
        <v>66.569999999999993</v>
      </c>
      <c r="G101" s="49">
        <v>104.9</v>
      </c>
      <c r="H101" s="49">
        <v>145.49</v>
      </c>
      <c r="I101" s="49">
        <v>430.92</v>
      </c>
    </row>
    <row r="102" spans="1:9" s="50" customFormat="1" ht="10.9" customHeight="1">
      <c r="A102" s="25" t="s">
        <v>129</v>
      </c>
      <c r="B102" s="49">
        <v>40.049999999999997</v>
      </c>
      <c r="C102" s="49">
        <v>10.46</v>
      </c>
      <c r="D102" s="49">
        <v>18.04</v>
      </c>
      <c r="E102" s="49">
        <v>27.86</v>
      </c>
      <c r="F102" s="49">
        <v>51.83</v>
      </c>
      <c r="G102" s="49">
        <v>91.69</v>
      </c>
      <c r="H102" s="49">
        <v>155.62</v>
      </c>
      <c r="I102" s="49">
        <v>277.08999999999997</v>
      </c>
    </row>
    <row r="103" spans="1:9" s="50" customFormat="1" ht="10.9" customHeight="1">
      <c r="A103" s="25" t="s">
        <v>130</v>
      </c>
      <c r="B103" s="49">
        <v>11.4</v>
      </c>
      <c r="C103" s="49">
        <v>7.0000000000000007E-2</v>
      </c>
      <c r="D103" s="49">
        <v>0.5</v>
      </c>
      <c r="E103" s="49">
        <v>1.65</v>
      </c>
      <c r="F103" s="49">
        <v>9.31</v>
      </c>
      <c r="G103" s="49">
        <v>23.81</v>
      </c>
      <c r="H103" s="49">
        <v>79.790000000000006</v>
      </c>
      <c r="I103" s="49">
        <v>202.05</v>
      </c>
    </row>
    <row r="104" spans="1:9" s="50" customFormat="1" ht="10.9" customHeight="1">
      <c r="A104" s="25" t="s">
        <v>86</v>
      </c>
      <c r="B104" s="49">
        <v>68.8</v>
      </c>
      <c r="C104" s="49">
        <v>4.7300000000000004</v>
      </c>
      <c r="D104" s="49">
        <v>12.36</v>
      </c>
      <c r="E104" s="49">
        <v>25.84</v>
      </c>
      <c r="F104" s="49">
        <v>71.58</v>
      </c>
      <c r="G104" s="49">
        <v>167.79</v>
      </c>
      <c r="H104" s="49">
        <v>358.74</v>
      </c>
      <c r="I104" s="49">
        <v>952.27</v>
      </c>
    </row>
    <row r="105" spans="1:9" s="50" customFormat="1" ht="10.9" customHeight="1">
      <c r="A105" s="25" t="s">
        <v>131</v>
      </c>
      <c r="B105" s="49">
        <v>188.76</v>
      </c>
      <c r="C105" s="49">
        <v>21</v>
      </c>
      <c r="D105" s="49">
        <v>39.36</v>
      </c>
      <c r="E105" s="49">
        <v>89.17</v>
      </c>
      <c r="F105" s="49">
        <v>167.99</v>
      </c>
      <c r="G105" s="49">
        <v>315.60000000000002</v>
      </c>
      <c r="H105" s="49">
        <v>1038.1099999999999</v>
      </c>
      <c r="I105" s="49">
        <v>2702.4</v>
      </c>
    </row>
    <row r="106" spans="1:9" s="50" customFormat="1" ht="10.9" customHeight="1">
      <c r="A106" s="25" t="s">
        <v>132</v>
      </c>
      <c r="B106" s="49">
        <v>126.55</v>
      </c>
      <c r="C106" s="49">
        <v>6.99</v>
      </c>
      <c r="D106" s="49">
        <v>13.41</v>
      </c>
      <c r="E106" s="49">
        <v>34.15</v>
      </c>
      <c r="F106" s="49">
        <v>67.23</v>
      </c>
      <c r="G106" s="49">
        <v>173.74</v>
      </c>
      <c r="H106" s="49">
        <v>863.93</v>
      </c>
      <c r="I106" s="49">
        <v>2386.34</v>
      </c>
    </row>
    <row r="107" spans="1:9" s="50" customFormat="1" ht="10.9" customHeight="1">
      <c r="A107" s="25" t="s">
        <v>133</v>
      </c>
      <c r="B107" s="49">
        <v>62.02</v>
      </c>
      <c r="C107" s="49">
        <v>13.97</v>
      </c>
      <c r="D107" s="49">
        <v>25.85</v>
      </c>
      <c r="E107" s="49">
        <v>54.98</v>
      </c>
      <c r="F107" s="49">
        <v>100.48</v>
      </c>
      <c r="G107" s="49">
        <v>141.11000000000001</v>
      </c>
      <c r="H107" s="49">
        <v>172.51</v>
      </c>
      <c r="I107" s="49">
        <v>315.64</v>
      </c>
    </row>
    <row r="108" spans="1:9" s="50" customFormat="1" ht="10.9" customHeight="1">
      <c r="A108" s="25" t="s">
        <v>134</v>
      </c>
      <c r="B108" s="49">
        <v>0.2</v>
      </c>
      <c r="C108" s="49">
        <v>0.03</v>
      </c>
      <c r="D108" s="49">
        <v>0.09</v>
      </c>
      <c r="E108" s="49">
        <v>0.04</v>
      </c>
      <c r="F108" s="49">
        <v>0.28000000000000003</v>
      </c>
      <c r="G108" s="49">
        <v>0.75</v>
      </c>
      <c r="H108" s="49">
        <v>1.67</v>
      </c>
      <c r="I108" s="49">
        <v>0.42</v>
      </c>
    </row>
    <row r="109" spans="1:9" s="50" customFormat="1" ht="10.9" customHeight="1">
      <c r="A109" s="25" t="s">
        <v>135</v>
      </c>
      <c r="B109" s="49">
        <v>150.38</v>
      </c>
      <c r="C109" s="49">
        <v>30.81</v>
      </c>
      <c r="D109" s="49">
        <v>66.19</v>
      </c>
      <c r="E109" s="49">
        <v>108.05</v>
      </c>
      <c r="F109" s="49">
        <v>225.45</v>
      </c>
      <c r="G109" s="49">
        <v>352.28</v>
      </c>
      <c r="H109" s="49">
        <v>567.03</v>
      </c>
      <c r="I109" s="49">
        <v>928.43</v>
      </c>
    </row>
    <row r="110" spans="1:9" s="50" customFormat="1" ht="10.9" customHeight="1">
      <c r="A110" s="25" t="s">
        <v>136</v>
      </c>
      <c r="B110" s="49">
        <v>109.58</v>
      </c>
      <c r="C110" s="49">
        <v>28.05</v>
      </c>
      <c r="D110" s="49">
        <v>55.19</v>
      </c>
      <c r="E110" s="49">
        <v>83.39</v>
      </c>
      <c r="F110" s="49">
        <v>169.71</v>
      </c>
      <c r="G110" s="49">
        <v>248.08</v>
      </c>
      <c r="H110" s="49">
        <v>409.44</v>
      </c>
      <c r="I110" s="49">
        <v>507.7</v>
      </c>
    </row>
    <row r="111" spans="1:9" s="50" customFormat="1" ht="10.9" customHeight="1">
      <c r="A111" s="25" t="s">
        <v>137</v>
      </c>
      <c r="B111" s="49">
        <v>40.799999999999997</v>
      </c>
      <c r="C111" s="49">
        <v>2.76</v>
      </c>
      <c r="D111" s="49">
        <v>11</v>
      </c>
      <c r="E111" s="49">
        <v>24.66</v>
      </c>
      <c r="F111" s="49">
        <v>55.74</v>
      </c>
      <c r="G111" s="49">
        <v>104.21</v>
      </c>
      <c r="H111" s="49">
        <v>157.59</v>
      </c>
      <c r="I111" s="49">
        <v>420.73</v>
      </c>
    </row>
    <row r="112" spans="1:9" s="54" customFormat="1" ht="12.4" customHeight="1">
      <c r="A112" s="52" t="s">
        <v>29</v>
      </c>
      <c r="B112" s="53">
        <v>69017704</v>
      </c>
      <c r="C112" s="53">
        <v>16737438</v>
      </c>
      <c r="D112" s="53">
        <v>13079821</v>
      </c>
      <c r="E112" s="53">
        <v>21099497</v>
      </c>
      <c r="F112" s="53">
        <v>9509008</v>
      </c>
      <c r="G112" s="53">
        <v>4256727</v>
      </c>
      <c r="H112" s="53">
        <v>2629450</v>
      </c>
      <c r="I112" s="53">
        <v>1705764</v>
      </c>
    </row>
    <row r="113" spans="1:9" s="54" customFormat="1" ht="12.4" customHeight="1">
      <c r="A113" s="52" t="s">
        <v>30</v>
      </c>
      <c r="B113" s="29">
        <v>3</v>
      </c>
      <c r="C113" s="29">
        <v>2.72</v>
      </c>
      <c r="D113" s="29">
        <v>2.83</v>
      </c>
      <c r="E113" s="29">
        <v>3.16</v>
      </c>
      <c r="F113" s="29">
        <v>3.27</v>
      </c>
      <c r="G113" s="29">
        <v>3.15</v>
      </c>
      <c r="H113" s="29">
        <v>3.06</v>
      </c>
      <c r="I113" s="29">
        <v>3.07</v>
      </c>
    </row>
    <row r="114" spans="1:9" ht="6" customHeight="1">
      <c r="A114" s="51"/>
      <c r="B114" s="55"/>
      <c r="C114" s="55"/>
      <c r="D114" s="55"/>
      <c r="E114" s="55"/>
      <c r="F114" s="55"/>
      <c r="G114" s="55"/>
      <c r="H114" s="55"/>
      <c r="I114" s="55"/>
    </row>
    <row r="115" spans="1:9" ht="15" customHeight="1">
      <c r="A115" s="56" t="s">
        <v>32</v>
      </c>
      <c r="B115" s="57"/>
      <c r="C115" s="57"/>
      <c r="D115" s="57"/>
      <c r="E115" s="57"/>
      <c r="F115" s="57"/>
      <c r="G115" s="57"/>
      <c r="H115" s="57"/>
      <c r="I115" s="57"/>
    </row>
    <row r="116" spans="1:9" ht="15" customHeight="1">
      <c r="A116" s="58" t="s">
        <v>138</v>
      </c>
      <c r="B116" s="59"/>
      <c r="C116" s="59"/>
      <c r="D116" s="59"/>
      <c r="E116" s="59"/>
      <c r="F116" s="59"/>
      <c r="G116" s="59"/>
      <c r="H116" s="59"/>
      <c r="I116" s="59"/>
    </row>
    <row r="117" spans="1:9" ht="15" customHeight="1">
      <c r="A117" s="60" t="s">
        <v>34</v>
      </c>
      <c r="B117" s="61"/>
      <c r="C117" s="61"/>
      <c r="D117" s="61"/>
      <c r="E117" s="61"/>
      <c r="F117" s="61"/>
      <c r="G117" s="61"/>
      <c r="H117" s="61"/>
      <c r="I117" s="61"/>
    </row>
    <row r="118" spans="1:9" ht="11.1" customHeight="1">
      <c r="A118" s="50"/>
      <c r="B118" s="50"/>
      <c r="C118" s="50"/>
      <c r="D118" s="50"/>
      <c r="E118" s="50"/>
      <c r="F118" s="50"/>
      <c r="G118" s="50"/>
      <c r="H118" s="50"/>
      <c r="I118" s="50"/>
    </row>
    <row r="120" spans="1:9" ht="27">
      <c r="A120" s="62" t="s">
        <v>139</v>
      </c>
    </row>
  </sheetData>
  <mergeCells count="19">
    <mergeCell ref="A115:I115"/>
    <mergeCell ref="A116:I116"/>
    <mergeCell ref="A117:I117"/>
    <mergeCell ref="A64:I64"/>
    <mergeCell ref="A65:I65"/>
    <mergeCell ref="A66:I66"/>
    <mergeCell ref="H68:I68"/>
    <mergeCell ref="A69:A71"/>
    <mergeCell ref="B69:I69"/>
    <mergeCell ref="B70:B71"/>
    <mergeCell ref="C70:I70"/>
    <mergeCell ref="A1:I1"/>
    <mergeCell ref="A2:I2"/>
    <mergeCell ref="A3:I3"/>
    <mergeCell ref="H5:I5"/>
    <mergeCell ref="A6:A8"/>
    <mergeCell ref="B6:I6"/>
    <mergeCell ref="B7:B8"/>
    <mergeCell ref="C7:I7"/>
  </mergeCells>
  <printOptions horizontalCentered="1"/>
  <pageMargins left="0.59055118110236227" right="0.59055118110236227" top="1.1811023622047245" bottom="1.1811023622047245" header="0" footer="0"/>
  <pageSetup paperSize="9" scale="97" orientation="portrait" horizontalDpi="4294967294" r:id="rId1"/>
  <headerFooter alignWithMargins="0"/>
  <rowBreaks count="1" manualBreakCount="1">
    <brk id="63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6900E-2CD9-4979-9E8D-49C3B72A19C4}">
  <dimension ref="A1:I36"/>
  <sheetViews>
    <sheetView showGridLines="0" workbookViewId="0">
      <selection activeCell="A29" activeCellId="1" sqref="A11:XFD13 A29:XFD29"/>
    </sheetView>
  </sheetViews>
  <sheetFormatPr defaultColWidth="8" defaultRowHeight="8.25"/>
  <cols>
    <col min="1" max="1" width="37.7109375" style="5" customWidth="1"/>
    <col min="2" max="9" width="10" style="5" customWidth="1"/>
    <col min="10" max="256" width="8" style="5"/>
    <col min="257" max="257" width="37.7109375" style="5" customWidth="1"/>
    <col min="258" max="265" width="10" style="5" customWidth="1"/>
    <col min="266" max="512" width="8" style="5"/>
    <col min="513" max="513" width="37.7109375" style="5" customWidth="1"/>
    <col min="514" max="521" width="10" style="5" customWidth="1"/>
    <col min="522" max="768" width="8" style="5"/>
    <col min="769" max="769" width="37.7109375" style="5" customWidth="1"/>
    <col min="770" max="777" width="10" style="5" customWidth="1"/>
    <col min="778" max="1024" width="8" style="5"/>
    <col min="1025" max="1025" width="37.7109375" style="5" customWidth="1"/>
    <col min="1026" max="1033" width="10" style="5" customWidth="1"/>
    <col min="1034" max="1280" width="8" style="5"/>
    <col min="1281" max="1281" width="37.7109375" style="5" customWidth="1"/>
    <col min="1282" max="1289" width="10" style="5" customWidth="1"/>
    <col min="1290" max="1536" width="8" style="5"/>
    <col min="1537" max="1537" width="37.7109375" style="5" customWidth="1"/>
    <col min="1538" max="1545" width="10" style="5" customWidth="1"/>
    <col min="1546" max="1792" width="8" style="5"/>
    <col min="1793" max="1793" width="37.7109375" style="5" customWidth="1"/>
    <col min="1794" max="1801" width="10" style="5" customWidth="1"/>
    <col min="1802" max="2048" width="8" style="5"/>
    <col min="2049" max="2049" width="37.7109375" style="5" customWidth="1"/>
    <col min="2050" max="2057" width="10" style="5" customWidth="1"/>
    <col min="2058" max="2304" width="8" style="5"/>
    <col min="2305" max="2305" width="37.7109375" style="5" customWidth="1"/>
    <col min="2306" max="2313" width="10" style="5" customWidth="1"/>
    <col min="2314" max="2560" width="8" style="5"/>
    <col min="2561" max="2561" width="37.7109375" style="5" customWidth="1"/>
    <col min="2562" max="2569" width="10" style="5" customWidth="1"/>
    <col min="2570" max="2816" width="8" style="5"/>
    <col min="2817" max="2817" width="37.7109375" style="5" customWidth="1"/>
    <col min="2818" max="2825" width="10" style="5" customWidth="1"/>
    <col min="2826" max="3072" width="8" style="5"/>
    <col min="3073" max="3073" width="37.7109375" style="5" customWidth="1"/>
    <col min="3074" max="3081" width="10" style="5" customWidth="1"/>
    <col min="3082" max="3328" width="8" style="5"/>
    <col min="3329" max="3329" width="37.7109375" style="5" customWidth="1"/>
    <col min="3330" max="3337" width="10" style="5" customWidth="1"/>
    <col min="3338" max="3584" width="8" style="5"/>
    <col min="3585" max="3585" width="37.7109375" style="5" customWidth="1"/>
    <col min="3586" max="3593" width="10" style="5" customWidth="1"/>
    <col min="3594" max="3840" width="8" style="5"/>
    <col min="3841" max="3841" width="37.7109375" style="5" customWidth="1"/>
    <col min="3842" max="3849" width="10" style="5" customWidth="1"/>
    <col min="3850" max="4096" width="8" style="5"/>
    <col min="4097" max="4097" width="37.7109375" style="5" customWidth="1"/>
    <col min="4098" max="4105" width="10" style="5" customWidth="1"/>
    <col min="4106" max="4352" width="8" style="5"/>
    <col min="4353" max="4353" width="37.7109375" style="5" customWidth="1"/>
    <col min="4354" max="4361" width="10" style="5" customWidth="1"/>
    <col min="4362" max="4608" width="8" style="5"/>
    <col min="4609" max="4609" width="37.7109375" style="5" customWidth="1"/>
    <col min="4610" max="4617" width="10" style="5" customWidth="1"/>
    <col min="4618" max="4864" width="8" style="5"/>
    <col min="4865" max="4865" width="37.7109375" style="5" customWidth="1"/>
    <col min="4866" max="4873" width="10" style="5" customWidth="1"/>
    <col min="4874" max="5120" width="8" style="5"/>
    <col min="5121" max="5121" width="37.7109375" style="5" customWidth="1"/>
    <col min="5122" max="5129" width="10" style="5" customWidth="1"/>
    <col min="5130" max="5376" width="8" style="5"/>
    <col min="5377" max="5377" width="37.7109375" style="5" customWidth="1"/>
    <col min="5378" max="5385" width="10" style="5" customWidth="1"/>
    <col min="5386" max="5632" width="8" style="5"/>
    <col min="5633" max="5633" width="37.7109375" style="5" customWidth="1"/>
    <col min="5634" max="5641" width="10" style="5" customWidth="1"/>
    <col min="5642" max="5888" width="8" style="5"/>
    <col min="5889" max="5889" width="37.7109375" style="5" customWidth="1"/>
    <col min="5890" max="5897" width="10" style="5" customWidth="1"/>
    <col min="5898" max="6144" width="8" style="5"/>
    <col min="6145" max="6145" width="37.7109375" style="5" customWidth="1"/>
    <col min="6146" max="6153" width="10" style="5" customWidth="1"/>
    <col min="6154" max="6400" width="8" style="5"/>
    <col min="6401" max="6401" width="37.7109375" style="5" customWidth="1"/>
    <col min="6402" max="6409" width="10" style="5" customWidth="1"/>
    <col min="6410" max="6656" width="8" style="5"/>
    <col min="6657" max="6657" width="37.7109375" style="5" customWidth="1"/>
    <col min="6658" max="6665" width="10" style="5" customWidth="1"/>
    <col min="6666" max="6912" width="8" style="5"/>
    <col min="6913" max="6913" width="37.7109375" style="5" customWidth="1"/>
    <col min="6914" max="6921" width="10" style="5" customWidth="1"/>
    <col min="6922" max="7168" width="8" style="5"/>
    <col min="7169" max="7169" width="37.7109375" style="5" customWidth="1"/>
    <col min="7170" max="7177" width="10" style="5" customWidth="1"/>
    <col min="7178" max="7424" width="8" style="5"/>
    <col min="7425" max="7425" width="37.7109375" style="5" customWidth="1"/>
    <col min="7426" max="7433" width="10" style="5" customWidth="1"/>
    <col min="7434" max="7680" width="8" style="5"/>
    <col min="7681" max="7681" width="37.7109375" style="5" customWidth="1"/>
    <col min="7682" max="7689" width="10" style="5" customWidth="1"/>
    <col min="7690" max="7936" width="8" style="5"/>
    <col min="7937" max="7937" width="37.7109375" style="5" customWidth="1"/>
    <col min="7938" max="7945" width="10" style="5" customWidth="1"/>
    <col min="7946" max="8192" width="8" style="5"/>
    <col min="8193" max="8193" width="37.7109375" style="5" customWidth="1"/>
    <col min="8194" max="8201" width="10" style="5" customWidth="1"/>
    <col min="8202" max="8448" width="8" style="5"/>
    <col min="8449" max="8449" width="37.7109375" style="5" customWidth="1"/>
    <col min="8450" max="8457" width="10" style="5" customWidth="1"/>
    <col min="8458" max="8704" width="8" style="5"/>
    <col min="8705" max="8705" width="37.7109375" style="5" customWidth="1"/>
    <col min="8706" max="8713" width="10" style="5" customWidth="1"/>
    <col min="8714" max="8960" width="8" style="5"/>
    <col min="8961" max="8961" width="37.7109375" style="5" customWidth="1"/>
    <col min="8962" max="8969" width="10" style="5" customWidth="1"/>
    <col min="8970" max="9216" width="8" style="5"/>
    <col min="9217" max="9217" width="37.7109375" style="5" customWidth="1"/>
    <col min="9218" max="9225" width="10" style="5" customWidth="1"/>
    <col min="9226" max="9472" width="8" style="5"/>
    <col min="9473" max="9473" width="37.7109375" style="5" customWidth="1"/>
    <col min="9474" max="9481" width="10" style="5" customWidth="1"/>
    <col min="9482" max="9728" width="8" style="5"/>
    <col min="9729" max="9729" width="37.7109375" style="5" customWidth="1"/>
    <col min="9730" max="9737" width="10" style="5" customWidth="1"/>
    <col min="9738" max="9984" width="8" style="5"/>
    <col min="9985" max="9985" width="37.7109375" style="5" customWidth="1"/>
    <col min="9986" max="9993" width="10" style="5" customWidth="1"/>
    <col min="9994" max="10240" width="8" style="5"/>
    <col min="10241" max="10241" width="37.7109375" style="5" customWidth="1"/>
    <col min="10242" max="10249" width="10" style="5" customWidth="1"/>
    <col min="10250" max="10496" width="8" style="5"/>
    <col min="10497" max="10497" width="37.7109375" style="5" customWidth="1"/>
    <col min="10498" max="10505" width="10" style="5" customWidth="1"/>
    <col min="10506" max="10752" width="8" style="5"/>
    <col min="10753" max="10753" width="37.7109375" style="5" customWidth="1"/>
    <col min="10754" max="10761" width="10" style="5" customWidth="1"/>
    <col min="10762" max="11008" width="8" style="5"/>
    <col min="11009" max="11009" width="37.7109375" style="5" customWidth="1"/>
    <col min="11010" max="11017" width="10" style="5" customWidth="1"/>
    <col min="11018" max="11264" width="8" style="5"/>
    <col min="11265" max="11265" width="37.7109375" style="5" customWidth="1"/>
    <col min="11266" max="11273" width="10" style="5" customWidth="1"/>
    <col min="11274" max="11520" width="8" style="5"/>
    <col min="11521" max="11521" width="37.7109375" style="5" customWidth="1"/>
    <col min="11522" max="11529" width="10" style="5" customWidth="1"/>
    <col min="11530" max="11776" width="8" style="5"/>
    <col min="11777" max="11777" width="37.7109375" style="5" customWidth="1"/>
    <col min="11778" max="11785" width="10" style="5" customWidth="1"/>
    <col min="11786" max="12032" width="8" style="5"/>
    <col min="12033" max="12033" width="37.7109375" style="5" customWidth="1"/>
    <col min="12034" max="12041" width="10" style="5" customWidth="1"/>
    <col min="12042" max="12288" width="8" style="5"/>
    <col min="12289" max="12289" width="37.7109375" style="5" customWidth="1"/>
    <col min="12290" max="12297" width="10" style="5" customWidth="1"/>
    <col min="12298" max="12544" width="8" style="5"/>
    <col min="12545" max="12545" width="37.7109375" style="5" customWidth="1"/>
    <col min="12546" max="12553" width="10" style="5" customWidth="1"/>
    <col min="12554" max="12800" width="8" style="5"/>
    <col min="12801" max="12801" width="37.7109375" style="5" customWidth="1"/>
    <col min="12802" max="12809" width="10" style="5" customWidth="1"/>
    <col min="12810" max="13056" width="8" style="5"/>
    <col min="13057" max="13057" width="37.7109375" style="5" customWidth="1"/>
    <col min="13058" max="13065" width="10" style="5" customWidth="1"/>
    <col min="13066" max="13312" width="8" style="5"/>
    <col min="13313" max="13313" width="37.7109375" style="5" customWidth="1"/>
    <col min="13314" max="13321" width="10" style="5" customWidth="1"/>
    <col min="13322" max="13568" width="8" style="5"/>
    <col min="13569" max="13569" width="37.7109375" style="5" customWidth="1"/>
    <col min="13570" max="13577" width="10" style="5" customWidth="1"/>
    <col min="13578" max="13824" width="8" style="5"/>
    <col min="13825" max="13825" width="37.7109375" style="5" customWidth="1"/>
    <col min="13826" max="13833" width="10" style="5" customWidth="1"/>
    <col min="13834" max="14080" width="8" style="5"/>
    <col min="14081" max="14081" width="37.7109375" style="5" customWidth="1"/>
    <col min="14082" max="14089" width="10" style="5" customWidth="1"/>
    <col min="14090" max="14336" width="8" style="5"/>
    <col min="14337" max="14337" width="37.7109375" style="5" customWidth="1"/>
    <col min="14338" max="14345" width="10" style="5" customWidth="1"/>
    <col min="14346" max="14592" width="8" style="5"/>
    <col min="14593" max="14593" width="37.7109375" style="5" customWidth="1"/>
    <col min="14594" max="14601" width="10" style="5" customWidth="1"/>
    <col min="14602" max="14848" width="8" style="5"/>
    <col min="14849" max="14849" width="37.7109375" style="5" customWidth="1"/>
    <col min="14850" max="14857" width="10" style="5" customWidth="1"/>
    <col min="14858" max="15104" width="8" style="5"/>
    <col min="15105" max="15105" width="37.7109375" style="5" customWidth="1"/>
    <col min="15106" max="15113" width="10" style="5" customWidth="1"/>
    <col min="15114" max="15360" width="8" style="5"/>
    <col min="15361" max="15361" width="37.7109375" style="5" customWidth="1"/>
    <col min="15362" max="15369" width="10" style="5" customWidth="1"/>
    <col min="15370" max="15616" width="8" style="5"/>
    <col min="15617" max="15617" width="37.7109375" style="5" customWidth="1"/>
    <col min="15618" max="15625" width="10" style="5" customWidth="1"/>
    <col min="15626" max="15872" width="8" style="5"/>
    <col min="15873" max="15873" width="37.7109375" style="5" customWidth="1"/>
    <col min="15874" max="15881" width="10" style="5" customWidth="1"/>
    <col min="15882" max="16128" width="8" style="5"/>
    <col min="16129" max="16129" width="37.7109375" style="5" customWidth="1"/>
    <col min="16130" max="16137" width="10" style="5" customWidth="1"/>
    <col min="16138" max="16384" width="8" style="5"/>
  </cols>
  <sheetData>
    <row r="1" spans="1:9" s="2" customFormat="1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3" customFormat="1" ht="15" customHeight="1">
      <c r="A2" s="1"/>
      <c r="B2" s="1"/>
      <c r="C2" s="1"/>
      <c r="D2" s="1"/>
      <c r="E2" s="1"/>
      <c r="F2" s="1"/>
      <c r="G2" s="1"/>
      <c r="H2" s="1"/>
      <c r="I2" s="1"/>
    </row>
    <row r="3" spans="1:9" ht="6" customHeight="1">
      <c r="A3" s="4"/>
      <c r="B3" s="4"/>
      <c r="C3" s="4"/>
      <c r="D3" s="4"/>
      <c r="E3" s="4"/>
      <c r="F3" s="4"/>
      <c r="G3" s="4"/>
      <c r="H3" s="4"/>
      <c r="I3" s="4"/>
    </row>
    <row r="4" spans="1:9" ht="15" customHeight="1">
      <c r="A4" s="6" t="s">
        <v>1</v>
      </c>
      <c r="B4" s="7" t="s">
        <v>2</v>
      </c>
      <c r="C4" s="8"/>
      <c r="D4" s="8"/>
      <c r="E4" s="8"/>
      <c r="F4" s="8"/>
      <c r="G4" s="8"/>
      <c r="H4" s="8"/>
      <c r="I4" s="8"/>
    </row>
    <row r="5" spans="1:9" ht="15" customHeight="1">
      <c r="A5" s="9"/>
      <c r="B5" s="10" t="s">
        <v>3</v>
      </c>
      <c r="C5" s="7" t="s">
        <v>4</v>
      </c>
      <c r="D5" s="8"/>
      <c r="E5" s="8"/>
      <c r="F5" s="8"/>
      <c r="G5" s="8"/>
      <c r="H5" s="8"/>
      <c r="I5" s="8"/>
    </row>
    <row r="6" spans="1:9" ht="6" customHeight="1">
      <c r="A6" s="9"/>
      <c r="B6" s="11"/>
      <c r="C6" s="12" t="s">
        <v>5</v>
      </c>
      <c r="D6" s="13" t="s">
        <v>6</v>
      </c>
      <c r="E6" s="13" t="s">
        <v>7</v>
      </c>
      <c r="F6" s="13" t="s">
        <v>8</v>
      </c>
      <c r="G6" s="13" t="s">
        <v>9</v>
      </c>
      <c r="H6" s="13" t="s">
        <v>10</v>
      </c>
      <c r="I6" s="13" t="s">
        <v>11</v>
      </c>
    </row>
    <row r="7" spans="1:9" ht="9" customHeight="1">
      <c r="A7" s="9"/>
      <c r="B7" s="11"/>
      <c r="C7" s="12"/>
      <c r="D7" s="12"/>
      <c r="E7" s="12"/>
      <c r="F7" s="12"/>
      <c r="G7" s="12"/>
      <c r="H7" s="12"/>
      <c r="I7" s="12"/>
    </row>
    <row r="8" spans="1:9" ht="9" customHeight="1">
      <c r="A8" s="9"/>
      <c r="B8" s="11"/>
      <c r="C8" s="12"/>
      <c r="D8" s="12"/>
      <c r="E8" s="12"/>
      <c r="F8" s="12"/>
      <c r="G8" s="12"/>
      <c r="H8" s="12"/>
      <c r="I8" s="12"/>
    </row>
    <row r="9" spans="1:9" ht="6" customHeight="1">
      <c r="A9" s="14"/>
      <c r="B9" s="15"/>
      <c r="C9" s="16"/>
      <c r="D9" s="16"/>
      <c r="E9" s="16"/>
      <c r="F9" s="16"/>
      <c r="G9" s="16"/>
      <c r="H9" s="16"/>
      <c r="I9" s="16"/>
    </row>
    <row r="10" spans="1:9" ht="6" customHeight="1">
      <c r="A10" s="17"/>
      <c r="B10" s="18"/>
      <c r="C10" s="17"/>
      <c r="D10" s="17"/>
      <c r="E10" s="17"/>
      <c r="F10" s="17"/>
      <c r="G10" s="17"/>
      <c r="H10" s="17"/>
      <c r="I10" s="17"/>
    </row>
    <row r="11" spans="1:9" ht="9" customHeight="1">
      <c r="A11" s="19" t="s">
        <v>12</v>
      </c>
      <c r="B11" s="20">
        <v>5426.7</v>
      </c>
      <c r="C11" s="20">
        <v>1254.07</v>
      </c>
      <c r="D11" s="20">
        <v>2389.37</v>
      </c>
      <c r="E11" s="20">
        <v>4057.19</v>
      </c>
      <c r="F11" s="20">
        <v>7232.99</v>
      </c>
      <c r="G11" s="20">
        <v>11458.81</v>
      </c>
      <c r="H11" s="20">
        <v>18060.03</v>
      </c>
      <c r="I11" s="20">
        <v>42003.12</v>
      </c>
    </row>
    <row r="12" spans="1:9" ht="12" customHeight="1">
      <c r="B12" s="21"/>
      <c r="C12" s="21"/>
      <c r="D12" s="21"/>
      <c r="E12" s="21"/>
      <c r="F12" s="21"/>
      <c r="G12" s="21"/>
      <c r="H12" s="21"/>
      <c r="I12" s="21"/>
    </row>
    <row r="13" spans="1:9" ht="12" customHeight="1">
      <c r="A13" s="22" t="s">
        <v>13</v>
      </c>
      <c r="B13" s="20">
        <v>5088.7</v>
      </c>
      <c r="C13" s="20">
        <v>1236.27</v>
      </c>
      <c r="D13" s="20">
        <v>2345.1999999999998</v>
      </c>
      <c r="E13" s="20">
        <v>3942.43</v>
      </c>
      <c r="F13" s="20">
        <v>6917.78</v>
      </c>
      <c r="G13" s="20">
        <v>10819.3</v>
      </c>
      <c r="H13" s="20">
        <v>16682.150000000001</v>
      </c>
      <c r="I13" s="20">
        <v>35737.32</v>
      </c>
    </row>
    <row r="14" spans="1:9" ht="12" customHeight="1">
      <c r="A14" s="23"/>
      <c r="B14" s="24"/>
      <c r="C14" s="24"/>
      <c r="D14" s="24"/>
      <c r="E14" s="24"/>
      <c r="F14" s="24"/>
      <c r="G14" s="24"/>
      <c r="H14" s="24"/>
      <c r="I14" s="24"/>
    </row>
    <row r="15" spans="1:9" ht="18.95" customHeight="1">
      <c r="A15" s="25" t="s">
        <v>14</v>
      </c>
      <c r="B15" s="26">
        <v>3118.66</v>
      </c>
      <c r="C15" s="26">
        <v>514.59</v>
      </c>
      <c r="D15" s="26">
        <v>1071.2</v>
      </c>
      <c r="E15" s="26">
        <v>2282.41</v>
      </c>
      <c r="F15" s="26">
        <v>4410.96</v>
      </c>
      <c r="G15" s="26">
        <v>7152.93</v>
      </c>
      <c r="H15" s="26">
        <v>11033.28</v>
      </c>
      <c r="I15" s="26">
        <v>25242.31</v>
      </c>
    </row>
    <row r="16" spans="1:9" ht="18.75" customHeight="1">
      <c r="A16" s="25" t="s">
        <v>15</v>
      </c>
      <c r="B16" s="26">
        <v>2154.59</v>
      </c>
      <c r="C16" s="26">
        <v>342.7</v>
      </c>
      <c r="D16" s="26">
        <v>758.05</v>
      </c>
      <c r="E16" s="26">
        <v>1703.06</v>
      </c>
      <c r="F16" s="26">
        <v>3203.48</v>
      </c>
      <c r="G16" s="26">
        <v>5079.75</v>
      </c>
      <c r="H16" s="26">
        <v>7884.01</v>
      </c>
      <c r="I16" s="26">
        <v>14248.26</v>
      </c>
    </row>
    <row r="17" spans="1:9" ht="17.25" customHeight="1">
      <c r="A17" s="25" t="s">
        <v>16</v>
      </c>
      <c r="B17" s="26">
        <v>364.94</v>
      </c>
      <c r="C17" s="26">
        <v>5.51</v>
      </c>
      <c r="D17" s="26">
        <v>16.59</v>
      </c>
      <c r="E17" s="26">
        <v>70.58</v>
      </c>
      <c r="F17" s="26">
        <v>290.77999999999997</v>
      </c>
      <c r="G17" s="26">
        <v>767.92</v>
      </c>
      <c r="H17" s="26">
        <v>1477.8</v>
      </c>
      <c r="I17" s="26">
        <v>7896.54</v>
      </c>
    </row>
    <row r="18" spans="1:9" ht="16.5" customHeight="1">
      <c r="A18" s="25" t="s">
        <v>17</v>
      </c>
      <c r="B18" s="26">
        <v>599.12</v>
      </c>
      <c r="C18" s="26">
        <v>166.38</v>
      </c>
      <c r="D18" s="26">
        <v>296.56</v>
      </c>
      <c r="E18" s="26">
        <v>508.77</v>
      </c>
      <c r="F18" s="26">
        <v>916.7</v>
      </c>
      <c r="G18" s="26">
        <v>1305.26</v>
      </c>
      <c r="H18" s="26">
        <v>1671.47</v>
      </c>
      <c r="I18" s="26">
        <v>3097.51</v>
      </c>
    </row>
    <row r="19" spans="1:9" ht="27" customHeight="1">
      <c r="A19" s="25" t="s">
        <v>18</v>
      </c>
      <c r="B19" s="26">
        <v>1056.8499999999999</v>
      </c>
      <c r="C19" s="26">
        <v>358.99</v>
      </c>
      <c r="D19" s="26">
        <v>715.34</v>
      </c>
      <c r="E19" s="26">
        <v>852.66</v>
      </c>
      <c r="F19" s="26">
        <v>1337.5</v>
      </c>
      <c r="G19" s="26">
        <v>2080.34</v>
      </c>
      <c r="H19" s="26">
        <v>3268.81</v>
      </c>
      <c r="I19" s="26">
        <v>5520.5</v>
      </c>
    </row>
    <row r="20" spans="1:9" ht="18" customHeight="1">
      <c r="A20" s="25" t="s">
        <v>19</v>
      </c>
      <c r="B20" s="26">
        <v>583.04</v>
      </c>
      <c r="C20" s="26">
        <v>197.43</v>
      </c>
      <c r="D20" s="26">
        <v>525.21</v>
      </c>
      <c r="E20" s="26">
        <v>602.89</v>
      </c>
      <c r="F20" s="26">
        <v>844.56</v>
      </c>
      <c r="G20" s="26">
        <v>970.38</v>
      </c>
      <c r="H20" s="26">
        <v>1124.5999999999999</v>
      </c>
      <c r="I20" s="26">
        <v>1305.4100000000001</v>
      </c>
    </row>
    <row r="21" spans="1:9" ht="18.75" customHeight="1">
      <c r="A21" s="25" t="s">
        <v>20</v>
      </c>
      <c r="B21" s="26">
        <v>271.51</v>
      </c>
      <c r="C21" s="26">
        <v>9.7100000000000009</v>
      </c>
      <c r="D21" s="26">
        <v>29.5</v>
      </c>
      <c r="E21" s="26">
        <v>89.27</v>
      </c>
      <c r="F21" s="26">
        <v>305.36</v>
      </c>
      <c r="G21" s="26">
        <v>810.42</v>
      </c>
      <c r="H21" s="26">
        <v>1674.89</v>
      </c>
      <c r="I21" s="26">
        <v>3253.21</v>
      </c>
    </row>
    <row r="22" spans="1:9" ht="17.25" customHeight="1">
      <c r="A22" s="25" t="s">
        <v>21</v>
      </c>
      <c r="B22" s="26">
        <v>38.619999999999997</v>
      </c>
      <c r="C22" s="26">
        <v>0.56000000000000005</v>
      </c>
      <c r="D22" s="26">
        <v>1.3</v>
      </c>
      <c r="E22" s="26">
        <v>3.91</v>
      </c>
      <c r="F22" s="26">
        <v>28.59</v>
      </c>
      <c r="G22" s="26">
        <v>109.99</v>
      </c>
      <c r="H22" s="26">
        <v>226.9</v>
      </c>
      <c r="I22" s="26">
        <v>715.3</v>
      </c>
    </row>
    <row r="23" spans="1:9" ht="18.75" customHeight="1">
      <c r="A23" s="25" t="s">
        <v>22</v>
      </c>
      <c r="B23" s="26">
        <v>56.76</v>
      </c>
      <c r="C23" s="26">
        <v>95.4</v>
      </c>
      <c r="D23" s="26">
        <v>77.08</v>
      </c>
      <c r="E23" s="26">
        <v>50.77</v>
      </c>
      <c r="F23" s="26">
        <v>19.12</v>
      </c>
      <c r="G23" s="26">
        <v>6.98</v>
      </c>
      <c r="H23" s="26">
        <v>9.7899999999999991</v>
      </c>
      <c r="I23" s="26">
        <v>2.4700000000000002</v>
      </c>
    </row>
    <row r="24" spans="1:9" ht="16.5" customHeight="1">
      <c r="A24" s="25" t="s">
        <v>23</v>
      </c>
      <c r="B24" s="26">
        <v>47.81</v>
      </c>
      <c r="C24" s="26">
        <v>27.86</v>
      </c>
      <c r="D24" s="26">
        <v>34.07</v>
      </c>
      <c r="E24" s="26">
        <v>44.94</v>
      </c>
      <c r="F24" s="26">
        <v>64.63</v>
      </c>
      <c r="G24" s="26">
        <v>82.03</v>
      </c>
      <c r="H24" s="26">
        <v>88.03</v>
      </c>
      <c r="I24" s="26">
        <v>143.24</v>
      </c>
    </row>
    <row r="25" spans="1:9" ht="18" customHeight="1">
      <c r="A25" s="25" t="s">
        <v>24</v>
      </c>
      <c r="B25" s="26">
        <v>59.1</v>
      </c>
      <c r="C25" s="26">
        <v>28.03</v>
      </c>
      <c r="D25" s="26">
        <v>48.18</v>
      </c>
      <c r="E25" s="26">
        <v>60.87</v>
      </c>
      <c r="F25" s="26">
        <v>75.23</v>
      </c>
      <c r="G25" s="26">
        <v>100.55</v>
      </c>
      <c r="H25" s="26">
        <v>144.6</v>
      </c>
      <c r="I25" s="26">
        <v>100.87</v>
      </c>
    </row>
    <row r="26" spans="1:9" ht="25.5" customHeight="1">
      <c r="A26" s="25" t="s">
        <v>25</v>
      </c>
      <c r="B26" s="26">
        <v>89.3</v>
      </c>
      <c r="C26" s="26">
        <v>3.93</v>
      </c>
      <c r="D26" s="26">
        <v>12.77</v>
      </c>
      <c r="E26" s="26">
        <v>30.55</v>
      </c>
      <c r="F26" s="26">
        <v>81.02</v>
      </c>
      <c r="G26" s="26">
        <v>212.78</v>
      </c>
      <c r="H26" s="26">
        <v>346.71</v>
      </c>
      <c r="I26" s="26">
        <v>1581.97</v>
      </c>
    </row>
    <row r="27" spans="1:9" ht="26.25" customHeight="1">
      <c r="A27" s="25" t="s">
        <v>26</v>
      </c>
      <c r="B27" s="26">
        <v>36.99</v>
      </c>
      <c r="C27" s="26">
        <v>7.99</v>
      </c>
      <c r="D27" s="26">
        <v>15.86</v>
      </c>
      <c r="E27" s="26">
        <v>34.090000000000003</v>
      </c>
      <c r="F27" s="26">
        <v>53.08</v>
      </c>
      <c r="G27" s="26">
        <v>71.27</v>
      </c>
      <c r="H27" s="26">
        <v>195.47</v>
      </c>
      <c r="I27" s="26">
        <v>99.77</v>
      </c>
    </row>
    <row r="28" spans="1:9" ht="24.75" customHeight="1">
      <c r="A28" s="25" t="s">
        <v>27</v>
      </c>
      <c r="B28" s="26">
        <v>786.9</v>
      </c>
      <c r="C28" s="26">
        <v>350.77</v>
      </c>
      <c r="D28" s="26">
        <v>530.02</v>
      </c>
      <c r="E28" s="26">
        <v>742.72</v>
      </c>
      <c r="F28" s="26">
        <v>1035.21</v>
      </c>
      <c r="G28" s="26">
        <v>1301.98</v>
      </c>
      <c r="H28" s="26">
        <v>1837.88</v>
      </c>
      <c r="I28" s="26">
        <v>3292.76</v>
      </c>
    </row>
    <row r="29" spans="1:9" ht="24" customHeight="1">
      <c r="A29" s="22" t="s">
        <v>28</v>
      </c>
      <c r="B29" s="27">
        <v>338</v>
      </c>
      <c r="C29" s="27">
        <v>17.809999999999999</v>
      </c>
      <c r="D29" s="27">
        <v>44.18</v>
      </c>
      <c r="E29" s="27">
        <v>114.77</v>
      </c>
      <c r="F29" s="27">
        <v>315.20999999999998</v>
      </c>
      <c r="G29" s="27">
        <v>639.52</v>
      </c>
      <c r="H29" s="27">
        <v>1377.88</v>
      </c>
      <c r="I29" s="27">
        <v>6265.81</v>
      </c>
    </row>
    <row r="30" spans="1:9" ht="16.149999999999999" customHeight="1">
      <c r="A30" s="19" t="s">
        <v>29</v>
      </c>
      <c r="B30" s="28">
        <v>69017704</v>
      </c>
      <c r="C30" s="28">
        <v>16737438</v>
      </c>
      <c r="D30" s="28">
        <v>13079821</v>
      </c>
      <c r="E30" s="28">
        <v>21099497</v>
      </c>
      <c r="F30" s="28">
        <v>9509008</v>
      </c>
      <c r="G30" s="28">
        <v>4256727</v>
      </c>
      <c r="H30" s="28">
        <v>2629450</v>
      </c>
      <c r="I30" s="28">
        <v>1705764</v>
      </c>
    </row>
    <row r="31" spans="1:9" ht="13.5" customHeight="1">
      <c r="A31" s="19" t="s">
        <v>30</v>
      </c>
      <c r="B31" s="29">
        <v>3</v>
      </c>
      <c r="C31" s="29">
        <v>2.72</v>
      </c>
      <c r="D31" s="29">
        <v>2.83</v>
      </c>
      <c r="E31" s="29">
        <v>3.16</v>
      </c>
      <c r="F31" s="29">
        <v>3.27</v>
      </c>
      <c r="G31" s="29">
        <v>3.15</v>
      </c>
      <c r="H31" s="29">
        <v>3.06</v>
      </c>
      <c r="I31" s="29">
        <v>3.07</v>
      </c>
    </row>
    <row r="32" spans="1:9" ht="6" customHeight="1">
      <c r="A32" s="4"/>
      <c r="B32" s="4" t="s">
        <v>31</v>
      </c>
      <c r="C32" s="4"/>
      <c r="D32" s="4"/>
      <c r="E32" s="4"/>
      <c r="F32" s="4"/>
      <c r="G32" s="4"/>
      <c r="H32" s="4"/>
      <c r="I32" s="4"/>
    </row>
    <row r="33" spans="1:9" ht="9.9499999999999993" customHeight="1">
      <c r="A33" s="30" t="s">
        <v>32</v>
      </c>
      <c r="B33" s="31"/>
      <c r="C33" s="31"/>
      <c r="D33" s="31"/>
      <c r="E33" s="31"/>
      <c r="F33" s="31"/>
      <c r="G33" s="31"/>
      <c r="H33" s="31"/>
      <c r="I33" s="31"/>
    </row>
    <row r="34" spans="1:9" ht="9.9499999999999993" customHeight="1">
      <c r="A34" s="32" t="s">
        <v>33</v>
      </c>
      <c r="B34" s="33"/>
      <c r="C34" s="33"/>
      <c r="D34" s="33"/>
      <c r="E34" s="33"/>
      <c r="F34" s="33"/>
      <c r="G34" s="33"/>
      <c r="H34" s="33"/>
      <c r="I34" s="33"/>
    </row>
    <row r="35" spans="1:9" ht="9.9499999999999993" customHeight="1">
      <c r="A35" s="34" t="s">
        <v>34</v>
      </c>
      <c r="B35" s="35"/>
      <c r="C35" s="35"/>
      <c r="D35" s="35"/>
      <c r="E35" s="35"/>
      <c r="F35" s="35"/>
      <c r="G35" s="35"/>
      <c r="H35" s="35"/>
      <c r="I35" s="35"/>
    </row>
    <row r="36" spans="1:9">
      <c r="A36" s="36"/>
      <c r="B36" s="36"/>
      <c r="C36" s="36"/>
      <c r="D36" s="36"/>
      <c r="E36" s="36"/>
      <c r="F36" s="36"/>
      <c r="G36" s="36"/>
      <c r="H36" s="36"/>
      <c r="I36" s="36"/>
    </row>
  </sheetData>
  <mergeCells count="15">
    <mergeCell ref="H6:H9"/>
    <mergeCell ref="I6:I9"/>
    <mergeCell ref="A33:I33"/>
    <mergeCell ref="A34:I34"/>
    <mergeCell ref="A35:I35"/>
    <mergeCell ref="A1:I2"/>
    <mergeCell ref="A4:A9"/>
    <mergeCell ref="B4:I4"/>
    <mergeCell ref="B5:B9"/>
    <mergeCell ref="C5:I5"/>
    <mergeCell ref="C6:C9"/>
    <mergeCell ref="D6:D9"/>
    <mergeCell ref="E6:E9"/>
    <mergeCell ref="F6:F9"/>
    <mergeCell ref="G6:G9"/>
  </mergeCells>
  <printOptions horizontalCentered="1"/>
  <pageMargins left="0" right="0" top="0" bottom="0" header="0" footer="0.51181102362204722"/>
  <pageSetup paperSize="9" orientation="portrait" horizontalDpi="4294967294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7FF9-D825-4AE9-B7B3-2C906DC0F9CB}">
  <dimension ref="A1:I28"/>
  <sheetViews>
    <sheetView tabSelected="1" workbookViewId="0">
      <selection activeCell="C3" sqref="C3:I3"/>
    </sheetView>
  </sheetViews>
  <sheetFormatPr defaultRowHeight="15"/>
  <cols>
    <col min="1" max="1" width="31" bestFit="1" customWidth="1"/>
  </cols>
  <sheetData>
    <row r="1" spans="1:9" s="38" customFormat="1" ht="15" customHeight="1">
      <c r="A1" s="42" t="s">
        <v>39</v>
      </c>
      <c r="B1" s="43" t="s">
        <v>40</v>
      </c>
      <c r="C1" s="43"/>
      <c r="D1" s="43"/>
      <c r="E1" s="43"/>
      <c r="F1" s="43"/>
      <c r="G1" s="43"/>
      <c r="H1" s="43"/>
      <c r="I1" s="44"/>
    </row>
    <row r="2" spans="1:9" s="38" customFormat="1" ht="15" customHeight="1">
      <c r="A2" s="45"/>
      <c r="B2" s="43" t="s">
        <v>41</v>
      </c>
      <c r="C2" s="43" t="s">
        <v>42</v>
      </c>
      <c r="D2" s="43"/>
      <c r="E2" s="43"/>
      <c r="F2" s="43"/>
      <c r="G2" s="43"/>
      <c r="H2" s="43"/>
      <c r="I2" s="44"/>
    </row>
    <row r="3" spans="1:9" s="38" customFormat="1" ht="45" customHeight="1">
      <c r="A3" s="46"/>
      <c r="B3" s="43"/>
      <c r="C3" s="47" t="s">
        <v>43</v>
      </c>
      <c r="D3" s="47" t="s">
        <v>44</v>
      </c>
      <c r="E3" s="47" t="s">
        <v>45</v>
      </c>
      <c r="F3" s="47" t="s">
        <v>46</v>
      </c>
      <c r="G3" s="47" t="s">
        <v>47</v>
      </c>
      <c r="H3" s="47" t="s">
        <v>48</v>
      </c>
      <c r="I3" s="48" t="s">
        <v>49</v>
      </c>
    </row>
    <row r="4" spans="1:9" s="50" customFormat="1" ht="15" customHeight="1">
      <c r="A4" s="25" t="s">
        <v>50</v>
      </c>
      <c r="B4" s="49">
        <v>4649.03</v>
      </c>
      <c r="C4" s="49">
        <v>1500.73</v>
      </c>
      <c r="D4" s="49">
        <v>2350.7399999999998</v>
      </c>
      <c r="E4" s="49">
        <v>3705.24</v>
      </c>
      <c r="F4" s="49">
        <v>6326.5</v>
      </c>
      <c r="G4" s="49">
        <v>9401.98</v>
      </c>
      <c r="H4" s="49">
        <v>14872.3</v>
      </c>
      <c r="I4" s="49">
        <v>27866.89</v>
      </c>
    </row>
    <row r="5" spans="1:9" s="50" customFormat="1" ht="10.15" customHeight="1">
      <c r="A5" s="25" t="s">
        <v>51</v>
      </c>
      <c r="B5" s="49">
        <v>4309.88</v>
      </c>
      <c r="C5" s="49">
        <v>1448.92</v>
      </c>
      <c r="D5" s="49">
        <v>2245.19</v>
      </c>
      <c r="E5" s="49">
        <v>3508.03</v>
      </c>
      <c r="F5" s="49">
        <v>5933.07</v>
      </c>
      <c r="G5" s="49">
        <v>8734.09</v>
      </c>
      <c r="H5" s="49">
        <v>13267.16</v>
      </c>
      <c r="I5" s="49">
        <v>24236.06</v>
      </c>
    </row>
    <row r="6" spans="1:9" s="50" customFormat="1" ht="10.9" customHeight="1">
      <c r="A6" s="25" t="s">
        <v>125</v>
      </c>
      <c r="B6" s="49">
        <v>545.37</v>
      </c>
      <c r="C6" s="49">
        <v>60.64</v>
      </c>
      <c r="D6" s="49">
        <v>133.88</v>
      </c>
      <c r="E6" s="49">
        <v>286.51</v>
      </c>
      <c r="F6" s="49">
        <v>687.44</v>
      </c>
      <c r="G6" s="49">
        <v>1380.26</v>
      </c>
      <c r="H6" s="49">
        <v>2434.5</v>
      </c>
      <c r="I6" s="49">
        <v>5871.39</v>
      </c>
    </row>
    <row r="7" spans="1:9" s="50" customFormat="1" ht="10.9" customHeight="1">
      <c r="A7" s="25" t="s">
        <v>126</v>
      </c>
      <c r="B7" s="49">
        <v>217.05</v>
      </c>
      <c r="C7" s="49">
        <v>19.940000000000001</v>
      </c>
      <c r="D7" s="49">
        <v>39.65</v>
      </c>
      <c r="E7" s="49">
        <v>82.22</v>
      </c>
      <c r="F7" s="49">
        <v>237.9</v>
      </c>
      <c r="G7" s="49">
        <v>558.14</v>
      </c>
      <c r="H7" s="49">
        <v>1087.56</v>
      </c>
      <c r="I7" s="49">
        <v>2869.86</v>
      </c>
    </row>
    <row r="8" spans="1:9" s="50" customFormat="1" ht="10.9" customHeight="1">
      <c r="A8" s="25" t="s">
        <v>127</v>
      </c>
      <c r="B8" s="49">
        <v>161.84</v>
      </c>
      <c r="C8" s="49">
        <v>17.399999999999999</v>
      </c>
      <c r="D8" s="49">
        <v>48.2</v>
      </c>
      <c r="E8" s="49">
        <v>117.6</v>
      </c>
      <c r="F8" s="49">
        <v>250.24</v>
      </c>
      <c r="G8" s="49">
        <v>433.93</v>
      </c>
      <c r="H8" s="49">
        <v>607.29999999999995</v>
      </c>
      <c r="I8" s="49">
        <v>1139.2</v>
      </c>
    </row>
    <row r="9" spans="1:9" s="50" customFormat="1" ht="10.9" customHeight="1">
      <c r="A9" s="25" t="s">
        <v>128</v>
      </c>
      <c r="B9" s="49">
        <v>46.23</v>
      </c>
      <c r="C9" s="49">
        <v>8.0399999999999991</v>
      </c>
      <c r="D9" s="49">
        <v>15.13</v>
      </c>
      <c r="E9" s="49">
        <v>31.34</v>
      </c>
      <c r="F9" s="49">
        <v>66.569999999999993</v>
      </c>
      <c r="G9" s="49">
        <v>104.9</v>
      </c>
      <c r="H9" s="49">
        <v>145.49</v>
      </c>
      <c r="I9" s="49">
        <v>430.92</v>
      </c>
    </row>
    <row r="10" spans="1:9" s="50" customFormat="1" ht="10.9" customHeight="1">
      <c r="A10" s="25" t="s">
        <v>129</v>
      </c>
      <c r="B10" s="49">
        <v>40.049999999999997</v>
      </c>
      <c r="C10" s="49">
        <v>10.46</v>
      </c>
      <c r="D10" s="49">
        <v>18.04</v>
      </c>
      <c r="E10" s="49">
        <v>27.86</v>
      </c>
      <c r="F10" s="49">
        <v>51.83</v>
      </c>
      <c r="G10" s="49">
        <v>91.69</v>
      </c>
      <c r="H10" s="49">
        <v>155.62</v>
      </c>
      <c r="I10" s="49">
        <v>277.08999999999997</v>
      </c>
    </row>
    <row r="11" spans="1:9" s="50" customFormat="1" ht="10.9" customHeight="1">
      <c r="A11" s="25" t="s">
        <v>130</v>
      </c>
      <c r="B11" s="49">
        <v>11.4</v>
      </c>
      <c r="C11" s="49">
        <v>7.0000000000000007E-2</v>
      </c>
      <c r="D11" s="49">
        <v>0.5</v>
      </c>
      <c r="E11" s="49">
        <v>1.65</v>
      </c>
      <c r="F11" s="49">
        <v>9.31</v>
      </c>
      <c r="G11" s="49">
        <v>23.81</v>
      </c>
      <c r="H11" s="49">
        <v>79.790000000000006</v>
      </c>
      <c r="I11" s="49">
        <v>202.05</v>
      </c>
    </row>
    <row r="12" spans="1:9" s="50" customFormat="1" ht="10.9" customHeight="1">
      <c r="A12" s="25" t="s">
        <v>86</v>
      </c>
      <c r="B12" s="49">
        <v>68.8</v>
      </c>
      <c r="C12" s="49">
        <v>4.7300000000000004</v>
      </c>
      <c r="D12" s="49">
        <v>12.36</v>
      </c>
      <c r="E12" s="49">
        <v>25.84</v>
      </c>
      <c r="F12" s="49">
        <v>71.58</v>
      </c>
      <c r="G12" s="49">
        <v>167.79</v>
      </c>
      <c r="H12" s="49">
        <v>358.74</v>
      </c>
      <c r="I12" s="49">
        <v>952.27</v>
      </c>
    </row>
    <row r="13" spans="1:9" s="50" customFormat="1" ht="10.9" customHeight="1">
      <c r="A13" s="25" t="s">
        <v>131</v>
      </c>
      <c r="B13" s="49">
        <v>188.76</v>
      </c>
      <c r="C13" s="49">
        <v>21</v>
      </c>
      <c r="D13" s="49">
        <v>39.36</v>
      </c>
      <c r="E13" s="49">
        <v>89.17</v>
      </c>
      <c r="F13" s="49">
        <v>167.99</v>
      </c>
      <c r="G13" s="49">
        <v>315.60000000000002</v>
      </c>
      <c r="H13" s="49">
        <v>1038.1099999999999</v>
      </c>
      <c r="I13" s="49">
        <v>2702.4</v>
      </c>
    </row>
    <row r="14" spans="1:9" s="50" customFormat="1" ht="10.9" customHeight="1">
      <c r="A14" s="25" t="s">
        <v>132</v>
      </c>
      <c r="B14" s="49">
        <v>126.55</v>
      </c>
      <c r="C14" s="49">
        <v>6.99</v>
      </c>
      <c r="D14" s="49">
        <v>13.41</v>
      </c>
      <c r="E14" s="49">
        <v>34.15</v>
      </c>
      <c r="F14" s="49">
        <v>67.23</v>
      </c>
      <c r="G14" s="49">
        <v>173.74</v>
      </c>
      <c r="H14" s="49">
        <v>863.93</v>
      </c>
      <c r="I14" s="49">
        <v>2386.34</v>
      </c>
    </row>
    <row r="15" spans="1:9" s="50" customFormat="1" ht="10.9" customHeight="1">
      <c r="A15" s="25" t="s">
        <v>133</v>
      </c>
      <c r="B15" s="49">
        <v>62.02</v>
      </c>
      <c r="C15" s="49">
        <v>13.97</v>
      </c>
      <c r="D15" s="49">
        <v>25.85</v>
      </c>
      <c r="E15" s="49">
        <v>54.98</v>
      </c>
      <c r="F15" s="49">
        <v>100.48</v>
      </c>
      <c r="G15" s="49">
        <v>141.11000000000001</v>
      </c>
      <c r="H15" s="49">
        <v>172.51</v>
      </c>
      <c r="I15" s="49">
        <v>315.64</v>
      </c>
    </row>
    <row r="16" spans="1:9" s="50" customFormat="1" ht="10.9" customHeight="1">
      <c r="A16" s="25" t="s">
        <v>134</v>
      </c>
      <c r="B16" s="49">
        <v>0.2</v>
      </c>
      <c r="C16" s="49">
        <v>0.03</v>
      </c>
      <c r="D16" s="49">
        <v>0.09</v>
      </c>
      <c r="E16" s="49">
        <v>0.04</v>
      </c>
      <c r="F16" s="49">
        <v>0.28000000000000003</v>
      </c>
      <c r="G16" s="49">
        <v>0.75</v>
      </c>
      <c r="H16" s="49">
        <v>1.67</v>
      </c>
      <c r="I16" s="49">
        <v>0.42</v>
      </c>
    </row>
    <row r="17" spans="1:9" s="50" customFormat="1" ht="10.9" customHeight="1">
      <c r="A17" s="25" t="s">
        <v>135</v>
      </c>
      <c r="B17" s="49">
        <v>150.38</v>
      </c>
      <c r="C17" s="49">
        <v>30.81</v>
      </c>
      <c r="D17" s="49">
        <v>66.19</v>
      </c>
      <c r="E17" s="49">
        <v>108.05</v>
      </c>
      <c r="F17" s="49">
        <v>225.45</v>
      </c>
      <c r="G17" s="49">
        <v>352.28</v>
      </c>
      <c r="H17" s="49">
        <v>567.03</v>
      </c>
      <c r="I17" s="49">
        <v>928.43</v>
      </c>
    </row>
    <row r="18" spans="1:9" s="50" customFormat="1" ht="10.9" customHeight="1">
      <c r="A18" s="25" t="s">
        <v>136</v>
      </c>
      <c r="B18" s="49">
        <v>109.58</v>
      </c>
      <c r="C18" s="49">
        <v>28.05</v>
      </c>
      <c r="D18" s="49">
        <v>55.19</v>
      </c>
      <c r="E18" s="49">
        <v>83.39</v>
      </c>
      <c r="F18" s="49">
        <v>169.71</v>
      </c>
      <c r="G18" s="49">
        <v>248.08</v>
      </c>
      <c r="H18" s="49">
        <v>409.44</v>
      </c>
      <c r="I18" s="49">
        <v>507.7</v>
      </c>
    </row>
    <row r="19" spans="1:9" s="50" customFormat="1" ht="10.9" customHeight="1">
      <c r="A19" s="25" t="s">
        <v>137</v>
      </c>
      <c r="B19" s="49">
        <v>40.799999999999997</v>
      </c>
      <c r="C19" s="49">
        <v>2.76</v>
      </c>
      <c r="D19" s="49">
        <v>11</v>
      </c>
      <c r="E19" s="49">
        <v>24.66</v>
      </c>
      <c r="F19" s="49">
        <v>55.74</v>
      </c>
      <c r="G19" s="49">
        <v>104.21</v>
      </c>
      <c r="H19" s="49">
        <v>157.59</v>
      </c>
      <c r="I19" s="49">
        <v>420.73</v>
      </c>
    </row>
    <row r="21" spans="1:9" s="5" customFormat="1" ht="9" customHeight="1">
      <c r="A21" s="19" t="s">
        <v>12</v>
      </c>
      <c r="B21" s="20">
        <v>5426.7</v>
      </c>
      <c r="C21" s="20">
        <v>1254.07</v>
      </c>
      <c r="D21" s="20">
        <v>2389.37</v>
      </c>
      <c r="E21" s="20">
        <v>4057.19</v>
      </c>
      <c r="F21" s="20">
        <v>7232.99</v>
      </c>
      <c r="G21" s="20">
        <v>11458.81</v>
      </c>
      <c r="H21" s="20">
        <v>18060.03</v>
      </c>
      <c r="I21" s="20">
        <v>42003.12</v>
      </c>
    </row>
    <row r="22" spans="1:9" s="5" customFormat="1" ht="12" customHeight="1">
      <c r="B22" s="21"/>
      <c r="C22" s="21"/>
      <c r="D22" s="21"/>
      <c r="E22" s="21"/>
      <c r="F22" s="21"/>
      <c r="G22" s="21"/>
      <c r="H22" s="21"/>
      <c r="I22" s="21"/>
    </row>
    <row r="23" spans="1:9" s="5" customFormat="1" ht="12" customHeight="1">
      <c r="A23" s="22" t="s">
        <v>13</v>
      </c>
      <c r="B23" s="20">
        <v>5088.7</v>
      </c>
      <c r="C23" s="20">
        <v>1236.27</v>
      </c>
      <c r="D23" s="20">
        <v>2345.1999999999998</v>
      </c>
      <c r="E23" s="20">
        <v>3942.43</v>
      </c>
      <c r="F23" s="20">
        <v>6917.78</v>
      </c>
      <c r="G23" s="20">
        <v>10819.3</v>
      </c>
      <c r="H23" s="20">
        <v>16682.150000000001</v>
      </c>
      <c r="I23" s="20">
        <v>35737.32</v>
      </c>
    </row>
    <row r="24" spans="1:9" s="5" customFormat="1" ht="24" customHeight="1">
      <c r="A24" s="22" t="s">
        <v>28</v>
      </c>
      <c r="B24" s="27">
        <v>338</v>
      </c>
      <c r="C24" s="27">
        <v>17.809999999999999</v>
      </c>
      <c r="D24" s="27">
        <v>44.18</v>
      </c>
      <c r="E24" s="27">
        <v>114.77</v>
      </c>
      <c r="F24" s="27">
        <v>315.20999999999998</v>
      </c>
      <c r="G24" s="27">
        <v>639.52</v>
      </c>
      <c r="H24" s="27">
        <v>1377.88</v>
      </c>
      <c r="I24" s="27">
        <v>6265.81</v>
      </c>
    </row>
    <row r="26" spans="1:9">
      <c r="B26" s="63">
        <f>B4-B9-B13-B17</f>
        <v>4263.66</v>
      </c>
      <c r="C26" s="63">
        <f t="shared" ref="C26:I26" si="0">C4-C9-C13-C17</f>
        <v>1440.88</v>
      </c>
      <c r="D26" s="63">
        <f t="shared" si="0"/>
        <v>2230.0599999999995</v>
      </c>
      <c r="E26" s="63">
        <f t="shared" si="0"/>
        <v>3476.6799999999994</v>
      </c>
      <c r="F26" s="63">
        <f t="shared" si="0"/>
        <v>5866.4900000000007</v>
      </c>
      <c r="G26" s="63">
        <f t="shared" si="0"/>
        <v>8629.1999999999989</v>
      </c>
      <c r="H26" s="63">
        <f t="shared" si="0"/>
        <v>13121.669999999998</v>
      </c>
      <c r="I26" s="63">
        <f t="shared" si="0"/>
        <v>23805.14</v>
      </c>
    </row>
    <row r="27" spans="1:9">
      <c r="B27">
        <f>B26/B23</f>
        <v>0.83786821781594512</v>
      </c>
      <c r="C27">
        <f t="shared" ref="C27:I27" si="1">C26/C23</f>
        <v>1.1655059169922428</v>
      </c>
      <c r="D27">
        <f t="shared" si="1"/>
        <v>0.95090397407470562</v>
      </c>
      <c r="E27">
        <f t="shared" si="1"/>
        <v>0.88186220173852159</v>
      </c>
      <c r="F27">
        <f t="shared" si="1"/>
        <v>0.84803072662038992</v>
      </c>
      <c r="G27">
        <f t="shared" si="1"/>
        <v>0.79757470446332013</v>
      </c>
      <c r="H27">
        <f t="shared" si="1"/>
        <v>0.78656947695590784</v>
      </c>
      <c r="I27">
        <f t="shared" si="1"/>
        <v>0.66611430291918927</v>
      </c>
    </row>
    <row r="28" spans="1:9">
      <c r="D28" s="64">
        <f>AVERAGE(D27:H27)</f>
        <v>0.85298821677056902</v>
      </c>
      <c r="E28" s="64"/>
      <c r="F28" s="64"/>
      <c r="G28" s="64"/>
      <c r="H28" s="64"/>
    </row>
  </sheetData>
  <mergeCells count="5">
    <mergeCell ref="A1:A3"/>
    <mergeCell ref="B1:I1"/>
    <mergeCell ref="B2:B3"/>
    <mergeCell ref="C2:I2"/>
    <mergeCell ref="D28:H2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DESPESAS1.1.1</vt:lpstr>
      <vt:lpstr>RENDIMENTO2.1.1 </vt:lpstr>
      <vt:lpstr>Planilha1</vt:lpstr>
      <vt:lpstr>DESPESAS1.1.1!Area_de_impressao</vt:lpstr>
      <vt:lpstr>'RENDIMENTO2.1.1 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Paim</dc:creator>
  <cp:lastModifiedBy>Bruno Paim</cp:lastModifiedBy>
  <dcterms:created xsi:type="dcterms:W3CDTF">2025-04-30T18:20:44Z</dcterms:created>
  <dcterms:modified xsi:type="dcterms:W3CDTF">2025-04-30T19:12:28Z</dcterms:modified>
</cp:coreProperties>
</file>