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Capitulo_4_2/parametros/"/>
    </mc:Choice>
  </mc:AlternateContent>
  <xr:revisionPtr revIDLastSave="53" documentId="8_{F3B742C0-7B67-47F9-A2B7-F8B1C3634F0C}" xr6:coauthVersionLast="47" xr6:coauthVersionMax="47" xr10:uidLastSave="{E572BC49-35C6-4F57-8D04-06CD2D07AAE9}"/>
  <bookViews>
    <workbookView xWindow="-28920" yWindow="-60" windowWidth="29040" windowHeight="15720" xr2:uid="{4E217DD6-295B-42F0-ACE9-B7BE07E4851E}"/>
  </bookViews>
  <sheets>
    <sheet name="STP-202609161426569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1" l="1"/>
  <c r="AB8" i="1"/>
  <c r="M16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K166" i="1"/>
  <c r="L166" i="1"/>
  <c r="J166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L2" i="1"/>
  <c r="K2" i="1"/>
  <c r="R39" i="1"/>
  <c r="R40" i="1"/>
  <c r="R41" i="1"/>
  <c r="R38" i="1"/>
  <c r="Q38" i="1"/>
  <c r="U34" i="1"/>
  <c r="G166" i="1"/>
  <c r="C166" i="1"/>
  <c r="D166" i="1"/>
  <c r="B16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2" i="1"/>
</calcChain>
</file>

<file path=xl/sharedStrings.xml><?xml version="1.0" encoding="utf-8"?>
<sst xmlns="http://schemas.openxmlformats.org/spreadsheetml/2006/main" count="7" uniqueCount="7">
  <si>
    <t>Data</t>
  </si>
  <si>
    <t>27672 - Indicador de Custo do Crédito - ICC - Recursos Livres - Pessoas físicas - Cheque especial - % a.a.</t>
  </si>
  <si>
    <t>27684 - Indicador de Custo do Crédito - ICC - Recursos Livres - Pessoas físicas - Cartão de crédito rotativo - % a.a.</t>
  </si>
  <si>
    <t>27685 - Indicador de Custo do Crédito - ICC - Recursos Livres - Pessoas físicas - Cartão de crédito parcelado - % a.a.</t>
  </si>
  <si>
    <t>27713 - Indicador de Custo do Crédito - ICC - Recursos Direcionados - Pessoas físicas - Financiamento imobiliário com taxas de mercado - % a.a.</t>
  </si>
  <si>
    <t>27714 - Indicador de Custo do Crédito - ICC - Recursos Direcionados - Pessoas físicas - Financiamento imobiliário com taxas reguladas - % a.a.</t>
  </si>
  <si>
    <t>27715 - Indicador de Custo do Crédito - ICC - Recursos Direcionados - Pessoas físicas - Financiamento imobiliário total - % a.a.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</si>
</sst>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'STP-20260916142656941'!$G$1</c:f>
              <c:strCache>
                <c:ptCount val="1"/>
                <c:pt idx="0">
                  <c:v>27715 - Indicador de Custo do Crédito - ICC - Recursos Direcionados - Pessoas físicas - Financiamento imobiliário total - % a.a.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'STP-20260916142656941'!$A$2:$A$166</c:f>
              <c:numCache>
                <c:formatCode>mmm\-yy</c:formatCode>
                <c:ptCount val="16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  <c:pt idx="156">
                  <c:v>46023</c:v>
                </c:pt>
                <c:pt idx="157">
                  <c:v>46054</c:v>
                </c:pt>
                <c:pt idx="158">
                  <c:v>46082</c:v>
                </c:pt>
                <c:pt idx="159">
                  <c:v>46113</c:v>
                </c:pt>
                <c:pt idx="160">
                  <c:v>46143</c:v>
                </c:pt>
                <c:pt idx="161">
                  <c:v>46174</c:v>
                </c:pt>
                <c:pt idx="162">
                  <c:v>46204</c:v>
                </c:pt>
              </c:numCache>
            </c:numRef>
          </c:cat>
          <c:val>
            <c:numRef>
              <c:f>'STP-20260916142656941'!$G$2:$G$164</c:f>
              <c:numCache>
                <c:formatCode>General</c:formatCode>
                <c:ptCount val="163"/>
                <c:pt idx="0">
                  <c:v>9.14</c:v>
                </c:pt>
                <c:pt idx="1">
                  <c:v>9.08</c:v>
                </c:pt>
                <c:pt idx="2">
                  <c:v>9</c:v>
                </c:pt>
                <c:pt idx="3">
                  <c:v>8.94</c:v>
                </c:pt>
                <c:pt idx="4">
                  <c:v>8.8699999999999992</c:v>
                </c:pt>
                <c:pt idx="5">
                  <c:v>8.82</c:v>
                </c:pt>
                <c:pt idx="6">
                  <c:v>8.77</c:v>
                </c:pt>
                <c:pt idx="7">
                  <c:v>8.73</c:v>
                </c:pt>
                <c:pt idx="8">
                  <c:v>8.7200000000000006</c:v>
                </c:pt>
                <c:pt idx="9">
                  <c:v>8.69</c:v>
                </c:pt>
                <c:pt idx="10">
                  <c:v>8.69</c:v>
                </c:pt>
                <c:pt idx="11">
                  <c:v>8.69</c:v>
                </c:pt>
                <c:pt idx="12">
                  <c:v>8.7100000000000009</c:v>
                </c:pt>
                <c:pt idx="13">
                  <c:v>8.7100000000000009</c:v>
                </c:pt>
                <c:pt idx="14">
                  <c:v>8.7200000000000006</c:v>
                </c:pt>
                <c:pt idx="15">
                  <c:v>8.74</c:v>
                </c:pt>
                <c:pt idx="16">
                  <c:v>8.76</c:v>
                </c:pt>
                <c:pt idx="17">
                  <c:v>8.77</c:v>
                </c:pt>
                <c:pt idx="18">
                  <c:v>8.8000000000000007</c:v>
                </c:pt>
                <c:pt idx="19">
                  <c:v>8.82</c:v>
                </c:pt>
                <c:pt idx="20">
                  <c:v>8.84</c:v>
                </c:pt>
                <c:pt idx="21">
                  <c:v>8.86</c:v>
                </c:pt>
                <c:pt idx="22">
                  <c:v>8.8699999999999992</c:v>
                </c:pt>
                <c:pt idx="23">
                  <c:v>8.8699999999999992</c:v>
                </c:pt>
                <c:pt idx="24">
                  <c:v>8.8800000000000008</c:v>
                </c:pt>
                <c:pt idx="25">
                  <c:v>8.8800000000000008</c:v>
                </c:pt>
                <c:pt idx="26">
                  <c:v>8.9</c:v>
                </c:pt>
                <c:pt idx="27">
                  <c:v>8.91</c:v>
                </c:pt>
                <c:pt idx="28">
                  <c:v>8.93</c:v>
                </c:pt>
                <c:pt idx="29">
                  <c:v>8.9600000000000009</c:v>
                </c:pt>
                <c:pt idx="30">
                  <c:v>8.99</c:v>
                </c:pt>
                <c:pt idx="31">
                  <c:v>9.01</c:v>
                </c:pt>
                <c:pt idx="32">
                  <c:v>9.0399999999999991</c:v>
                </c:pt>
                <c:pt idx="33">
                  <c:v>9.06</c:v>
                </c:pt>
                <c:pt idx="34">
                  <c:v>9.09</c:v>
                </c:pt>
                <c:pt idx="35">
                  <c:v>9.1</c:v>
                </c:pt>
                <c:pt idx="36">
                  <c:v>9.1199999999999992</c:v>
                </c:pt>
                <c:pt idx="37">
                  <c:v>9.1300000000000008</c:v>
                </c:pt>
                <c:pt idx="38">
                  <c:v>9.17</c:v>
                </c:pt>
                <c:pt idx="39">
                  <c:v>9.19</c:v>
                </c:pt>
                <c:pt idx="40">
                  <c:v>9.2100000000000009</c:v>
                </c:pt>
                <c:pt idx="41">
                  <c:v>9.24</c:v>
                </c:pt>
                <c:pt idx="42">
                  <c:v>9.2799999999999994</c:v>
                </c:pt>
                <c:pt idx="43">
                  <c:v>9.31</c:v>
                </c:pt>
                <c:pt idx="44">
                  <c:v>9.32</c:v>
                </c:pt>
                <c:pt idx="45">
                  <c:v>9.36</c:v>
                </c:pt>
                <c:pt idx="46">
                  <c:v>9.3800000000000008</c:v>
                </c:pt>
                <c:pt idx="47">
                  <c:v>9.41</c:v>
                </c:pt>
                <c:pt idx="48">
                  <c:v>9.42</c:v>
                </c:pt>
                <c:pt idx="49">
                  <c:v>9.41</c:v>
                </c:pt>
                <c:pt idx="50">
                  <c:v>9.42</c:v>
                </c:pt>
                <c:pt idx="51">
                  <c:v>9.41</c:v>
                </c:pt>
                <c:pt idx="52">
                  <c:v>9.41</c:v>
                </c:pt>
                <c:pt idx="53">
                  <c:v>9.4</c:v>
                </c:pt>
                <c:pt idx="54">
                  <c:v>9.4</c:v>
                </c:pt>
                <c:pt idx="55">
                  <c:v>9.3699999999999992</c:v>
                </c:pt>
                <c:pt idx="56">
                  <c:v>9.36</c:v>
                </c:pt>
                <c:pt idx="57">
                  <c:v>9.35</c:v>
                </c:pt>
                <c:pt idx="58">
                  <c:v>9.33</c:v>
                </c:pt>
                <c:pt idx="59">
                  <c:v>9.32</c:v>
                </c:pt>
                <c:pt idx="60">
                  <c:v>9.2899999999999991</c:v>
                </c:pt>
                <c:pt idx="61">
                  <c:v>9.27</c:v>
                </c:pt>
                <c:pt idx="62">
                  <c:v>9.26</c:v>
                </c:pt>
                <c:pt idx="63">
                  <c:v>9.24</c:v>
                </c:pt>
                <c:pt idx="64">
                  <c:v>9.2200000000000006</c:v>
                </c:pt>
                <c:pt idx="65">
                  <c:v>9.1999999999999993</c:v>
                </c:pt>
                <c:pt idx="66">
                  <c:v>9.18</c:v>
                </c:pt>
                <c:pt idx="67">
                  <c:v>9.16</c:v>
                </c:pt>
                <c:pt idx="68">
                  <c:v>9.15</c:v>
                </c:pt>
                <c:pt idx="69">
                  <c:v>9.1199999999999992</c:v>
                </c:pt>
                <c:pt idx="70">
                  <c:v>9.1</c:v>
                </c:pt>
                <c:pt idx="71">
                  <c:v>9.07</c:v>
                </c:pt>
                <c:pt idx="72">
                  <c:v>9.06</c:v>
                </c:pt>
                <c:pt idx="73">
                  <c:v>9.0399999999999991</c:v>
                </c:pt>
                <c:pt idx="74">
                  <c:v>9.02</c:v>
                </c:pt>
                <c:pt idx="75">
                  <c:v>9</c:v>
                </c:pt>
                <c:pt idx="76">
                  <c:v>8.9700000000000006</c:v>
                </c:pt>
                <c:pt idx="77">
                  <c:v>8.9499999999999993</c:v>
                </c:pt>
                <c:pt idx="78">
                  <c:v>8.93</c:v>
                </c:pt>
                <c:pt idx="79">
                  <c:v>8.91</c:v>
                </c:pt>
                <c:pt idx="80">
                  <c:v>8.89</c:v>
                </c:pt>
                <c:pt idx="81">
                  <c:v>8.86</c:v>
                </c:pt>
                <c:pt idx="82">
                  <c:v>8.82</c:v>
                </c:pt>
                <c:pt idx="83">
                  <c:v>8.8000000000000007</c:v>
                </c:pt>
                <c:pt idx="84">
                  <c:v>8.77</c:v>
                </c:pt>
                <c:pt idx="85">
                  <c:v>8.75</c:v>
                </c:pt>
                <c:pt idx="86">
                  <c:v>8.7200000000000006</c:v>
                </c:pt>
                <c:pt idx="87">
                  <c:v>8.69</c:v>
                </c:pt>
                <c:pt idx="88">
                  <c:v>8.67</c:v>
                </c:pt>
                <c:pt idx="89">
                  <c:v>8.64</c:v>
                </c:pt>
                <c:pt idx="90">
                  <c:v>8.61</c:v>
                </c:pt>
                <c:pt idx="91">
                  <c:v>8.57</c:v>
                </c:pt>
                <c:pt idx="92">
                  <c:v>8.5299999999999994</c:v>
                </c:pt>
                <c:pt idx="93">
                  <c:v>8.5</c:v>
                </c:pt>
                <c:pt idx="94">
                  <c:v>8.4600000000000009</c:v>
                </c:pt>
                <c:pt idx="95">
                  <c:v>8.42</c:v>
                </c:pt>
                <c:pt idx="96">
                  <c:v>8.39</c:v>
                </c:pt>
                <c:pt idx="97">
                  <c:v>8.36</c:v>
                </c:pt>
                <c:pt idx="98">
                  <c:v>8.32</c:v>
                </c:pt>
                <c:pt idx="99">
                  <c:v>8.27</c:v>
                </c:pt>
                <c:pt idx="100">
                  <c:v>8.23</c:v>
                </c:pt>
                <c:pt idx="101">
                  <c:v>8.19</c:v>
                </c:pt>
                <c:pt idx="102">
                  <c:v>8.16</c:v>
                </c:pt>
                <c:pt idx="103">
                  <c:v>8.1300000000000008</c:v>
                </c:pt>
                <c:pt idx="104">
                  <c:v>8.1</c:v>
                </c:pt>
                <c:pt idx="105">
                  <c:v>8.09</c:v>
                </c:pt>
                <c:pt idx="106">
                  <c:v>8.08</c:v>
                </c:pt>
                <c:pt idx="107">
                  <c:v>8.08</c:v>
                </c:pt>
                <c:pt idx="108">
                  <c:v>8.08</c:v>
                </c:pt>
                <c:pt idx="109">
                  <c:v>8.09</c:v>
                </c:pt>
                <c:pt idx="110">
                  <c:v>8.1</c:v>
                </c:pt>
                <c:pt idx="111">
                  <c:v>8.1199999999999992</c:v>
                </c:pt>
                <c:pt idx="112">
                  <c:v>8.14</c:v>
                </c:pt>
                <c:pt idx="113">
                  <c:v>8.17</c:v>
                </c:pt>
                <c:pt idx="114">
                  <c:v>8.2100000000000009</c:v>
                </c:pt>
                <c:pt idx="115">
                  <c:v>8.25</c:v>
                </c:pt>
                <c:pt idx="116">
                  <c:v>8.2799999999999994</c:v>
                </c:pt>
                <c:pt idx="117">
                  <c:v>8.3000000000000007</c:v>
                </c:pt>
                <c:pt idx="118">
                  <c:v>8.33</c:v>
                </c:pt>
                <c:pt idx="119">
                  <c:v>8.36</c:v>
                </c:pt>
                <c:pt idx="120">
                  <c:v>8.39</c:v>
                </c:pt>
                <c:pt idx="121">
                  <c:v>8.41</c:v>
                </c:pt>
                <c:pt idx="122">
                  <c:v>8.44</c:v>
                </c:pt>
                <c:pt idx="123">
                  <c:v>8.4700000000000006</c:v>
                </c:pt>
                <c:pt idx="124">
                  <c:v>8.52</c:v>
                </c:pt>
                <c:pt idx="125">
                  <c:v>8.5500000000000007</c:v>
                </c:pt>
                <c:pt idx="126">
                  <c:v>8.59</c:v>
                </c:pt>
                <c:pt idx="127">
                  <c:v>8.6300000000000008</c:v>
                </c:pt>
                <c:pt idx="128">
                  <c:v>8.65</c:v>
                </c:pt>
                <c:pt idx="129">
                  <c:v>8.68</c:v>
                </c:pt>
                <c:pt idx="130">
                  <c:v>8.6999999999999993</c:v>
                </c:pt>
                <c:pt idx="131">
                  <c:v>8.7100000000000009</c:v>
                </c:pt>
                <c:pt idx="132">
                  <c:v>8.7200000000000006</c:v>
                </c:pt>
                <c:pt idx="133">
                  <c:v>8.73</c:v>
                </c:pt>
                <c:pt idx="134">
                  <c:v>8.74</c:v>
                </c:pt>
                <c:pt idx="135">
                  <c:v>8.76</c:v>
                </c:pt>
                <c:pt idx="136">
                  <c:v>8.7799999999999994</c:v>
                </c:pt>
                <c:pt idx="137">
                  <c:v>8.7899999999999991</c:v>
                </c:pt>
                <c:pt idx="138">
                  <c:v>8.81</c:v>
                </c:pt>
                <c:pt idx="139">
                  <c:v>8.82</c:v>
                </c:pt>
                <c:pt idx="140">
                  <c:v>8.84</c:v>
                </c:pt>
                <c:pt idx="141">
                  <c:v>8.85</c:v>
                </c:pt>
                <c:pt idx="142">
                  <c:v>8.86</c:v>
                </c:pt>
                <c:pt idx="143">
                  <c:v>8.89</c:v>
                </c:pt>
                <c:pt idx="144">
                  <c:v>8.91</c:v>
                </c:pt>
                <c:pt idx="145">
                  <c:v>8.94</c:v>
                </c:pt>
                <c:pt idx="146">
                  <c:v>8.9700000000000006</c:v>
                </c:pt>
                <c:pt idx="147">
                  <c:v>9</c:v>
                </c:pt>
                <c:pt idx="148">
                  <c:v>9.0299999999999994</c:v>
                </c:pt>
                <c:pt idx="149">
                  <c:v>9.06</c:v>
                </c:pt>
                <c:pt idx="150">
                  <c:v>9.09</c:v>
                </c:pt>
                <c:pt idx="151">
                  <c:v>9.1199999999999992</c:v>
                </c:pt>
                <c:pt idx="152">
                  <c:v>9.15</c:v>
                </c:pt>
                <c:pt idx="153">
                  <c:v>9.18</c:v>
                </c:pt>
                <c:pt idx="154">
                  <c:v>9.2100000000000009</c:v>
                </c:pt>
                <c:pt idx="155">
                  <c:v>9.24</c:v>
                </c:pt>
                <c:pt idx="156">
                  <c:v>9.26</c:v>
                </c:pt>
                <c:pt idx="157">
                  <c:v>9.2799999999999994</c:v>
                </c:pt>
                <c:pt idx="158">
                  <c:v>9.32</c:v>
                </c:pt>
                <c:pt idx="159">
                  <c:v>9.34</c:v>
                </c:pt>
                <c:pt idx="160">
                  <c:v>9.3699999999999992</c:v>
                </c:pt>
                <c:pt idx="161">
                  <c:v>9.41</c:v>
                </c:pt>
                <c:pt idx="162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4-4D64-8B96-75206476FFC6}"/>
            </c:ext>
          </c:extLst>
        </c:ser>
        <c:ser>
          <c:idx val="1"/>
          <c:order val="1"/>
          <c:tx>
            <c:strRef>
              <c:f>'STP-20260916142656941'!$I$1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'STP-20260916142656941'!$A$2:$A$166</c:f>
              <c:numCache>
                <c:formatCode>mmm\-yy</c:formatCode>
                <c:ptCount val="16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  <c:pt idx="156">
                  <c:v>46023</c:v>
                </c:pt>
                <c:pt idx="157">
                  <c:v>46054</c:v>
                </c:pt>
                <c:pt idx="158">
                  <c:v>46082</c:v>
                </c:pt>
                <c:pt idx="159">
                  <c:v>46113</c:v>
                </c:pt>
                <c:pt idx="160">
                  <c:v>46143</c:v>
                </c:pt>
                <c:pt idx="161">
                  <c:v>46174</c:v>
                </c:pt>
                <c:pt idx="162">
                  <c:v>46204</c:v>
                </c:pt>
              </c:numCache>
            </c:numRef>
          </c:cat>
          <c:val>
            <c:numRef>
              <c:f>'STP-20260916142656941'!$I$2:$I$164</c:f>
              <c:numCache>
                <c:formatCode>General</c:formatCode>
                <c:ptCount val="163"/>
                <c:pt idx="0">
                  <c:v>7.25</c:v>
                </c:pt>
                <c:pt idx="1">
                  <c:v>7.25</c:v>
                </c:pt>
                <c:pt idx="2">
                  <c:v>7.25</c:v>
                </c:pt>
                <c:pt idx="3">
                  <c:v>7.3583333333333334</c:v>
                </c:pt>
                <c:pt idx="4">
                  <c:v>7.532258064516129</c:v>
                </c:pt>
                <c:pt idx="5">
                  <c:v>8</c:v>
                </c:pt>
                <c:pt idx="6">
                  <c:v>8.3387096774193541</c:v>
                </c:pt>
                <c:pt idx="7">
                  <c:v>8.5483870967741939</c:v>
                </c:pt>
                <c:pt idx="8">
                  <c:v>9</c:v>
                </c:pt>
                <c:pt idx="9">
                  <c:v>9.3548387096774199</c:v>
                </c:pt>
                <c:pt idx="10">
                  <c:v>9.5500000000000007</c:v>
                </c:pt>
                <c:pt idx="11">
                  <c:v>10</c:v>
                </c:pt>
                <c:pt idx="12">
                  <c:v>10.258064516129032</c:v>
                </c:pt>
                <c:pt idx="13">
                  <c:v>10.517857142857142</c:v>
                </c:pt>
                <c:pt idx="14">
                  <c:v>10.75</c:v>
                </c:pt>
                <c:pt idx="15">
                  <c:v>10.983333333333333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11.016129032258064</c:v>
                </c:pt>
                <c:pt idx="22">
                  <c:v>11.25</c:v>
                </c:pt>
                <c:pt idx="23">
                  <c:v>11.701612903225806</c:v>
                </c:pt>
                <c:pt idx="24">
                  <c:v>11.911290322580646</c:v>
                </c:pt>
                <c:pt idx="25">
                  <c:v>12.25</c:v>
                </c:pt>
                <c:pt idx="26">
                  <c:v>12.685483870967742</c:v>
                </c:pt>
                <c:pt idx="27">
                  <c:v>12.766666666666667</c:v>
                </c:pt>
                <c:pt idx="28">
                  <c:v>13.25</c:v>
                </c:pt>
                <c:pt idx="29">
                  <c:v>13.7</c:v>
                </c:pt>
                <c:pt idx="30">
                  <c:v>13.78225806451613</c:v>
                </c:pt>
                <c:pt idx="31">
                  <c:v>14.25</c:v>
                </c:pt>
                <c:pt idx="32">
                  <c:v>14.25</c:v>
                </c:pt>
                <c:pt idx="33">
                  <c:v>14.25</c:v>
                </c:pt>
                <c:pt idx="34">
                  <c:v>14.25</c:v>
                </c:pt>
                <c:pt idx="35">
                  <c:v>14.25</c:v>
                </c:pt>
                <c:pt idx="36">
                  <c:v>14.25</c:v>
                </c:pt>
                <c:pt idx="37">
                  <c:v>14.25</c:v>
                </c:pt>
                <c:pt idx="38">
                  <c:v>14.25</c:v>
                </c:pt>
                <c:pt idx="39">
                  <c:v>14.25</c:v>
                </c:pt>
                <c:pt idx="40">
                  <c:v>14.25</c:v>
                </c:pt>
                <c:pt idx="41">
                  <c:v>14.25</c:v>
                </c:pt>
                <c:pt idx="42">
                  <c:v>14.25</c:v>
                </c:pt>
                <c:pt idx="43">
                  <c:v>14.25</c:v>
                </c:pt>
                <c:pt idx="44">
                  <c:v>14.25</c:v>
                </c:pt>
                <c:pt idx="45">
                  <c:v>14.153225806451612</c:v>
                </c:pt>
                <c:pt idx="46">
                  <c:v>14</c:v>
                </c:pt>
                <c:pt idx="47">
                  <c:v>13.75</c:v>
                </c:pt>
                <c:pt idx="48">
                  <c:v>13.266129032258064</c:v>
                </c:pt>
                <c:pt idx="49">
                  <c:v>12.839285714285714</c:v>
                </c:pt>
                <c:pt idx="50">
                  <c:v>12.25</c:v>
                </c:pt>
                <c:pt idx="51">
                  <c:v>11.65</c:v>
                </c:pt>
                <c:pt idx="52">
                  <c:v>11.25</c:v>
                </c:pt>
                <c:pt idx="53">
                  <c:v>10.25</c:v>
                </c:pt>
                <c:pt idx="54">
                  <c:v>10.088709677419354</c:v>
                </c:pt>
                <c:pt idx="55">
                  <c:v>9.25</c:v>
                </c:pt>
                <c:pt idx="56">
                  <c:v>8.4833333333333325</c:v>
                </c:pt>
                <c:pt idx="57">
                  <c:v>8.1048387096774199</c:v>
                </c:pt>
                <c:pt idx="58">
                  <c:v>7.5</c:v>
                </c:pt>
                <c:pt idx="59">
                  <c:v>7.096774193548387</c:v>
                </c:pt>
                <c:pt idx="60">
                  <c:v>7</c:v>
                </c:pt>
                <c:pt idx="61">
                  <c:v>6.8125</c:v>
                </c:pt>
                <c:pt idx="62">
                  <c:v>6.669354838709677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</c:v>
                </c:pt>
                <c:pt idx="80">
                  <c:v>5.8</c:v>
                </c:pt>
                <c:pt idx="81">
                  <c:v>5.4838709677419351</c:v>
                </c:pt>
                <c:pt idx="82">
                  <c:v>5</c:v>
                </c:pt>
                <c:pt idx="83">
                  <c:v>4.67741935483871</c:v>
                </c:pt>
                <c:pt idx="84">
                  <c:v>4.5</c:v>
                </c:pt>
                <c:pt idx="85">
                  <c:v>4.2931034482758621</c:v>
                </c:pt>
                <c:pt idx="86">
                  <c:v>4.040322580645161</c:v>
                </c:pt>
                <c:pt idx="87">
                  <c:v>3.75</c:v>
                </c:pt>
                <c:pt idx="88">
                  <c:v>3.1451612903225805</c:v>
                </c:pt>
                <c:pt idx="89">
                  <c:v>2.6749999999999998</c:v>
                </c:pt>
                <c:pt idx="90">
                  <c:v>2.25</c:v>
                </c:pt>
                <c:pt idx="91">
                  <c:v>2.0403225806451615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2.338709677419355</c:v>
                </c:pt>
                <c:pt idx="99">
                  <c:v>2.75</c:v>
                </c:pt>
                <c:pt idx="100">
                  <c:v>3.379032258064516</c:v>
                </c:pt>
                <c:pt idx="101">
                  <c:v>3.85</c:v>
                </c:pt>
                <c:pt idx="102">
                  <c:v>4.25</c:v>
                </c:pt>
                <c:pt idx="103">
                  <c:v>5.120967741935484</c:v>
                </c:pt>
                <c:pt idx="104">
                  <c:v>5.5166666666666666</c:v>
                </c:pt>
                <c:pt idx="105">
                  <c:v>6.443548387096774</c:v>
                </c:pt>
                <c:pt idx="106">
                  <c:v>7.75</c:v>
                </c:pt>
                <c:pt idx="107">
                  <c:v>8.862903225806452</c:v>
                </c:pt>
                <c:pt idx="108">
                  <c:v>9.25</c:v>
                </c:pt>
                <c:pt idx="109">
                  <c:v>10.642857142857142</c:v>
                </c:pt>
                <c:pt idx="110">
                  <c:v>11.233870967741936</c:v>
                </c:pt>
                <c:pt idx="111">
                  <c:v>11.75</c:v>
                </c:pt>
                <c:pt idx="112">
                  <c:v>12.620967741935484</c:v>
                </c:pt>
                <c:pt idx="113">
                  <c:v>13</c:v>
                </c:pt>
                <c:pt idx="114">
                  <c:v>13.25</c:v>
                </c:pt>
                <c:pt idx="115">
                  <c:v>13.701612903225806</c:v>
                </c:pt>
                <c:pt idx="116">
                  <c:v>13.75</c:v>
                </c:pt>
                <c:pt idx="117">
                  <c:v>13.75</c:v>
                </c:pt>
                <c:pt idx="118">
                  <c:v>13.75</c:v>
                </c:pt>
                <c:pt idx="119">
                  <c:v>13.75</c:v>
                </c:pt>
                <c:pt idx="120">
                  <c:v>13.75</c:v>
                </c:pt>
                <c:pt idx="121">
                  <c:v>13.75</c:v>
                </c:pt>
                <c:pt idx="122">
                  <c:v>13.75</c:v>
                </c:pt>
                <c:pt idx="123">
                  <c:v>13.75</c:v>
                </c:pt>
                <c:pt idx="124">
                  <c:v>13.75</c:v>
                </c:pt>
                <c:pt idx="125">
                  <c:v>13.75</c:v>
                </c:pt>
                <c:pt idx="126">
                  <c:v>13.75</c:v>
                </c:pt>
                <c:pt idx="127">
                  <c:v>13.28225806451613</c:v>
                </c:pt>
                <c:pt idx="128">
                  <c:v>13.083333333333334</c:v>
                </c:pt>
                <c:pt idx="129">
                  <c:v>12.75</c:v>
                </c:pt>
                <c:pt idx="130">
                  <c:v>12.266666666666667</c:v>
                </c:pt>
                <c:pt idx="131">
                  <c:v>11.959677419354838</c:v>
                </c:pt>
                <c:pt idx="132">
                  <c:v>11.75</c:v>
                </c:pt>
                <c:pt idx="133">
                  <c:v>11.25</c:v>
                </c:pt>
                <c:pt idx="134">
                  <c:v>11.07258064516129</c:v>
                </c:pt>
                <c:pt idx="135">
                  <c:v>10.75</c:v>
                </c:pt>
                <c:pt idx="136">
                  <c:v>10.564516129032258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10.6</c:v>
                </c:pt>
                <c:pt idx="141">
                  <c:v>10.75</c:v>
                </c:pt>
                <c:pt idx="142">
                  <c:v>11.15</c:v>
                </c:pt>
                <c:pt idx="143">
                  <c:v>11.89516129032258</c:v>
                </c:pt>
                <c:pt idx="144">
                  <c:v>12.314516129032258</c:v>
                </c:pt>
                <c:pt idx="145">
                  <c:v>13.25</c:v>
                </c:pt>
                <c:pt idx="146">
                  <c:v>13.637096774193548</c:v>
                </c:pt>
                <c:pt idx="147">
                  <c:v>14.25</c:v>
                </c:pt>
                <c:pt idx="148">
                  <c:v>14.637096774193548</c:v>
                </c:pt>
                <c:pt idx="149">
                  <c:v>14.85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14.89516129032258</c:v>
                </c:pt>
                <c:pt idx="159">
                  <c:v>14.741666666666667</c:v>
                </c:pt>
                <c:pt idx="160">
                  <c:v>14.5</c:v>
                </c:pt>
                <c:pt idx="161">
                  <c:v>14.391666666666667</c:v>
                </c:pt>
                <c:pt idx="162">
                  <c:v>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4-4D64-8B96-75206476F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085008"/>
        <c:axId val="52100496"/>
      </c:lineChart>
      <c:dateAx>
        <c:axId val="275085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00496"/>
        <c:crosses val="autoZero"/>
        <c:auto val="1"/>
        <c:lblOffset val="100"/>
        <c:baseTimeUnit val="months"/>
      </c:dateAx>
      <c:valAx>
        <c:axId val="521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50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'STP-20260916142656941'!$C$1</c:f>
              <c:strCache>
                <c:ptCount val="1"/>
                <c:pt idx="0">
                  <c:v>27684 - Indicador de Custo do Crédito - ICC - Recursos Livres - Pessoas físicas - Cartão de crédito rotativo - % a.a.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'STP-20260916142656941'!$A$2:$A$166</c:f>
              <c:numCache>
                <c:formatCode>mmm\-yy</c:formatCode>
                <c:ptCount val="16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  <c:pt idx="156">
                  <c:v>46023</c:v>
                </c:pt>
                <c:pt idx="157">
                  <c:v>46054</c:v>
                </c:pt>
                <c:pt idx="158">
                  <c:v>46082</c:v>
                </c:pt>
                <c:pt idx="159">
                  <c:v>46113</c:v>
                </c:pt>
                <c:pt idx="160">
                  <c:v>46143</c:v>
                </c:pt>
                <c:pt idx="161">
                  <c:v>46174</c:v>
                </c:pt>
                <c:pt idx="162">
                  <c:v>46204</c:v>
                </c:pt>
              </c:numCache>
            </c:numRef>
          </c:cat>
          <c:val>
            <c:numRef>
              <c:f>'STP-20260916142656941'!$C$2:$C$166</c:f>
              <c:numCache>
                <c:formatCode>General</c:formatCode>
                <c:ptCount val="165"/>
                <c:pt idx="0">
                  <c:v>250.18</c:v>
                </c:pt>
                <c:pt idx="1">
                  <c:v>254.45</c:v>
                </c:pt>
                <c:pt idx="2">
                  <c:v>252.63</c:v>
                </c:pt>
                <c:pt idx="3">
                  <c:v>254.85</c:v>
                </c:pt>
                <c:pt idx="4">
                  <c:v>254.53</c:v>
                </c:pt>
                <c:pt idx="5">
                  <c:v>255.35</c:v>
                </c:pt>
                <c:pt idx="6">
                  <c:v>260.52</c:v>
                </c:pt>
                <c:pt idx="7">
                  <c:v>260.74</c:v>
                </c:pt>
                <c:pt idx="8">
                  <c:v>263.23</c:v>
                </c:pt>
                <c:pt idx="9">
                  <c:v>267.23</c:v>
                </c:pt>
                <c:pt idx="10">
                  <c:v>272.64</c:v>
                </c:pt>
                <c:pt idx="11">
                  <c:v>285.95</c:v>
                </c:pt>
                <c:pt idx="12">
                  <c:v>282.22000000000003</c:v>
                </c:pt>
                <c:pt idx="13">
                  <c:v>292.85000000000002</c:v>
                </c:pt>
                <c:pt idx="14">
                  <c:v>290.64</c:v>
                </c:pt>
                <c:pt idx="15">
                  <c:v>277.44</c:v>
                </c:pt>
                <c:pt idx="16">
                  <c:v>280.27</c:v>
                </c:pt>
                <c:pt idx="17">
                  <c:v>286.08</c:v>
                </c:pt>
                <c:pt idx="18">
                  <c:v>285.81</c:v>
                </c:pt>
                <c:pt idx="19">
                  <c:v>293.26</c:v>
                </c:pt>
                <c:pt idx="20">
                  <c:v>284.51</c:v>
                </c:pt>
                <c:pt idx="21">
                  <c:v>300.66000000000003</c:v>
                </c:pt>
                <c:pt idx="22">
                  <c:v>312.83</c:v>
                </c:pt>
                <c:pt idx="23">
                  <c:v>320.55</c:v>
                </c:pt>
                <c:pt idx="24">
                  <c:v>326.74</c:v>
                </c:pt>
                <c:pt idx="25">
                  <c:v>333.69</c:v>
                </c:pt>
                <c:pt idx="26">
                  <c:v>335.58</c:v>
                </c:pt>
                <c:pt idx="27">
                  <c:v>335.99</c:v>
                </c:pt>
                <c:pt idx="28">
                  <c:v>355.11</c:v>
                </c:pt>
                <c:pt idx="29">
                  <c:v>376.25</c:v>
                </c:pt>
                <c:pt idx="30">
                  <c:v>398.09</c:v>
                </c:pt>
                <c:pt idx="31">
                  <c:v>401.41</c:v>
                </c:pt>
                <c:pt idx="32">
                  <c:v>414.97</c:v>
                </c:pt>
                <c:pt idx="33">
                  <c:v>399.97</c:v>
                </c:pt>
                <c:pt idx="34">
                  <c:v>422.49</c:v>
                </c:pt>
                <c:pt idx="35">
                  <c:v>430.83</c:v>
                </c:pt>
                <c:pt idx="36">
                  <c:v>447.78</c:v>
                </c:pt>
                <c:pt idx="37">
                  <c:v>454.3</c:v>
                </c:pt>
                <c:pt idx="38">
                  <c:v>457.87</c:v>
                </c:pt>
                <c:pt idx="39">
                  <c:v>463.14</c:v>
                </c:pt>
                <c:pt idx="40">
                  <c:v>474.71</c:v>
                </c:pt>
                <c:pt idx="41">
                  <c:v>470.62</c:v>
                </c:pt>
                <c:pt idx="42">
                  <c:v>469.76</c:v>
                </c:pt>
                <c:pt idx="43">
                  <c:v>482.74</c:v>
                </c:pt>
                <c:pt idx="44">
                  <c:v>491.25</c:v>
                </c:pt>
                <c:pt idx="45">
                  <c:v>483.97</c:v>
                </c:pt>
                <c:pt idx="46">
                  <c:v>494.82</c:v>
                </c:pt>
                <c:pt idx="47">
                  <c:v>497.73</c:v>
                </c:pt>
                <c:pt idx="48">
                  <c:v>497.5</c:v>
                </c:pt>
                <c:pt idx="49">
                  <c:v>487.77</c:v>
                </c:pt>
                <c:pt idx="50">
                  <c:v>490.33</c:v>
                </c:pt>
                <c:pt idx="51">
                  <c:v>424.36</c:v>
                </c:pt>
                <c:pt idx="52">
                  <c:v>358.76</c:v>
                </c:pt>
                <c:pt idx="53">
                  <c:v>383.16</c:v>
                </c:pt>
                <c:pt idx="54">
                  <c:v>424.87</c:v>
                </c:pt>
                <c:pt idx="55">
                  <c:v>428.02</c:v>
                </c:pt>
                <c:pt idx="56">
                  <c:v>348.73</c:v>
                </c:pt>
                <c:pt idx="57">
                  <c:v>354.88</c:v>
                </c:pt>
                <c:pt idx="58">
                  <c:v>359.17</c:v>
                </c:pt>
                <c:pt idx="59">
                  <c:v>352.7</c:v>
                </c:pt>
                <c:pt idx="60">
                  <c:v>341.8</c:v>
                </c:pt>
                <c:pt idx="61">
                  <c:v>347.13</c:v>
                </c:pt>
                <c:pt idx="62">
                  <c:v>348.59</c:v>
                </c:pt>
                <c:pt idx="63">
                  <c:v>349.69</c:v>
                </c:pt>
                <c:pt idx="64">
                  <c:v>315.35000000000002</c:v>
                </c:pt>
                <c:pt idx="65">
                  <c:v>297.91000000000003</c:v>
                </c:pt>
                <c:pt idx="66">
                  <c:v>279.97000000000003</c:v>
                </c:pt>
                <c:pt idx="67">
                  <c:v>283.38</c:v>
                </c:pt>
                <c:pt idx="68">
                  <c:v>284.22000000000003</c:v>
                </c:pt>
                <c:pt idx="69">
                  <c:v>282.56</c:v>
                </c:pt>
                <c:pt idx="70">
                  <c:v>288.37</c:v>
                </c:pt>
                <c:pt idx="71">
                  <c:v>292.86</c:v>
                </c:pt>
                <c:pt idx="72">
                  <c:v>288.58</c:v>
                </c:pt>
                <c:pt idx="73">
                  <c:v>297.11</c:v>
                </c:pt>
                <c:pt idx="74">
                  <c:v>301.08</c:v>
                </c:pt>
                <c:pt idx="75">
                  <c:v>298.17</c:v>
                </c:pt>
                <c:pt idx="76">
                  <c:v>299.81</c:v>
                </c:pt>
                <c:pt idx="77">
                  <c:v>300.56</c:v>
                </c:pt>
                <c:pt idx="78">
                  <c:v>300.41000000000003</c:v>
                </c:pt>
                <c:pt idx="79">
                  <c:v>306.20999999999998</c:v>
                </c:pt>
                <c:pt idx="80">
                  <c:v>306.99</c:v>
                </c:pt>
                <c:pt idx="81">
                  <c:v>315.48</c:v>
                </c:pt>
                <c:pt idx="82">
                  <c:v>315.93</c:v>
                </c:pt>
                <c:pt idx="83">
                  <c:v>316.91000000000003</c:v>
                </c:pt>
                <c:pt idx="84">
                  <c:v>314.58999999999997</c:v>
                </c:pt>
                <c:pt idx="85">
                  <c:v>321.67</c:v>
                </c:pt>
                <c:pt idx="86">
                  <c:v>327.26</c:v>
                </c:pt>
                <c:pt idx="87">
                  <c:v>313.45999999999998</c:v>
                </c:pt>
                <c:pt idx="88">
                  <c:v>302.5</c:v>
                </c:pt>
                <c:pt idx="89">
                  <c:v>288.19</c:v>
                </c:pt>
                <c:pt idx="90">
                  <c:v>307.94</c:v>
                </c:pt>
                <c:pt idx="91">
                  <c:v>305.64999999999998</c:v>
                </c:pt>
                <c:pt idx="92">
                  <c:v>306.98</c:v>
                </c:pt>
                <c:pt idx="93">
                  <c:v>314.92</c:v>
                </c:pt>
                <c:pt idx="94">
                  <c:v>320.75</c:v>
                </c:pt>
                <c:pt idx="95">
                  <c:v>328.18</c:v>
                </c:pt>
                <c:pt idx="96">
                  <c:v>329.71</c:v>
                </c:pt>
                <c:pt idx="97">
                  <c:v>327.04000000000002</c:v>
                </c:pt>
                <c:pt idx="98">
                  <c:v>335.85</c:v>
                </c:pt>
                <c:pt idx="99">
                  <c:v>336.42</c:v>
                </c:pt>
                <c:pt idx="100">
                  <c:v>329.92</c:v>
                </c:pt>
                <c:pt idx="101">
                  <c:v>329.1</c:v>
                </c:pt>
                <c:pt idx="102">
                  <c:v>331.17</c:v>
                </c:pt>
                <c:pt idx="103">
                  <c:v>335.46</c:v>
                </c:pt>
                <c:pt idx="104">
                  <c:v>338.68</c:v>
                </c:pt>
                <c:pt idx="105">
                  <c:v>342.22</c:v>
                </c:pt>
                <c:pt idx="106">
                  <c:v>343.71</c:v>
                </c:pt>
                <c:pt idx="107">
                  <c:v>347.38</c:v>
                </c:pt>
                <c:pt idx="108">
                  <c:v>346.28</c:v>
                </c:pt>
                <c:pt idx="109">
                  <c:v>355.19</c:v>
                </c:pt>
                <c:pt idx="110">
                  <c:v>359.07</c:v>
                </c:pt>
                <c:pt idx="111">
                  <c:v>363.97</c:v>
                </c:pt>
                <c:pt idx="112">
                  <c:v>368.84</c:v>
                </c:pt>
                <c:pt idx="113">
                  <c:v>370.35</c:v>
                </c:pt>
                <c:pt idx="114">
                  <c:v>394.93</c:v>
                </c:pt>
                <c:pt idx="115">
                  <c:v>399.61</c:v>
                </c:pt>
                <c:pt idx="116">
                  <c:v>390.87</c:v>
                </c:pt>
                <c:pt idx="117">
                  <c:v>409.49</c:v>
                </c:pt>
                <c:pt idx="118">
                  <c:v>396.3</c:v>
                </c:pt>
                <c:pt idx="119">
                  <c:v>411.93</c:v>
                </c:pt>
                <c:pt idx="120">
                  <c:v>415.69</c:v>
                </c:pt>
                <c:pt idx="121">
                  <c:v>420.42</c:v>
                </c:pt>
                <c:pt idx="122">
                  <c:v>433.33</c:v>
                </c:pt>
                <c:pt idx="123">
                  <c:v>447.33</c:v>
                </c:pt>
                <c:pt idx="124">
                  <c:v>453.97</c:v>
                </c:pt>
                <c:pt idx="125">
                  <c:v>435.84</c:v>
                </c:pt>
                <c:pt idx="126">
                  <c:v>441.33</c:v>
                </c:pt>
                <c:pt idx="127">
                  <c:v>445.51</c:v>
                </c:pt>
                <c:pt idx="128">
                  <c:v>441.11</c:v>
                </c:pt>
                <c:pt idx="129">
                  <c:v>444.92</c:v>
                </c:pt>
                <c:pt idx="130">
                  <c:v>434.84</c:v>
                </c:pt>
                <c:pt idx="131">
                  <c:v>442.1</c:v>
                </c:pt>
                <c:pt idx="132">
                  <c:v>419.18</c:v>
                </c:pt>
                <c:pt idx="133">
                  <c:v>412.05</c:v>
                </c:pt>
                <c:pt idx="134">
                  <c:v>421.27</c:v>
                </c:pt>
                <c:pt idx="135">
                  <c:v>423.44</c:v>
                </c:pt>
                <c:pt idx="136">
                  <c:v>422.41</c:v>
                </c:pt>
                <c:pt idx="137">
                  <c:v>428.68</c:v>
                </c:pt>
                <c:pt idx="138">
                  <c:v>432.19</c:v>
                </c:pt>
                <c:pt idx="139">
                  <c:v>426.9</c:v>
                </c:pt>
                <c:pt idx="140">
                  <c:v>438.42</c:v>
                </c:pt>
                <c:pt idx="141">
                  <c:v>438.92</c:v>
                </c:pt>
                <c:pt idx="142">
                  <c:v>445.9</c:v>
                </c:pt>
                <c:pt idx="143">
                  <c:v>451.6</c:v>
                </c:pt>
                <c:pt idx="144">
                  <c:v>450.74</c:v>
                </c:pt>
                <c:pt idx="145">
                  <c:v>455.66</c:v>
                </c:pt>
                <c:pt idx="146">
                  <c:v>457.48</c:v>
                </c:pt>
                <c:pt idx="147">
                  <c:v>456.94</c:v>
                </c:pt>
                <c:pt idx="148">
                  <c:v>459.84</c:v>
                </c:pt>
                <c:pt idx="149">
                  <c:v>454.19</c:v>
                </c:pt>
                <c:pt idx="150">
                  <c:v>452.67</c:v>
                </c:pt>
                <c:pt idx="151">
                  <c:v>453.64</c:v>
                </c:pt>
                <c:pt idx="152">
                  <c:v>448.06</c:v>
                </c:pt>
                <c:pt idx="153">
                  <c:v>447.09</c:v>
                </c:pt>
                <c:pt idx="154">
                  <c:v>448.37</c:v>
                </c:pt>
                <c:pt idx="155">
                  <c:v>442.41</c:v>
                </c:pt>
                <c:pt idx="156">
                  <c:v>429.42</c:v>
                </c:pt>
                <c:pt idx="157">
                  <c:v>442.26</c:v>
                </c:pt>
                <c:pt idx="158">
                  <c:v>433.06</c:v>
                </c:pt>
                <c:pt idx="159">
                  <c:v>431.97</c:v>
                </c:pt>
                <c:pt idx="160">
                  <c:v>440.38</c:v>
                </c:pt>
                <c:pt idx="161">
                  <c:v>442.44</c:v>
                </c:pt>
                <c:pt idx="162">
                  <c:v>436.15</c:v>
                </c:pt>
                <c:pt idx="164">
                  <c:v>367.42673076923074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E-48D9-B83A-7050076C1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53920"/>
        <c:axId val="52167696"/>
      </c:lineChart>
      <c:lineChart>
        <c:grouping val="standard"/>
        <c:varyColors val="0"/>
        <c:ser>
          <c:idx val="1"/>
          <c:order val="1"/>
          <c:tx>
            <c:strRef>
              <c:f>'STP-20260916142656941'!$I$1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'STP-20260916142656941'!$A$2:$A$166</c:f>
              <c:numCache>
                <c:formatCode>mmm\-yy</c:formatCode>
                <c:ptCount val="16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  <c:pt idx="156">
                  <c:v>46023</c:v>
                </c:pt>
                <c:pt idx="157">
                  <c:v>46054</c:v>
                </c:pt>
                <c:pt idx="158">
                  <c:v>46082</c:v>
                </c:pt>
                <c:pt idx="159">
                  <c:v>46113</c:v>
                </c:pt>
                <c:pt idx="160">
                  <c:v>46143</c:v>
                </c:pt>
                <c:pt idx="161">
                  <c:v>46174</c:v>
                </c:pt>
                <c:pt idx="162">
                  <c:v>46204</c:v>
                </c:pt>
              </c:numCache>
            </c:numRef>
          </c:cat>
          <c:val>
            <c:numRef>
              <c:f>'STP-20260916142656941'!$I$2:$I$166</c:f>
              <c:numCache>
                <c:formatCode>General</c:formatCode>
                <c:ptCount val="165"/>
                <c:pt idx="0">
                  <c:v>7.25</c:v>
                </c:pt>
                <c:pt idx="1">
                  <c:v>7.25</c:v>
                </c:pt>
                <c:pt idx="2">
                  <c:v>7.25</c:v>
                </c:pt>
                <c:pt idx="3">
                  <c:v>7.3583333333333334</c:v>
                </c:pt>
                <c:pt idx="4">
                  <c:v>7.532258064516129</c:v>
                </c:pt>
                <c:pt idx="5">
                  <c:v>8</c:v>
                </c:pt>
                <c:pt idx="6">
                  <c:v>8.3387096774193541</c:v>
                </c:pt>
                <c:pt idx="7">
                  <c:v>8.5483870967741939</c:v>
                </c:pt>
                <c:pt idx="8">
                  <c:v>9</c:v>
                </c:pt>
                <c:pt idx="9">
                  <c:v>9.3548387096774199</c:v>
                </c:pt>
                <c:pt idx="10">
                  <c:v>9.5500000000000007</c:v>
                </c:pt>
                <c:pt idx="11">
                  <c:v>10</c:v>
                </c:pt>
                <c:pt idx="12">
                  <c:v>10.258064516129032</c:v>
                </c:pt>
                <c:pt idx="13">
                  <c:v>10.517857142857142</c:v>
                </c:pt>
                <c:pt idx="14">
                  <c:v>10.75</c:v>
                </c:pt>
                <c:pt idx="15">
                  <c:v>10.983333333333333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11.016129032258064</c:v>
                </c:pt>
                <c:pt idx="22">
                  <c:v>11.25</c:v>
                </c:pt>
                <c:pt idx="23">
                  <c:v>11.701612903225806</c:v>
                </c:pt>
                <c:pt idx="24">
                  <c:v>11.911290322580646</c:v>
                </c:pt>
                <c:pt idx="25">
                  <c:v>12.25</c:v>
                </c:pt>
                <c:pt idx="26">
                  <c:v>12.685483870967742</c:v>
                </c:pt>
                <c:pt idx="27">
                  <c:v>12.766666666666667</c:v>
                </c:pt>
                <c:pt idx="28">
                  <c:v>13.25</c:v>
                </c:pt>
                <c:pt idx="29">
                  <c:v>13.7</c:v>
                </c:pt>
                <c:pt idx="30">
                  <c:v>13.78225806451613</c:v>
                </c:pt>
                <c:pt idx="31">
                  <c:v>14.25</c:v>
                </c:pt>
                <c:pt idx="32">
                  <c:v>14.25</c:v>
                </c:pt>
                <c:pt idx="33">
                  <c:v>14.25</c:v>
                </c:pt>
                <c:pt idx="34">
                  <c:v>14.25</c:v>
                </c:pt>
                <c:pt idx="35">
                  <c:v>14.25</c:v>
                </c:pt>
                <c:pt idx="36">
                  <c:v>14.25</c:v>
                </c:pt>
                <c:pt idx="37">
                  <c:v>14.25</c:v>
                </c:pt>
                <c:pt idx="38">
                  <c:v>14.25</c:v>
                </c:pt>
                <c:pt idx="39">
                  <c:v>14.25</c:v>
                </c:pt>
                <c:pt idx="40">
                  <c:v>14.25</c:v>
                </c:pt>
                <c:pt idx="41">
                  <c:v>14.25</c:v>
                </c:pt>
                <c:pt idx="42">
                  <c:v>14.25</c:v>
                </c:pt>
                <c:pt idx="43">
                  <c:v>14.25</c:v>
                </c:pt>
                <c:pt idx="44">
                  <c:v>14.25</c:v>
                </c:pt>
                <c:pt idx="45">
                  <c:v>14.153225806451612</c:v>
                </c:pt>
                <c:pt idx="46">
                  <c:v>14</c:v>
                </c:pt>
                <c:pt idx="47">
                  <c:v>13.75</c:v>
                </c:pt>
                <c:pt idx="48">
                  <c:v>13.266129032258064</c:v>
                </c:pt>
                <c:pt idx="49">
                  <c:v>12.839285714285714</c:v>
                </c:pt>
                <c:pt idx="50">
                  <c:v>12.25</c:v>
                </c:pt>
                <c:pt idx="51">
                  <c:v>11.65</c:v>
                </c:pt>
                <c:pt idx="52">
                  <c:v>11.25</c:v>
                </c:pt>
                <c:pt idx="53">
                  <c:v>10.25</c:v>
                </c:pt>
                <c:pt idx="54">
                  <c:v>10.088709677419354</c:v>
                </c:pt>
                <c:pt idx="55">
                  <c:v>9.25</c:v>
                </c:pt>
                <c:pt idx="56">
                  <c:v>8.4833333333333325</c:v>
                </c:pt>
                <c:pt idx="57">
                  <c:v>8.1048387096774199</c:v>
                </c:pt>
                <c:pt idx="58">
                  <c:v>7.5</c:v>
                </c:pt>
                <c:pt idx="59">
                  <c:v>7.096774193548387</c:v>
                </c:pt>
                <c:pt idx="60">
                  <c:v>7</c:v>
                </c:pt>
                <c:pt idx="61">
                  <c:v>6.8125</c:v>
                </c:pt>
                <c:pt idx="62">
                  <c:v>6.669354838709677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</c:v>
                </c:pt>
                <c:pt idx="80">
                  <c:v>5.8</c:v>
                </c:pt>
                <c:pt idx="81">
                  <c:v>5.4838709677419351</c:v>
                </c:pt>
                <c:pt idx="82">
                  <c:v>5</c:v>
                </c:pt>
                <c:pt idx="83">
                  <c:v>4.67741935483871</c:v>
                </c:pt>
                <c:pt idx="84">
                  <c:v>4.5</c:v>
                </c:pt>
                <c:pt idx="85">
                  <c:v>4.2931034482758621</c:v>
                </c:pt>
                <c:pt idx="86">
                  <c:v>4.040322580645161</c:v>
                </c:pt>
                <c:pt idx="87">
                  <c:v>3.75</c:v>
                </c:pt>
                <c:pt idx="88">
                  <c:v>3.1451612903225805</c:v>
                </c:pt>
                <c:pt idx="89">
                  <c:v>2.6749999999999998</c:v>
                </c:pt>
                <c:pt idx="90">
                  <c:v>2.25</c:v>
                </c:pt>
                <c:pt idx="91">
                  <c:v>2.0403225806451615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2.338709677419355</c:v>
                </c:pt>
                <c:pt idx="99">
                  <c:v>2.75</c:v>
                </c:pt>
                <c:pt idx="100">
                  <c:v>3.379032258064516</c:v>
                </c:pt>
                <c:pt idx="101">
                  <c:v>3.85</c:v>
                </c:pt>
                <c:pt idx="102">
                  <c:v>4.25</c:v>
                </c:pt>
                <c:pt idx="103">
                  <c:v>5.120967741935484</c:v>
                </c:pt>
                <c:pt idx="104">
                  <c:v>5.5166666666666666</c:v>
                </c:pt>
                <c:pt idx="105">
                  <c:v>6.443548387096774</c:v>
                </c:pt>
                <c:pt idx="106">
                  <c:v>7.75</c:v>
                </c:pt>
                <c:pt idx="107">
                  <c:v>8.862903225806452</c:v>
                </c:pt>
                <c:pt idx="108">
                  <c:v>9.25</c:v>
                </c:pt>
                <c:pt idx="109">
                  <c:v>10.642857142857142</c:v>
                </c:pt>
                <c:pt idx="110">
                  <c:v>11.233870967741936</c:v>
                </c:pt>
                <c:pt idx="111">
                  <c:v>11.75</c:v>
                </c:pt>
                <c:pt idx="112">
                  <c:v>12.620967741935484</c:v>
                </c:pt>
                <c:pt idx="113">
                  <c:v>13</c:v>
                </c:pt>
                <c:pt idx="114">
                  <c:v>13.25</c:v>
                </c:pt>
                <c:pt idx="115">
                  <c:v>13.701612903225806</c:v>
                </c:pt>
                <c:pt idx="116">
                  <c:v>13.75</c:v>
                </c:pt>
                <c:pt idx="117">
                  <c:v>13.75</c:v>
                </c:pt>
                <c:pt idx="118">
                  <c:v>13.75</c:v>
                </c:pt>
                <c:pt idx="119">
                  <c:v>13.75</c:v>
                </c:pt>
                <c:pt idx="120">
                  <c:v>13.75</c:v>
                </c:pt>
                <c:pt idx="121">
                  <c:v>13.75</c:v>
                </c:pt>
                <c:pt idx="122">
                  <c:v>13.75</c:v>
                </c:pt>
                <c:pt idx="123">
                  <c:v>13.75</c:v>
                </c:pt>
                <c:pt idx="124">
                  <c:v>13.75</c:v>
                </c:pt>
                <c:pt idx="125">
                  <c:v>13.75</c:v>
                </c:pt>
                <c:pt idx="126">
                  <c:v>13.75</c:v>
                </c:pt>
                <c:pt idx="127">
                  <c:v>13.28225806451613</c:v>
                </c:pt>
                <c:pt idx="128">
                  <c:v>13.083333333333334</c:v>
                </c:pt>
                <c:pt idx="129">
                  <c:v>12.75</c:v>
                </c:pt>
                <c:pt idx="130">
                  <c:v>12.266666666666667</c:v>
                </c:pt>
                <c:pt idx="131">
                  <c:v>11.959677419354838</c:v>
                </c:pt>
                <c:pt idx="132">
                  <c:v>11.75</c:v>
                </c:pt>
                <c:pt idx="133">
                  <c:v>11.25</c:v>
                </c:pt>
                <c:pt idx="134">
                  <c:v>11.07258064516129</c:v>
                </c:pt>
                <c:pt idx="135">
                  <c:v>10.75</c:v>
                </c:pt>
                <c:pt idx="136">
                  <c:v>10.564516129032258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10.6</c:v>
                </c:pt>
                <c:pt idx="141">
                  <c:v>10.75</c:v>
                </c:pt>
                <c:pt idx="142">
                  <c:v>11.15</c:v>
                </c:pt>
                <c:pt idx="143">
                  <c:v>11.89516129032258</c:v>
                </c:pt>
                <c:pt idx="144">
                  <c:v>12.314516129032258</c:v>
                </c:pt>
                <c:pt idx="145">
                  <c:v>13.25</c:v>
                </c:pt>
                <c:pt idx="146">
                  <c:v>13.637096774193548</c:v>
                </c:pt>
                <c:pt idx="147">
                  <c:v>14.25</c:v>
                </c:pt>
                <c:pt idx="148">
                  <c:v>14.637096774193548</c:v>
                </c:pt>
                <c:pt idx="149">
                  <c:v>14.85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14.89516129032258</c:v>
                </c:pt>
                <c:pt idx="159">
                  <c:v>14.741666666666667</c:v>
                </c:pt>
                <c:pt idx="160">
                  <c:v>14.5</c:v>
                </c:pt>
                <c:pt idx="161">
                  <c:v>14.391666666666667</c:v>
                </c:pt>
                <c:pt idx="162">
                  <c:v>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E-48D9-B83A-7050076C1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18064"/>
        <c:axId val="52140816"/>
      </c:lineChart>
      <c:dateAx>
        <c:axId val="275053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67696"/>
        <c:crosses val="autoZero"/>
        <c:auto val="1"/>
        <c:lblOffset val="100"/>
        <c:baseTimeUnit val="months"/>
      </c:dateAx>
      <c:valAx>
        <c:axId val="521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5053920"/>
        <c:crosses val="autoZero"/>
        <c:crossBetween val="between"/>
      </c:valAx>
      <c:valAx>
        <c:axId val="52140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618064"/>
        <c:crosses val="max"/>
        <c:crossBetween val="between"/>
      </c:valAx>
      <c:dateAx>
        <c:axId val="8861806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214081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'STP-20260916142656941'!$A$1:$A$166</c:f>
              <c:strCache>
                <c:ptCount val="164"/>
                <c:pt idx="0">
                  <c:v>Data</c:v>
                </c:pt>
                <c:pt idx="1">
                  <c:v>jan/13</c:v>
                </c:pt>
                <c:pt idx="2">
                  <c:v>fev/13</c:v>
                </c:pt>
                <c:pt idx="3">
                  <c:v>mar/13</c:v>
                </c:pt>
                <c:pt idx="4">
                  <c:v>abr/13</c:v>
                </c:pt>
                <c:pt idx="5">
                  <c:v>mai/13</c:v>
                </c:pt>
                <c:pt idx="6">
                  <c:v>jun/13</c:v>
                </c:pt>
                <c:pt idx="7">
                  <c:v>jul/13</c:v>
                </c:pt>
                <c:pt idx="8">
                  <c:v>ago/13</c:v>
                </c:pt>
                <c:pt idx="9">
                  <c:v>set/13</c:v>
                </c:pt>
                <c:pt idx="10">
                  <c:v>out/13</c:v>
                </c:pt>
                <c:pt idx="11">
                  <c:v>nov/13</c:v>
                </c:pt>
                <c:pt idx="12">
                  <c:v>dez/13</c:v>
                </c:pt>
                <c:pt idx="13">
                  <c:v>jan/14</c:v>
                </c:pt>
                <c:pt idx="14">
                  <c:v>fev/14</c:v>
                </c:pt>
                <c:pt idx="15">
                  <c:v>mar/14</c:v>
                </c:pt>
                <c:pt idx="16">
                  <c:v>abr/14</c:v>
                </c:pt>
                <c:pt idx="17">
                  <c:v>mai/14</c:v>
                </c:pt>
                <c:pt idx="18">
                  <c:v>jun/14</c:v>
                </c:pt>
                <c:pt idx="19">
                  <c:v>jul/14</c:v>
                </c:pt>
                <c:pt idx="20">
                  <c:v>ago/14</c:v>
                </c:pt>
                <c:pt idx="21">
                  <c:v>set/14</c:v>
                </c:pt>
                <c:pt idx="22">
                  <c:v>out/14</c:v>
                </c:pt>
                <c:pt idx="23">
                  <c:v>nov/14</c:v>
                </c:pt>
                <c:pt idx="24">
                  <c:v>dez/14</c:v>
                </c:pt>
                <c:pt idx="25">
                  <c:v>jan/15</c:v>
                </c:pt>
                <c:pt idx="26">
                  <c:v>fev/15</c:v>
                </c:pt>
                <c:pt idx="27">
                  <c:v>mar/15</c:v>
                </c:pt>
                <c:pt idx="28">
                  <c:v>abr/15</c:v>
                </c:pt>
                <c:pt idx="29">
                  <c:v>mai/15</c:v>
                </c:pt>
                <c:pt idx="30">
                  <c:v>jun/15</c:v>
                </c:pt>
                <c:pt idx="31">
                  <c:v>jul/15</c:v>
                </c:pt>
                <c:pt idx="32">
                  <c:v>ago/15</c:v>
                </c:pt>
                <c:pt idx="33">
                  <c:v>set/15</c:v>
                </c:pt>
                <c:pt idx="34">
                  <c:v>out/15</c:v>
                </c:pt>
                <c:pt idx="35">
                  <c:v>nov/15</c:v>
                </c:pt>
                <c:pt idx="36">
                  <c:v>dez/15</c:v>
                </c:pt>
                <c:pt idx="37">
                  <c:v>jan/16</c:v>
                </c:pt>
                <c:pt idx="38">
                  <c:v>fev/16</c:v>
                </c:pt>
                <c:pt idx="39">
                  <c:v>mar/16</c:v>
                </c:pt>
                <c:pt idx="40">
                  <c:v>abr/16</c:v>
                </c:pt>
                <c:pt idx="41">
                  <c:v>mai/16</c:v>
                </c:pt>
                <c:pt idx="42">
                  <c:v>jun/16</c:v>
                </c:pt>
                <c:pt idx="43">
                  <c:v>jul/16</c:v>
                </c:pt>
                <c:pt idx="44">
                  <c:v>ago/16</c:v>
                </c:pt>
                <c:pt idx="45">
                  <c:v>set/16</c:v>
                </c:pt>
                <c:pt idx="46">
                  <c:v>out/16</c:v>
                </c:pt>
                <c:pt idx="47">
                  <c:v>nov/16</c:v>
                </c:pt>
                <c:pt idx="48">
                  <c:v>dez/16</c:v>
                </c:pt>
                <c:pt idx="49">
                  <c:v>jan/17</c:v>
                </c:pt>
                <c:pt idx="50">
                  <c:v>fev/17</c:v>
                </c:pt>
                <c:pt idx="51">
                  <c:v>mar/17</c:v>
                </c:pt>
                <c:pt idx="52">
                  <c:v>abr/17</c:v>
                </c:pt>
                <c:pt idx="53">
                  <c:v>mai/17</c:v>
                </c:pt>
                <c:pt idx="54">
                  <c:v>jun/17</c:v>
                </c:pt>
                <c:pt idx="55">
                  <c:v>jul/17</c:v>
                </c:pt>
                <c:pt idx="56">
                  <c:v>ago/17</c:v>
                </c:pt>
                <c:pt idx="57">
                  <c:v>set/17</c:v>
                </c:pt>
                <c:pt idx="58">
                  <c:v>out/17</c:v>
                </c:pt>
                <c:pt idx="59">
                  <c:v>nov/17</c:v>
                </c:pt>
                <c:pt idx="60">
                  <c:v>dez/17</c:v>
                </c:pt>
                <c:pt idx="61">
                  <c:v>jan/18</c:v>
                </c:pt>
                <c:pt idx="62">
                  <c:v>fev/18</c:v>
                </c:pt>
                <c:pt idx="63">
                  <c:v>mar/18</c:v>
                </c:pt>
                <c:pt idx="64">
                  <c:v>abr/18</c:v>
                </c:pt>
                <c:pt idx="65">
                  <c:v>mai/18</c:v>
                </c:pt>
                <c:pt idx="66">
                  <c:v>jun/18</c:v>
                </c:pt>
                <c:pt idx="67">
                  <c:v>jul/18</c:v>
                </c:pt>
                <c:pt idx="68">
                  <c:v>ago/18</c:v>
                </c:pt>
                <c:pt idx="69">
                  <c:v>set/18</c:v>
                </c:pt>
                <c:pt idx="70">
                  <c:v>out/18</c:v>
                </c:pt>
                <c:pt idx="71">
                  <c:v>nov/18</c:v>
                </c:pt>
                <c:pt idx="72">
                  <c:v>dez/18</c:v>
                </c:pt>
                <c:pt idx="73">
                  <c:v>jan/19</c:v>
                </c:pt>
                <c:pt idx="74">
                  <c:v>fev/19</c:v>
                </c:pt>
                <c:pt idx="75">
                  <c:v>mar/19</c:v>
                </c:pt>
                <c:pt idx="76">
                  <c:v>abr/19</c:v>
                </c:pt>
                <c:pt idx="77">
                  <c:v>mai/19</c:v>
                </c:pt>
                <c:pt idx="78">
                  <c:v>jun/19</c:v>
                </c:pt>
                <c:pt idx="79">
                  <c:v>jul/19</c:v>
                </c:pt>
                <c:pt idx="80">
                  <c:v>ago/19</c:v>
                </c:pt>
                <c:pt idx="81">
                  <c:v>set/19</c:v>
                </c:pt>
                <c:pt idx="82">
                  <c:v>out/19</c:v>
                </c:pt>
                <c:pt idx="83">
                  <c:v>nov/19</c:v>
                </c:pt>
                <c:pt idx="84">
                  <c:v>dez/19</c:v>
                </c:pt>
                <c:pt idx="85">
                  <c:v>jan/20</c:v>
                </c:pt>
                <c:pt idx="86">
                  <c:v>fev/20</c:v>
                </c:pt>
                <c:pt idx="87">
                  <c:v>mar/20</c:v>
                </c:pt>
                <c:pt idx="88">
                  <c:v>abr/20</c:v>
                </c:pt>
                <c:pt idx="89">
                  <c:v>mai/20</c:v>
                </c:pt>
                <c:pt idx="90">
                  <c:v>jun/20</c:v>
                </c:pt>
                <c:pt idx="91">
                  <c:v>jul/20</c:v>
                </c:pt>
                <c:pt idx="92">
                  <c:v>ago/20</c:v>
                </c:pt>
                <c:pt idx="93">
                  <c:v>set/20</c:v>
                </c:pt>
                <c:pt idx="94">
                  <c:v>out/20</c:v>
                </c:pt>
                <c:pt idx="95">
                  <c:v>nov/20</c:v>
                </c:pt>
                <c:pt idx="96">
                  <c:v>dez/20</c:v>
                </c:pt>
                <c:pt idx="97">
                  <c:v>jan/21</c:v>
                </c:pt>
                <c:pt idx="98">
                  <c:v>fev/21</c:v>
                </c:pt>
                <c:pt idx="99">
                  <c:v>mar/21</c:v>
                </c:pt>
                <c:pt idx="100">
                  <c:v>abr/21</c:v>
                </c:pt>
                <c:pt idx="101">
                  <c:v>mai/21</c:v>
                </c:pt>
                <c:pt idx="102">
                  <c:v>jun/21</c:v>
                </c:pt>
                <c:pt idx="103">
                  <c:v>jul/21</c:v>
                </c:pt>
                <c:pt idx="104">
                  <c:v>ago/21</c:v>
                </c:pt>
                <c:pt idx="105">
                  <c:v>set/21</c:v>
                </c:pt>
                <c:pt idx="106">
                  <c:v>out/21</c:v>
                </c:pt>
                <c:pt idx="107">
                  <c:v>nov/21</c:v>
                </c:pt>
                <c:pt idx="108">
                  <c:v>dez/21</c:v>
                </c:pt>
                <c:pt idx="109">
                  <c:v>jan/22</c:v>
                </c:pt>
                <c:pt idx="110">
                  <c:v>fev/22</c:v>
                </c:pt>
                <c:pt idx="111">
                  <c:v>mar/22</c:v>
                </c:pt>
                <c:pt idx="112">
                  <c:v>abr/22</c:v>
                </c:pt>
                <c:pt idx="113">
                  <c:v>mai/22</c:v>
                </c:pt>
                <c:pt idx="114">
                  <c:v>jun/22</c:v>
                </c:pt>
                <c:pt idx="115">
                  <c:v>jul/22</c:v>
                </c:pt>
                <c:pt idx="116">
                  <c:v>ago/22</c:v>
                </c:pt>
                <c:pt idx="117">
                  <c:v>set/22</c:v>
                </c:pt>
                <c:pt idx="118">
                  <c:v>out/22</c:v>
                </c:pt>
                <c:pt idx="119">
                  <c:v>nov/22</c:v>
                </c:pt>
                <c:pt idx="120">
                  <c:v>dez/22</c:v>
                </c:pt>
                <c:pt idx="121">
                  <c:v>jan/23</c:v>
                </c:pt>
                <c:pt idx="122">
                  <c:v>fev/23</c:v>
                </c:pt>
                <c:pt idx="123">
                  <c:v>mar/23</c:v>
                </c:pt>
                <c:pt idx="124">
                  <c:v>abr/23</c:v>
                </c:pt>
                <c:pt idx="125">
                  <c:v>mai/23</c:v>
                </c:pt>
                <c:pt idx="126">
                  <c:v>jun/23</c:v>
                </c:pt>
                <c:pt idx="127">
                  <c:v>jul/23</c:v>
                </c:pt>
                <c:pt idx="128">
                  <c:v>ago/23</c:v>
                </c:pt>
                <c:pt idx="129">
                  <c:v>set/23</c:v>
                </c:pt>
                <c:pt idx="130">
                  <c:v>out/23</c:v>
                </c:pt>
                <c:pt idx="131">
                  <c:v>nov/23</c:v>
                </c:pt>
                <c:pt idx="132">
                  <c:v>dez/23</c:v>
                </c:pt>
                <c:pt idx="133">
                  <c:v>jan/24</c:v>
                </c:pt>
                <c:pt idx="134">
                  <c:v>fev/24</c:v>
                </c:pt>
                <c:pt idx="135">
                  <c:v>mar/24</c:v>
                </c:pt>
                <c:pt idx="136">
                  <c:v>abr/24</c:v>
                </c:pt>
                <c:pt idx="137">
                  <c:v>mai/24</c:v>
                </c:pt>
                <c:pt idx="138">
                  <c:v>jun/24</c:v>
                </c:pt>
                <c:pt idx="139">
                  <c:v>jul/24</c:v>
                </c:pt>
                <c:pt idx="140">
                  <c:v>ago/24</c:v>
                </c:pt>
                <c:pt idx="141">
                  <c:v>set/24</c:v>
                </c:pt>
                <c:pt idx="142">
                  <c:v>out/24</c:v>
                </c:pt>
                <c:pt idx="143">
                  <c:v>nov/24</c:v>
                </c:pt>
                <c:pt idx="144">
                  <c:v>dez/24</c:v>
                </c:pt>
                <c:pt idx="145">
                  <c:v>jan/25</c:v>
                </c:pt>
                <c:pt idx="146">
                  <c:v>fev/25</c:v>
                </c:pt>
                <c:pt idx="147">
                  <c:v>mar/25</c:v>
                </c:pt>
                <c:pt idx="148">
                  <c:v>abr/25</c:v>
                </c:pt>
                <c:pt idx="149">
                  <c:v>mai/25</c:v>
                </c:pt>
                <c:pt idx="150">
                  <c:v>jun/25</c:v>
                </c:pt>
                <c:pt idx="151">
                  <c:v>jul/25</c:v>
                </c:pt>
                <c:pt idx="152">
                  <c:v>ago/25</c:v>
                </c:pt>
                <c:pt idx="153">
                  <c:v>set/25</c:v>
                </c:pt>
                <c:pt idx="154">
                  <c:v>out/25</c:v>
                </c:pt>
                <c:pt idx="155">
                  <c:v>nov/25</c:v>
                </c:pt>
                <c:pt idx="156">
                  <c:v>dez/25</c:v>
                </c:pt>
                <c:pt idx="157">
                  <c:v>jan/26</c:v>
                </c:pt>
                <c:pt idx="158">
                  <c:v>fev/26</c:v>
                </c:pt>
                <c:pt idx="159">
                  <c:v>mar/26</c:v>
                </c:pt>
                <c:pt idx="160">
                  <c:v>abr/26</c:v>
                </c:pt>
                <c:pt idx="161">
                  <c:v>mai/26</c:v>
                </c:pt>
                <c:pt idx="162">
                  <c:v>jun/26</c:v>
                </c:pt>
                <c:pt idx="163">
                  <c:v>jul/26</c:v>
                </c:pt>
              </c:strCache>
            </c:strRef>
          </c:cat>
          <c:val>
            <c:numRef>
              <c:f>'STP-20260916142656941'!$J$1:$J$166</c:f>
              <c:numCache>
                <c:formatCode>General</c:formatCode>
                <c:ptCount val="166"/>
                <c:pt idx="1">
                  <c:v>1.2606896551724138</c:v>
                </c:pt>
                <c:pt idx="2">
                  <c:v>1.2524137931034482</c:v>
                </c:pt>
                <c:pt idx="3">
                  <c:v>1.2413793103448276</c:v>
                </c:pt>
                <c:pt idx="4">
                  <c:v>1.2149490373725933</c:v>
                </c:pt>
                <c:pt idx="5">
                  <c:v>1.1776017130620984</c:v>
                </c:pt>
                <c:pt idx="6">
                  <c:v>1.1025</c:v>
                </c:pt>
                <c:pt idx="7">
                  <c:v>1.0517214700193425</c:v>
                </c:pt>
                <c:pt idx="8">
                  <c:v>1.0212452830188679</c:v>
                </c:pt>
                <c:pt idx="9">
                  <c:v>0.96888888888888891</c:v>
                </c:pt>
                <c:pt idx="10">
                  <c:v>0.92893103448275849</c:v>
                </c:pt>
                <c:pt idx="11">
                  <c:v>0.90994764397905747</c:v>
                </c:pt>
                <c:pt idx="12">
                  <c:v>0.86899999999999999</c:v>
                </c:pt>
                <c:pt idx="13">
                  <c:v>0.84908805031446555</c:v>
                </c:pt>
                <c:pt idx="14">
                  <c:v>0.82811544991511044</c:v>
                </c:pt>
                <c:pt idx="15">
                  <c:v>0.8111627906976745</c:v>
                </c:pt>
                <c:pt idx="16">
                  <c:v>0.79575113808801223</c:v>
                </c:pt>
                <c:pt idx="17">
                  <c:v>0.79636363636363638</c:v>
                </c:pt>
                <c:pt idx="18">
                  <c:v>0.79727272727272724</c:v>
                </c:pt>
                <c:pt idx="19">
                  <c:v>0.8</c:v>
                </c:pt>
                <c:pt idx="20">
                  <c:v>0.80181818181818187</c:v>
                </c:pt>
                <c:pt idx="21">
                  <c:v>0.80363636363636359</c:v>
                </c:pt>
                <c:pt idx="22">
                  <c:v>0.80427525622254759</c:v>
                </c:pt>
                <c:pt idx="23">
                  <c:v>0.78844444444444439</c:v>
                </c:pt>
                <c:pt idx="24">
                  <c:v>0.75801516195727081</c:v>
                </c:pt>
                <c:pt idx="25">
                  <c:v>0.7455111712931618</c:v>
                </c:pt>
                <c:pt idx="26">
                  <c:v>0.7248979591836735</c:v>
                </c:pt>
                <c:pt idx="27">
                  <c:v>0.70158931977113803</c:v>
                </c:pt>
                <c:pt idx="28">
                  <c:v>0.69791122715404696</c:v>
                </c:pt>
                <c:pt idx="29">
                  <c:v>0.6739622641509434</c:v>
                </c:pt>
                <c:pt idx="30">
                  <c:v>0.6540145985401461</c:v>
                </c:pt>
                <c:pt idx="31">
                  <c:v>0.65228788765359857</c:v>
                </c:pt>
                <c:pt idx="32">
                  <c:v>0.632280701754386</c:v>
                </c:pt>
                <c:pt idx="33">
                  <c:v>0.63438596491228061</c:v>
                </c:pt>
                <c:pt idx="34">
                  <c:v>0.63578947368421057</c:v>
                </c:pt>
                <c:pt idx="35">
                  <c:v>0.63789473684210529</c:v>
                </c:pt>
                <c:pt idx="36">
                  <c:v>0.63859649122807016</c:v>
                </c:pt>
                <c:pt idx="37">
                  <c:v>0.6399999999999999</c:v>
                </c:pt>
                <c:pt idx="38">
                  <c:v>0.64070175438596499</c:v>
                </c:pt>
                <c:pt idx="39">
                  <c:v>0.64350877192982459</c:v>
                </c:pt>
                <c:pt idx="40">
                  <c:v>0.64491228070175433</c:v>
                </c:pt>
                <c:pt idx="41">
                  <c:v>0.64631578947368429</c:v>
                </c:pt>
                <c:pt idx="42">
                  <c:v>0.64842105263157901</c:v>
                </c:pt>
                <c:pt idx="43">
                  <c:v>0.6512280701754386</c:v>
                </c:pt>
                <c:pt idx="44">
                  <c:v>0.65333333333333332</c:v>
                </c:pt>
                <c:pt idx="45">
                  <c:v>0.6540350877192983</c:v>
                </c:pt>
                <c:pt idx="46">
                  <c:v>0.66133333333333333</c:v>
                </c:pt>
                <c:pt idx="47">
                  <c:v>0.67</c:v>
                </c:pt>
                <c:pt idx="48">
                  <c:v>0.6843636363636364</c:v>
                </c:pt>
                <c:pt idx="49">
                  <c:v>0.71007902735562312</c:v>
                </c:pt>
                <c:pt idx="50">
                  <c:v>0.73290681502086241</c:v>
                </c:pt>
                <c:pt idx="51">
                  <c:v>0.7689795918367347</c:v>
                </c:pt>
                <c:pt idx="52">
                  <c:v>0.80772532188841195</c:v>
                </c:pt>
                <c:pt idx="53">
                  <c:v>0.83644444444444443</c:v>
                </c:pt>
                <c:pt idx="54">
                  <c:v>0.91707317073170735</c:v>
                </c:pt>
                <c:pt idx="55">
                  <c:v>0.93173461231015198</c:v>
                </c:pt>
                <c:pt idx="56">
                  <c:v>1.0129729729729728</c:v>
                </c:pt>
                <c:pt idx="57">
                  <c:v>1.1033398821218074</c:v>
                </c:pt>
                <c:pt idx="58">
                  <c:v>1.1536318407960198</c:v>
                </c:pt>
                <c:pt idx="59">
                  <c:v>1.244</c:v>
                </c:pt>
                <c:pt idx="60">
                  <c:v>1.3132727272727274</c:v>
                </c:pt>
                <c:pt idx="61">
                  <c:v>1.327142857142857</c:v>
                </c:pt>
                <c:pt idx="62">
                  <c:v>1.3607339449541285</c:v>
                </c:pt>
                <c:pt idx="63">
                  <c:v>1.3884401451027812</c:v>
                </c:pt>
                <c:pt idx="64">
                  <c:v>1.4215384615384616</c:v>
                </c:pt>
                <c:pt idx="65">
                  <c:v>1.4184615384615387</c:v>
                </c:pt>
                <c:pt idx="66">
                  <c:v>1.4153846153846152</c:v>
                </c:pt>
                <c:pt idx="67">
                  <c:v>1.4123076923076923</c:v>
                </c:pt>
                <c:pt idx="68">
                  <c:v>1.4092307692307693</c:v>
                </c:pt>
                <c:pt idx="69">
                  <c:v>1.4076923076923078</c:v>
                </c:pt>
                <c:pt idx="70">
                  <c:v>1.4030769230769229</c:v>
                </c:pt>
                <c:pt idx="71">
                  <c:v>1.4</c:v>
                </c:pt>
                <c:pt idx="72">
                  <c:v>1.3953846153846154</c:v>
                </c:pt>
                <c:pt idx="73">
                  <c:v>1.393846153846154</c:v>
                </c:pt>
                <c:pt idx="74">
                  <c:v>1.3907692307692305</c:v>
                </c:pt>
                <c:pt idx="75">
                  <c:v>1.3876923076923076</c:v>
                </c:pt>
                <c:pt idx="76">
                  <c:v>1.3846153846153846</c:v>
                </c:pt>
                <c:pt idx="77">
                  <c:v>1.3800000000000001</c:v>
                </c:pt>
                <c:pt idx="78">
                  <c:v>1.3769230769230769</c:v>
                </c:pt>
                <c:pt idx="79">
                  <c:v>1.3738461538461537</c:v>
                </c:pt>
                <c:pt idx="80">
                  <c:v>1.4850000000000001</c:v>
                </c:pt>
                <c:pt idx="81">
                  <c:v>1.5327586206896553</c:v>
                </c:pt>
                <c:pt idx="82">
                  <c:v>1.6156470588235294</c:v>
                </c:pt>
                <c:pt idx="83">
                  <c:v>1.764</c:v>
                </c:pt>
                <c:pt idx="84">
                  <c:v>1.8813793103448275</c:v>
                </c:pt>
                <c:pt idx="85">
                  <c:v>1.9488888888888889</c:v>
                </c:pt>
                <c:pt idx="86">
                  <c:v>2.0381526104417671</c:v>
                </c:pt>
                <c:pt idx="87">
                  <c:v>2.1582435129740523</c:v>
                </c:pt>
                <c:pt idx="88">
                  <c:v>2.317333333333333</c:v>
                </c:pt>
                <c:pt idx="89">
                  <c:v>2.7566153846153849</c:v>
                </c:pt>
                <c:pt idx="90">
                  <c:v>3.2299065420560753</c:v>
                </c:pt>
                <c:pt idx="91">
                  <c:v>3.8266666666666662</c:v>
                </c:pt>
                <c:pt idx="92">
                  <c:v>4.2003162055335963</c:v>
                </c:pt>
                <c:pt idx="93">
                  <c:v>4.2649999999999997</c:v>
                </c:pt>
                <c:pt idx="94">
                  <c:v>4.25</c:v>
                </c:pt>
                <c:pt idx="95">
                  <c:v>4.2300000000000004</c:v>
                </c:pt>
                <c:pt idx="96">
                  <c:v>4.21</c:v>
                </c:pt>
                <c:pt idx="97">
                  <c:v>4.1950000000000003</c:v>
                </c:pt>
                <c:pt idx="98">
                  <c:v>4.18</c:v>
                </c:pt>
                <c:pt idx="99">
                  <c:v>3.5575172413793101</c:v>
                </c:pt>
                <c:pt idx="100">
                  <c:v>3.0072727272727273</c:v>
                </c:pt>
                <c:pt idx="101">
                  <c:v>2.4356085918854418</c:v>
                </c:pt>
                <c:pt idx="102">
                  <c:v>2.127272727272727</c:v>
                </c:pt>
                <c:pt idx="103">
                  <c:v>1.92</c:v>
                </c:pt>
                <c:pt idx="104">
                  <c:v>1.5875905511811024</c:v>
                </c:pt>
                <c:pt idx="105">
                  <c:v>1.4682779456193353</c:v>
                </c:pt>
                <c:pt idx="106">
                  <c:v>1.2555193992490614</c:v>
                </c:pt>
                <c:pt idx="107">
                  <c:v>1.0425806451612902</c:v>
                </c:pt>
                <c:pt idx="108">
                  <c:v>0.91166515013648763</c:v>
                </c:pt>
                <c:pt idx="109">
                  <c:v>0.87351351351351347</c:v>
                </c:pt>
                <c:pt idx="110">
                  <c:v>0.76013422818791954</c:v>
                </c:pt>
                <c:pt idx="111">
                  <c:v>0.7210337401292175</c:v>
                </c:pt>
                <c:pt idx="112">
                  <c:v>0.69106382978723402</c:v>
                </c:pt>
                <c:pt idx="113">
                  <c:v>0.64495846645367416</c:v>
                </c:pt>
                <c:pt idx="114">
                  <c:v>0.6284615384615384</c:v>
                </c:pt>
                <c:pt idx="115">
                  <c:v>0.61962264150943402</c:v>
                </c:pt>
                <c:pt idx="116">
                  <c:v>0.60211889346674519</c:v>
                </c:pt>
                <c:pt idx="117">
                  <c:v>0.60218181818181815</c:v>
                </c:pt>
                <c:pt idx="118">
                  <c:v>0.60363636363636364</c:v>
                </c:pt>
                <c:pt idx="119">
                  <c:v>0.60581818181818181</c:v>
                </c:pt>
                <c:pt idx="120">
                  <c:v>0.60799999999999998</c:v>
                </c:pt>
                <c:pt idx="121">
                  <c:v>0.61018181818181827</c:v>
                </c:pt>
                <c:pt idx="122">
                  <c:v>0.61163636363636364</c:v>
                </c:pt>
                <c:pt idx="123">
                  <c:v>0.61381818181818182</c:v>
                </c:pt>
                <c:pt idx="124">
                  <c:v>0.61599999999999999</c:v>
                </c:pt>
                <c:pt idx="125">
                  <c:v>0.61963636363636365</c:v>
                </c:pt>
                <c:pt idx="126">
                  <c:v>0.62181818181818183</c:v>
                </c:pt>
                <c:pt idx="127">
                  <c:v>0.62472727272727269</c:v>
                </c:pt>
                <c:pt idx="128">
                  <c:v>0.64973891924711602</c:v>
                </c:pt>
                <c:pt idx="129">
                  <c:v>0.66114649681528659</c:v>
                </c:pt>
                <c:pt idx="130">
                  <c:v>0.6807843137254902</c:v>
                </c:pt>
                <c:pt idx="131">
                  <c:v>0.70923913043478248</c:v>
                </c:pt>
                <c:pt idx="132">
                  <c:v>0.72828051247471348</c:v>
                </c:pt>
                <c:pt idx="133">
                  <c:v>0.74212765957446813</c:v>
                </c:pt>
                <c:pt idx="134">
                  <c:v>0.77600000000000002</c:v>
                </c:pt>
                <c:pt idx="135">
                  <c:v>0.78933721777130372</c:v>
                </c:pt>
                <c:pt idx="136">
                  <c:v>0.81488372093023254</c:v>
                </c:pt>
                <c:pt idx="137">
                  <c:v>0.83108396946564878</c:v>
                </c:pt>
                <c:pt idx="138">
                  <c:v>0.83714285714285708</c:v>
                </c:pt>
                <c:pt idx="139">
                  <c:v>0.83904761904761904</c:v>
                </c:pt>
                <c:pt idx="140">
                  <c:v>0.84000000000000008</c:v>
                </c:pt>
                <c:pt idx="141">
                  <c:v>0.83396226415094343</c:v>
                </c:pt>
                <c:pt idx="142">
                  <c:v>0.82325581395348835</c:v>
                </c:pt>
                <c:pt idx="143">
                  <c:v>0.79461883408071743</c:v>
                </c:pt>
                <c:pt idx="144">
                  <c:v>0.74736271186440684</c:v>
                </c:pt>
                <c:pt idx="145">
                  <c:v>0.72353634577603143</c:v>
                </c:pt>
                <c:pt idx="146">
                  <c:v>0.67471698113207546</c:v>
                </c:pt>
                <c:pt idx="147">
                  <c:v>0.65776463630987592</c:v>
                </c:pt>
                <c:pt idx="148">
                  <c:v>0.63157894736842102</c:v>
                </c:pt>
                <c:pt idx="149">
                  <c:v>0.61692561983471073</c:v>
                </c:pt>
                <c:pt idx="150">
                  <c:v>0.61010101010101014</c:v>
                </c:pt>
                <c:pt idx="151">
                  <c:v>0.60599999999999998</c:v>
                </c:pt>
                <c:pt idx="152">
                  <c:v>0.60799999999999998</c:v>
                </c:pt>
                <c:pt idx="153">
                  <c:v>0.61</c:v>
                </c:pt>
                <c:pt idx="154">
                  <c:v>0.61199999999999999</c:v>
                </c:pt>
                <c:pt idx="155">
                  <c:v>0.6140000000000001</c:v>
                </c:pt>
                <c:pt idx="156">
                  <c:v>0.61599999999999999</c:v>
                </c:pt>
                <c:pt idx="157">
                  <c:v>0.61733333333333329</c:v>
                </c:pt>
                <c:pt idx="158">
                  <c:v>0.61866666666666659</c:v>
                </c:pt>
                <c:pt idx="159">
                  <c:v>0.62570655116404983</c:v>
                </c:pt>
                <c:pt idx="160">
                  <c:v>0.63357829282080269</c:v>
                </c:pt>
                <c:pt idx="161">
                  <c:v>0.64620689655172403</c:v>
                </c:pt>
                <c:pt idx="162">
                  <c:v>0.65385060799073536</c:v>
                </c:pt>
                <c:pt idx="163">
                  <c:v>0.66245614035087719</c:v>
                </c:pt>
                <c:pt idx="165">
                  <c:v>1.1812246875549972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C-4B06-BF08-E6D128598AE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'STP-20260916142656941'!$A$1:$A$166</c:f>
              <c:strCache>
                <c:ptCount val="164"/>
                <c:pt idx="0">
                  <c:v>Data</c:v>
                </c:pt>
                <c:pt idx="1">
                  <c:v>jan/13</c:v>
                </c:pt>
                <c:pt idx="2">
                  <c:v>fev/13</c:v>
                </c:pt>
                <c:pt idx="3">
                  <c:v>mar/13</c:v>
                </c:pt>
                <c:pt idx="4">
                  <c:v>abr/13</c:v>
                </c:pt>
                <c:pt idx="5">
                  <c:v>mai/13</c:v>
                </c:pt>
                <c:pt idx="6">
                  <c:v>jun/13</c:v>
                </c:pt>
                <c:pt idx="7">
                  <c:v>jul/13</c:v>
                </c:pt>
                <c:pt idx="8">
                  <c:v>ago/13</c:v>
                </c:pt>
                <c:pt idx="9">
                  <c:v>set/13</c:v>
                </c:pt>
                <c:pt idx="10">
                  <c:v>out/13</c:v>
                </c:pt>
                <c:pt idx="11">
                  <c:v>nov/13</c:v>
                </c:pt>
                <c:pt idx="12">
                  <c:v>dez/13</c:v>
                </c:pt>
                <c:pt idx="13">
                  <c:v>jan/14</c:v>
                </c:pt>
                <c:pt idx="14">
                  <c:v>fev/14</c:v>
                </c:pt>
                <c:pt idx="15">
                  <c:v>mar/14</c:v>
                </c:pt>
                <c:pt idx="16">
                  <c:v>abr/14</c:v>
                </c:pt>
                <c:pt idx="17">
                  <c:v>mai/14</c:v>
                </c:pt>
                <c:pt idx="18">
                  <c:v>jun/14</c:v>
                </c:pt>
                <c:pt idx="19">
                  <c:v>jul/14</c:v>
                </c:pt>
                <c:pt idx="20">
                  <c:v>ago/14</c:v>
                </c:pt>
                <c:pt idx="21">
                  <c:v>set/14</c:v>
                </c:pt>
                <c:pt idx="22">
                  <c:v>out/14</c:v>
                </c:pt>
                <c:pt idx="23">
                  <c:v>nov/14</c:v>
                </c:pt>
                <c:pt idx="24">
                  <c:v>dez/14</c:v>
                </c:pt>
                <c:pt idx="25">
                  <c:v>jan/15</c:v>
                </c:pt>
                <c:pt idx="26">
                  <c:v>fev/15</c:v>
                </c:pt>
                <c:pt idx="27">
                  <c:v>mar/15</c:v>
                </c:pt>
                <c:pt idx="28">
                  <c:v>abr/15</c:v>
                </c:pt>
                <c:pt idx="29">
                  <c:v>mai/15</c:v>
                </c:pt>
                <c:pt idx="30">
                  <c:v>jun/15</c:v>
                </c:pt>
                <c:pt idx="31">
                  <c:v>jul/15</c:v>
                </c:pt>
                <c:pt idx="32">
                  <c:v>ago/15</c:v>
                </c:pt>
                <c:pt idx="33">
                  <c:v>set/15</c:v>
                </c:pt>
                <c:pt idx="34">
                  <c:v>out/15</c:v>
                </c:pt>
                <c:pt idx="35">
                  <c:v>nov/15</c:v>
                </c:pt>
                <c:pt idx="36">
                  <c:v>dez/15</c:v>
                </c:pt>
                <c:pt idx="37">
                  <c:v>jan/16</c:v>
                </c:pt>
                <c:pt idx="38">
                  <c:v>fev/16</c:v>
                </c:pt>
                <c:pt idx="39">
                  <c:v>mar/16</c:v>
                </c:pt>
                <c:pt idx="40">
                  <c:v>abr/16</c:v>
                </c:pt>
                <c:pt idx="41">
                  <c:v>mai/16</c:v>
                </c:pt>
                <c:pt idx="42">
                  <c:v>jun/16</c:v>
                </c:pt>
                <c:pt idx="43">
                  <c:v>jul/16</c:v>
                </c:pt>
                <c:pt idx="44">
                  <c:v>ago/16</c:v>
                </c:pt>
                <c:pt idx="45">
                  <c:v>set/16</c:v>
                </c:pt>
                <c:pt idx="46">
                  <c:v>out/16</c:v>
                </c:pt>
                <c:pt idx="47">
                  <c:v>nov/16</c:v>
                </c:pt>
                <c:pt idx="48">
                  <c:v>dez/16</c:v>
                </c:pt>
                <c:pt idx="49">
                  <c:v>jan/17</c:v>
                </c:pt>
                <c:pt idx="50">
                  <c:v>fev/17</c:v>
                </c:pt>
                <c:pt idx="51">
                  <c:v>mar/17</c:v>
                </c:pt>
                <c:pt idx="52">
                  <c:v>abr/17</c:v>
                </c:pt>
                <c:pt idx="53">
                  <c:v>mai/17</c:v>
                </c:pt>
                <c:pt idx="54">
                  <c:v>jun/17</c:v>
                </c:pt>
                <c:pt idx="55">
                  <c:v>jul/17</c:v>
                </c:pt>
                <c:pt idx="56">
                  <c:v>ago/17</c:v>
                </c:pt>
                <c:pt idx="57">
                  <c:v>set/17</c:v>
                </c:pt>
                <c:pt idx="58">
                  <c:v>out/17</c:v>
                </c:pt>
                <c:pt idx="59">
                  <c:v>nov/17</c:v>
                </c:pt>
                <c:pt idx="60">
                  <c:v>dez/17</c:v>
                </c:pt>
                <c:pt idx="61">
                  <c:v>jan/18</c:v>
                </c:pt>
                <c:pt idx="62">
                  <c:v>fev/18</c:v>
                </c:pt>
                <c:pt idx="63">
                  <c:v>mar/18</c:v>
                </c:pt>
                <c:pt idx="64">
                  <c:v>abr/18</c:v>
                </c:pt>
                <c:pt idx="65">
                  <c:v>mai/18</c:v>
                </c:pt>
                <c:pt idx="66">
                  <c:v>jun/18</c:v>
                </c:pt>
                <c:pt idx="67">
                  <c:v>jul/18</c:v>
                </c:pt>
                <c:pt idx="68">
                  <c:v>ago/18</c:v>
                </c:pt>
                <c:pt idx="69">
                  <c:v>set/18</c:v>
                </c:pt>
                <c:pt idx="70">
                  <c:v>out/18</c:v>
                </c:pt>
                <c:pt idx="71">
                  <c:v>nov/18</c:v>
                </c:pt>
                <c:pt idx="72">
                  <c:v>dez/18</c:v>
                </c:pt>
                <c:pt idx="73">
                  <c:v>jan/19</c:v>
                </c:pt>
                <c:pt idx="74">
                  <c:v>fev/19</c:v>
                </c:pt>
                <c:pt idx="75">
                  <c:v>mar/19</c:v>
                </c:pt>
                <c:pt idx="76">
                  <c:v>abr/19</c:v>
                </c:pt>
                <c:pt idx="77">
                  <c:v>mai/19</c:v>
                </c:pt>
                <c:pt idx="78">
                  <c:v>jun/19</c:v>
                </c:pt>
                <c:pt idx="79">
                  <c:v>jul/19</c:v>
                </c:pt>
                <c:pt idx="80">
                  <c:v>ago/19</c:v>
                </c:pt>
                <c:pt idx="81">
                  <c:v>set/19</c:v>
                </c:pt>
                <c:pt idx="82">
                  <c:v>out/19</c:v>
                </c:pt>
                <c:pt idx="83">
                  <c:v>nov/19</c:v>
                </c:pt>
                <c:pt idx="84">
                  <c:v>dez/19</c:v>
                </c:pt>
                <c:pt idx="85">
                  <c:v>jan/20</c:v>
                </c:pt>
                <c:pt idx="86">
                  <c:v>fev/20</c:v>
                </c:pt>
                <c:pt idx="87">
                  <c:v>mar/20</c:v>
                </c:pt>
                <c:pt idx="88">
                  <c:v>abr/20</c:v>
                </c:pt>
                <c:pt idx="89">
                  <c:v>mai/20</c:v>
                </c:pt>
                <c:pt idx="90">
                  <c:v>jun/20</c:v>
                </c:pt>
                <c:pt idx="91">
                  <c:v>jul/20</c:v>
                </c:pt>
                <c:pt idx="92">
                  <c:v>ago/20</c:v>
                </c:pt>
                <c:pt idx="93">
                  <c:v>set/20</c:v>
                </c:pt>
                <c:pt idx="94">
                  <c:v>out/20</c:v>
                </c:pt>
                <c:pt idx="95">
                  <c:v>nov/20</c:v>
                </c:pt>
                <c:pt idx="96">
                  <c:v>dez/20</c:v>
                </c:pt>
                <c:pt idx="97">
                  <c:v>jan/21</c:v>
                </c:pt>
                <c:pt idx="98">
                  <c:v>fev/21</c:v>
                </c:pt>
                <c:pt idx="99">
                  <c:v>mar/21</c:v>
                </c:pt>
                <c:pt idx="100">
                  <c:v>abr/21</c:v>
                </c:pt>
                <c:pt idx="101">
                  <c:v>mai/21</c:v>
                </c:pt>
                <c:pt idx="102">
                  <c:v>jun/21</c:v>
                </c:pt>
                <c:pt idx="103">
                  <c:v>jul/21</c:v>
                </c:pt>
                <c:pt idx="104">
                  <c:v>ago/21</c:v>
                </c:pt>
                <c:pt idx="105">
                  <c:v>set/21</c:v>
                </c:pt>
                <c:pt idx="106">
                  <c:v>out/21</c:v>
                </c:pt>
                <c:pt idx="107">
                  <c:v>nov/21</c:v>
                </c:pt>
                <c:pt idx="108">
                  <c:v>dez/21</c:v>
                </c:pt>
                <c:pt idx="109">
                  <c:v>jan/22</c:v>
                </c:pt>
                <c:pt idx="110">
                  <c:v>fev/22</c:v>
                </c:pt>
                <c:pt idx="111">
                  <c:v>mar/22</c:v>
                </c:pt>
                <c:pt idx="112">
                  <c:v>abr/22</c:v>
                </c:pt>
                <c:pt idx="113">
                  <c:v>mai/22</c:v>
                </c:pt>
                <c:pt idx="114">
                  <c:v>jun/22</c:v>
                </c:pt>
                <c:pt idx="115">
                  <c:v>jul/22</c:v>
                </c:pt>
                <c:pt idx="116">
                  <c:v>ago/22</c:v>
                </c:pt>
                <c:pt idx="117">
                  <c:v>set/22</c:v>
                </c:pt>
                <c:pt idx="118">
                  <c:v>out/22</c:v>
                </c:pt>
                <c:pt idx="119">
                  <c:v>nov/22</c:v>
                </c:pt>
                <c:pt idx="120">
                  <c:v>dez/22</c:v>
                </c:pt>
                <c:pt idx="121">
                  <c:v>jan/23</c:v>
                </c:pt>
                <c:pt idx="122">
                  <c:v>fev/23</c:v>
                </c:pt>
                <c:pt idx="123">
                  <c:v>mar/23</c:v>
                </c:pt>
                <c:pt idx="124">
                  <c:v>abr/23</c:v>
                </c:pt>
                <c:pt idx="125">
                  <c:v>mai/23</c:v>
                </c:pt>
                <c:pt idx="126">
                  <c:v>jun/23</c:v>
                </c:pt>
                <c:pt idx="127">
                  <c:v>jul/23</c:v>
                </c:pt>
                <c:pt idx="128">
                  <c:v>ago/23</c:v>
                </c:pt>
                <c:pt idx="129">
                  <c:v>set/23</c:v>
                </c:pt>
                <c:pt idx="130">
                  <c:v>out/23</c:v>
                </c:pt>
                <c:pt idx="131">
                  <c:v>nov/23</c:v>
                </c:pt>
                <c:pt idx="132">
                  <c:v>dez/23</c:v>
                </c:pt>
                <c:pt idx="133">
                  <c:v>jan/24</c:v>
                </c:pt>
                <c:pt idx="134">
                  <c:v>fev/24</c:v>
                </c:pt>
                <c:pt idx="135">
                  <c:v>mar/24</c:v>
                </c:pt>
                <c:pt idx="136">
                  <c:v>abr/24</c:v>
                </c:pt>
                <c:pt idx="137">
                  <c:v>mai/24</c:v>
                </c:pt>
                <c:pt idx="138">
                  <c:v>jun/24</c:v>
                </c:pt>
                <c:pt idx="139">
                  <c:v>jul/24</c:v>
                </c:pt>
                <c:pt idx="140">
                  <c:v>ago/24</c:v>
                </c:pt>
                <c:pt idx="141">
                  <c:v>set/24</c:v>
                </c:pt>
                <c:pt idx="142">
                  <c:v>out/24</c:v>
                </c:pt>
                <c:pt idx="143">
                  <c:v>nov/24</c:v>
                </c:pt>
                <c:pt idx="144">
                  <c:v>dez/24</c:v>
                </c:pt>
                <c:pt idx="145">
                  <c:v>jan/25</c:v>
                </c:pt>
                <c:pt idx="146">
                  <c:v>fev/25</c:v>
                </c:pt>
                <c:pt idx="147">
                  <c:v>mar/25</c:v>
                </c:pt>
                <c:pt idx="148">
                  <c:v>abr/25</c:v>
                </c:pt>
                <c:pt idx="149">
                  <c:v>mai/25</c:v>
                </c:pt>
                <c:pt idx="150">
                  <c:v>jun/25</c:v>
                </c:pt>
                <c:pt idx="151">
                  <c:v>jul/25</c:v>
                </c:pt>
                <c:pt idx="152">
                  <c:v>ago/25</c:v>
                </c:pt>
                <c:pt idx="153">
                  <c:v>set/25</c:v>
                </c:pt>
                <c:pt idx="154">
                  <c:v>out/25</c:v>
                </c:pt>
                <c:pt idx="155">
                  <c:v>nov/25</c:v>
                </c:pt>
                <c:pt idx="156">
                  <c:v>dez/25</c:v>
                </c:pt>
                <c:pt idx="157">
                  <c:v>jan/26</c:v>
                </c:pt>
                <c:pt idx="158">
                  <c:v>fev/26</c:v>
                </c:pt>
                <c:pt idx="159">
                  <c:v>mar/26</c:v>
                </c:pt>
                <c:pt idx="160">
                  <c:v>abr/26</c:v>
                </c:pt>
                <c:pt idx="161">
                  <c:v>mai/26</c:v>
                </c:pt>
                <c:pt idx="162">
                  <c:v>jun/26</c:v>
                </c:pt>
                <c:pt idx="163">
                  <c:v>jul/26</c:v>
                </c:pt>
              </c:strCache>
            </c:strRef>
          </c:cat>
          <c:val>
            <c:numRef>
              <c:f>'STP-20260916142656941'!$K$1:$K$166</c:f>
              <c:numCache>
                <c:formatCode>General</c:formatCode>
                <c:ptCount val="166"/>
                <c:pt idx="1">
                  <c:v>16.882758620689657</c:v>
                </c:pt>
                <c:pt idx="2">
                  <c:v>16.90758620689655</c:v>
                </c:pt>
                <c:pt idx="3">
                  <c:v>16.84</c:v>
                </c:pt>
                <c:pt idx="4">
                  <c:v>16.528199320498302</c:v>
                </c:pt>
                <c:pt idx="5">
                  <c:v>16.081498929336188</c:v>
                </c:pt>
                <c:pt idx="6">
                  <c:v>15.22125</c:v>
                </c:pt>
                <c:pt idx="7">
                  <c:v>14.625764023210833</c:v>
                </c:pt>
                <c:pt idx="8">
                  <c:v>14.346566037735849</c:v>
                </c:pt>
                <c:pt idx="9">
                  <c:v>13.945555555555556</c:v>
                </c:pt>
                <c:pt idx="10">
                  <c:v>13.506379310344826</c:v>
                </c:pt>
                <c:pt idx="11">
                  <c:v>13.346596858638742</c:v>
                </c:pt>
                <c:pt idx="12">
                  <c:v>12.918000000000001</c:v>
                </c:pt>
                <c:pt idx="13">
                  <c:v>13.150628930817611</c:v>
                </c:pt>
                <c:pt idx="14">
                  <c:v>13.032122241086588</c:v>
                </c:pt>
                <c:pt idx="15">
                  <c:v>12.960930232558141</c:v>
                </c:pt>
                <c:pt idx="16">
                  <c:v>12.876783004552353</c:v>
                </c:pt>
                <c:pt idx="17">
                  <c:v>13.425454545454546</c:v>
                </c:pt>
                <c:pt idx="18">
                  <c:v>13.68</c:v>
                </c:pt>
                <c:pt idx="19">
                  <c:v>13.858181818181817</c:v>
                </c:pt>
                <c:pt idx="20">
                  <c:v>13.930909090909092</c:v>
                </c:pt>
                <c:pt idx="21">
                  <c:v>14.527272727272729</c:v>
                </c:pt>
                <c:pt idx="22">
                  <c:v>14.811918008784772</c:v>
                </c:pt>
                <c:pt idx="23">
                  <c:v>14.783111111111111</c:v>
                </c:pt>
                <c:pt idx="24">
                  <c:v>14.921874569262579</c:v>
                </c:pt>
                <c:pt idx="25">
                  <c:v>15.224211238997968</c:v>
                </c:pt>
                <c:pt idx="26">
                  <c:v>15.181224489795918</c:v>
                </c:pt>
                <c:pt idx="27">
                  <c:v>15.07944055944056</c:v>
                </c:pt>
                <c:pt idx="28">
                  <c:v>15.391644908616186</c:v>
                </c:pt>
                <c:pt idx="29">
                  <c:v>15.270943396226416</c:v>
                </c:pt>
                <c:pt idx="30">
                  <c:v>15.305839416058395</c:v>
                </c:pt>
                <c:pt idx="31">
                  <c:v>15.515599765944996</c:v>
                </c:pt>
                <c:pt idx="32">
                  <c:v>15.362807017543858</c:v>
                </c:pt>
                <c:pt idx="33">
                  <c:v>16.063859649122808</c:v>
                </c:pt>
                <c:pt idx="34">
                  <c:v>16.94736842105263</c:v>
                </c:pt>
                <c:pt idx="35">
                  <c:v>17.388771929824561</c:v>
                </c:pt>
                <c:pt idx="36">
                  <c:v>17.619649122807019</c:v>
                </c:pt>
                <c:pt idx="37">
                  <c:v>17.96140350877193</c:v>
                </c:pt>
                <c:pt idx="38">
                  <c:v>17.955789473684209</c:v>
                </c:pt>
                <c:pt idx="39">
                  <c:v>18.456140350877192</c:v>
                </c:pt>
                <c:pt idx="40">
                  <c:v>18.875789473684211</c:v>
                </c:pt>
                <c:pt idx="41">
                  <c:v>18.964210526315789</c:v>
                </c:pt>
                <c:pt idx="42">
                  <c:v>19.169122807017544</c:v>
                </c:pt>
                <c:pt idx="43">
                  <c:v>19.425964912280701</c:v>
                </c:pt>
                <c:pt idx="44">
                  <c:v>19.752280701754387</c:v>
                </c:pt>
                <c:pt idx="45">
                  <c:v>19.748070175438599</c:v>
                </c:pt>
                <c:pt idx="46">
                  <c:v>20.148763532763535</c:v>
                </c:pt>
                <c:pt idx="47">
                  <c:v>20.330000000000002</c:v>
                </c:pt>
                <c:pt idx="48">
                  <c:v>20.550545454545453</c:v>
                </c:pt>
                <c:pt idx="49">
                  <c:v>21.252620060790274</c:v>
                </c:pt>
                <c:pt idx="50">
                  <c:v>21.744200278164119</c:v>
                </c:pt>
                <c:pt idx="51">
                  <c:v>23.064489795918369</c:v>
                </c:pt>
                <c:pt idx="52">
                  <c:v>24.235193133047208</c:v>
                </c:pt>
                <c:pt idx="53">
                  <c:v>24.856888888888889</c:v>
                </c:pt>
                <c:pt idx="54">
                  <c:v>27.00780487804878</c:v>
                </c:pt>
                <c:pt idx="55">
                  <c:v>27.307753796962434</c:v>
                </c:pt>
                <c:pt idx="56">
                  <c:v>29.443243243243245</c:v>
                </c:pt>
                <c:pt idx="57">
                  <c:v>32.576817288801578</c:v>
                </c:pt>
                <c:pt idx="58">
                  <c:v>34.230169154228854</c:v>
                </c:pt>
                <c:pt idx="59">
                  <c:v>36.856000000000002</c:v>
                </c:pt>
                <c:pt idx="60">
                  <c:v>38.496363636363633</c:v>
                </c:pt>
                <c:pt idx="61">
                  <c:v>39.438571428571429</c:v>
                </c:pt>
                <c:pt idx="62">
                  <c:v>40.299449541284403</c:v>
                </c:pt>
                <c:pt idx="63">
                  <c:v>41.401305925030236</c:v>
                </c:pt>
                <c:pt idx="64">
                  <c:v>42.167692307692306</c:v>
                </c:pt>
                <c:pt idx="65">
                  <c:v>40.96769230769231</c:v>
                </c:pt>
                <c:pt idx="66">
                  <c:v>40.067692307692305</c:v>
                </c:pt>
                <c:pt idx="67">
                  <c:v>39.735384615384611</c:v>
                </c:pt>
                <c:pt idx="68">
                  <c:v>39.621538461538464</c:v>
                </c:pt>
                <c:pt idx="69">
                  <c:v>39.299999999999997</c:v>
                </c:pt>
                <c:pt idx="70">
                  <c:v>39.595384615384617</c:v>
                </c:pt>
                <c:pt idx="71">
                  <c:v>40.196923076923071</c:v>
                </c:pt>
                <c:pt idx="72">
                  <c:v>40.28153846153846</c:v>
                </c:pt>
                <c:pt idx="73">
                  <c:v>41.115384615384613</c:v>
                </c:pt>
                <c:pt idx="74">
                  <c:v>40.856923076923074</c:v>
                </c:pt>
                <c:pt idx="75">
                  <c:v>41.806153846153848</c:v>
                </c:pt>
                <c:pt idx="76">
                  <c:v>42.330769230769228</c:v>
                </c:pt>
                <c:pt idx="77">
                  <c:v>41.946153846153841</c:v>
                </c:pt>
                <c:pt idx="78">
                  <c:v>41.924615384615386</c:v>
                </c:pt>
                <c:pt idx="79">
                  <c:v>41.470769230769228</c:v>
                </c:pt>
                <c:pt idx="80">
                  <c:v>42.57</c:v>
                </c:pt>
                <c:pt idx="81">
                  <c:v>42.353448275862071</c:v>
                </c:pt>
                <c:pt idx="82">
                  <c:v>47.486529411764714</c:v>
                </c:pt>
                <c:pt idx="83">
                  <c:v>52.796000000000006</c:v>
                </c:pt>
                <c:pt idx="84">
                  <c:v>52.926620689655167</c:v>
                </c:pt>
                <c:pt idx="85">
                  <c:v>31.293333333333333</c:v>
                </c:pt>
                <c:pt idx="86">
                  <c:v>30.420883534136543</c:v>
                </c:pt>
                <c:pt idx="87">
                  <c:v>32.326626746506989</c:v>
                </c:pt>
                <c:pt idx="88">
                  <c:v>31.882666666666669</c:v>
                </c:pt>
                <c:pt idx="89">
                  <c:v>36.951999999999998</c:v>
                </c:pt>
                <c:pt idx="90">
                  <c:v>42.108411214953271</c:v>
                </c:pt>
                <c:pt idx="91">
                  <c:v>49.657777777777781</c:v>
                </c:pt>
                <c:pt idx="92">
                  <c:v>54.976600790513828</c:v>
                </c:pt>
                <c:pt idx="93">
                  <c:v>57.02</c:v>
                </c:pt>
                <c:pt idx="94">
                  <c:v>56.14</c:v>
                </c:pt>
                <c:pt idx="95">
                  <c:v>56.74</c:v>
                </c:pt>
                <c:pt idx="96">
                  <c:v>57.795000000000002</c:v>
                </c:pt>
                <c:pt idx="97">
                  <c:v>60.145000000000003</c:v>
                </c:pt>
                <c:pt idx="98">
                  <c:v>62.76</c:v>
                </c:pt>
                <c:pt idx="99">
                  <c:v>52.285241379310342</c:v>
                </c:pt>
                <c:pt idx="100">
                  <c:v>45.214545454545458</c:v>
                </c:pt>
                <c:pt idx="101">
                  <c:v>36.406873508353222</c:v>
                </c:pt>
                <c:pt idx="102">
                  <c:v>32.625974025974024</c:v>
                </c:pt>
                <c:pt idx="103">
                  <c:v>29.181176470588234</c:v>
                </c:pt>
                <c:pt idx="104">
                  <c:v>24.428976377952754</c:v>
                </c:pt>
                <c:pt idx="105">
                  <c:v>23.496072507552871</c:v>
                </c:pt>
                <c:pt idx="106">
                  <c:v>19.894317897371714</c:v>
                </c:pt>
                <c:pt idx="107">
                  <c:v>16.731612903225805</c:v>
                </c:pt>
                <c:pt idx="108">
                  <c:v>14.435450409463147</c:v>
                </c:pt>
                <c:pt idx="109">
                  <c:v>13.583783783783785</c:v>
                </c:pt>
                <c:pt idx="110">
                  <c:v>12.448724832214767</c:v>
                </c:pt>
                <c:pt idx="111">
                  <c:v>11.379870782483847</c:v>
                </c:pt>
                <c:pt idx="112">
                  <c:v>11.292765957446809</c:v>
                </c:pt>
                <c:pt idx="113">
                  <c:v>10.12996805111821</c:v>
                </c:pt>
                <c:pt idx="114">
                  <c:v>9.9353846153846153</c:v>
                </c:pt>
                <c:pt idx="115">
                  <c:v>9.6166037735849059</c:v>
                </c:pt>
                <c:pt idx="116">
                  <c:v>9.3740788699234852</c:v>
                </c:pt>
                <c:pt idx="117">
                  <c:v>9.7672727272727276</c:v>
                </c:pt>
                <c:pt idx="118">
                  <c:v>9.7003636363636367</c:v>
                </c:pt>
                <c:pt idx="119">
                  <c:v>9.7272727272727266</c:v>
                </c:pt>
                <c:pt idx="120">
                  <c:v>9.6087272727272737</c:v>
                </c:pt>
                <c:pt idx="121">
                  <c:v>9.5345454545454533</c:v>
                </c:pt>
                <c:pt idx="122">
                  <c:v>9.7934545454545461</c:v>
                </c:pt>
                <c:pt idx="123">
                  <c:v>9.48</c:v>
                </c:pt>
                <c:pt idx="124">
                  <c:v>9.709090909090909</c:v>
                </c:pt>
                <c:pt idx="125">
                  <c:v>9.5090909090909097</c:v>
                </c:pt>
                <c:pt idx="126">
                  <c:v>9.7861818181818183</c:v>
                </c:pt>
                <c:pt idx="127">
                  <c:v>9.6029090909090904</c:v>
                </c:pt>
                <c:pt idx="128">
                  <c:v>9.9297874924104423</c:v>
                </c:pt>
                <c:pt idx="129">
                  <c:v>10.237452229299363</c:v>
                </c:pt>
                <c:pt idx="130">
                  <c:v>10.319215686274509</c:v>
                </c:pt>
                <c:pt idx="131">
                  <c:v>10.800815217391305</c:v>
                </c:pt>
                <c:pt idx="132">
                  <c:v>10.71182737693864</c:v>
                </c:pt>
                <c:pt idx="133">
                  <c:v>10.702978723404255</c:v>
                </c:pt>
                <c:pt idx="134">
                  <c:v>11.741333333333333</c:v>
                </c:pt>
                <c:pt idx="135">
                  <c:v>11.570924981791698</c:v>
                </c:pt>
                <c:pt idx="136">
                  <c:v>12.152558139534882</c:v>
                </c:pt>
                <c:pt idx="137">
                  <c:v>12.483297709923663</c:v>
                </c:pt>
                <c:pt idx="138">
                  <c:v>12.502857142857144</c:v>
                </c:pt>
                <c:pt idx="139">
                  <c:v>12.532380952380953</c:v>
                </c:pt>
                <c:pt idx="140">
                  <c:v>12.659047619047618</c:v>
                </c:pt>
                <c:pt idx="141">
                  <c:v>12.857547169811321</c:v>
                </c:pt>
                <c:pt idx="142">
                  <c:v>12.60093023255814</c:v>
                </c:pt>
                <c:pt idx="143">
                  <c:v>12.391031390134529</c:v>
                </c:pt>
                <c:pt idx="144">
                  <c:v>11.334861016949153</c:v>
                </c:pt>
                <c:pt idx="145">
                  <c:v>11.006522593320236</c:v>
                </c:pt>
                <c:pt idx="146">
                  <c:v>10.73056603773585</c:v>
                </c:pt>
                <c:pt idx="147">
                  <c:v>9.6948787699586045</c:v>
                </c:pt>
                <c:pt idx="148">
                  <c:v>9.6392982456140359</c:v>
                </c:pt>
                <c:pt idx="149">
                  <c:v>9.2163085399449045</c:v>
                </c:pt>
                <c:pt idx="150">
                  <c:v>9.1407407407407408</c:v>
                </c:pt>
                <c:pt idx="151">
                  <c:v>9.2126666666666672</c:v>
                </c:pt>
                <c:pt idx="152">
                  <c:v>9.2126666666666672</c:v>
                </c:pt>
                <c:pt idx="153">
                  <c:v>9.3819999999999997</c:v>
                </c:pt>
                <c:pt idx="154">
                  <c:v>9.2740000000000009</c:v>
                </c:pt>
                <c:pt idx="155">
                  <c:v>9.3720000000000017</c:v>
                </c:pt>
                <c:pt idx="156">
                  <c:v>9.2593333333333323</c:v>
                </c:pt>
                <c:pt idx="157">
                  <c:v>9.1626666666666665</c:v>
                </c:pt>
                <c:pt idx="158">
                  <c:v>9.7533333333333339</c:v>
                </c:pt>
                <c:pt idx="159">
                  <c:v>9.3251759610178677</c:v>
                </c:pt>
                <c:pt idx="160">
                  <c:v>9.5599773883550032</c:v>
                </c:pt>
                <c:pt idx="161">
                  <c:v>9.4655172413793096</c:v>
                </c:pt>
                <c:pt idx="162">
                  <c:v>9.7209033005211349</c:v>
                </c:pt>
                <c:pt idx="163">
                  <c:v>9.6350877192982463</c:v>
                </c:pt>
                <c:pt idx="165">
                  <c:v>22.886993580996609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4C-4B06-BF08-E6D128598AE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'STP-20260916142656941'!$A$1:$A$166</c:f>
              <c:strCache>
                <c:ptCount val="164"/>
                <c:pt idx="0">
                  <c:v>Data</c:v>
                </c:pt>
                <c:pt idx="1">
                  <c:v>jan/13</c:v>
                </c:pt>
                <c:pt idx="2">
                  <c:v>fev/13</c:v>
                </c:pt>
                <c:pt idx="3">
                  <c:v>mar/13</c:v>
                </c:pt>
                <c:pt idx="4">
                  <c:v>abr/13</c:v>
                </c:pt>
                <c:pt idx="5">
                  <c:v>mai/13</c:v>
                </c:pt>
                <c:pt idx="6">
                  <c:v>jun/13</c:v>
                </c:pt>
                <c:pt idx="7">
                  <c:v>jul/13</c:v>
                </c:pt>
                <c:pt idx="8">
                  <c:v>ago/13</c:v>
                </c:pt>
                <c:pt idx="9">
                  <c:v>set/13</c:v>
                </c:pt>
                <c:pt idx="10">
                  <c:v>out/13</c:v>
                </c:pt>
                <c:pt idx="11">
                  <c:v>nov/13</c:v>
                </c:pt>
                <c:pt idx="12">
                  <c:v>dez/13</c:v>
                </c:pt>
                <c:pt idx="13">
                  <c:v>jan/14</c:v>
                </c:pt>
                <c:pt idx="14">
                  <c:v>fev/14</c:v>
                </c:pt>
                <c:pt idx="15">
                  <c:v>mar/14</c:v>
                </c:pt>
                <c:pt idx="16">
                  <c:v>abr/14</c:v>
                </c:pt>
                <c:pt idx="17">
                  <c:v>mai/14</c:v>
                </c:pt>
                <c:pt idx="18">
                  <c:v>jun/14</c:v>
                </c:pt>
                <c:pt idx="19">
                  <c:v>jul/14</c:v>
                </c:pt>
                <c:pt idx="20">
                  <c:v>ago/14</c:v>
                </c:pt>
                <c:pt idx="21">
                  <c:v>set/14</c:v>
                </c:pt>
                <c:pt idx="22">
                  <c:v>out/14</c:v>
                </c:pt>
                <c:pt idx="23">
                  <c:v>nov/14</c:v>
                </c:pt>
                <c:pt idx="24">
                  <c:v>dez/14</c:v>
                </c:pt>
                <c:pt idx="25">
                  <c:v>jan/15</c:v>
                </c:pt>
                <c:pt idx="26">
                  <c:v>fev/15</c:v>
                </c:pt>
                <c:pt idx="27">
                  <c:v>mar/15</c:v>
                </c:pt>
                <c:pt idx="28">
                  <c:v>abr/15</c:v>
                </c:pt>
                <c:pt idx="29">
                  <c:v>mai/15</c:v>
                </c:pt>
                <c:pt idx="30">
                  <c:v>jun/15</c:v>
                </c:pt>
                <c:pt idx="31">
                  <c:v>jul/15</c:v>
                </c:pt>
                <c:pt idx="32">
                  <c:v>ago/15</c:v>
                </c:pt>
                <c:pt idx="33">
                  <c:v>set/15</c:v>
                </c:pt>
                <c:pt idx="34">
                  <c:v>out/15</c:v>
                </c:pt>
                <c:pt idx="35">
                  <c:v>nov/15</c:v>
                </c:pt>
                <c:pt idx="36">
                  <c:v>dez/15</c:v>
                </c:pt>
                <c:pt idx="37">
                  <c:v>jan/16</c:v>
                </c:pt>
                <c:pt idx="38">
                  <c:v>fev/16</c:v>
                </c:pt>
                <c:pt idx="39">
                  <c:v>mar/16</c:v>
                </c:pt>
                <c:pt idx="40">
                  <c:v>abr/16</c:v>
                </c:pt>
                <c:pt idx="41">
                  <c:v>mai/16</c:v>
                </c:pt>
                <c:pt idx="42">
                  <c:v>jun/16</c:v>
                </c:pt>
                <c:pt idx="43">
                  <c:v>jul/16</c:v>
                </c:pt>
                <c:pt idx="44">
                  <c:v>ago/16</c:v>
                </c:pt>
                <c:pt idx="45">
                  <c:v>set/16</c:v>
                </c:pt>
                <c:pt idx="46">
                  <c:v>out/16</c:v>
                </c:pt>
                <c:pt idx="47">
                  <c:v>nov/16</c:v>
                </c:pt>
                <c:pt idx="48">
                  <c:v>dez/16</c:v>
                </c:pt>
                <c:pt idx="49">
                  <c:v>jan/17</c:v>
                </c:pt>
                <c:pt idx="50">
                  <c:v>fev/17</c:v>
                </c:pt>
                <c:pt idx="51">
                  <c:v>mar/17</c:v>
                </c:pt>
                <c:pt idx="52">
                  <c:v>abr/17</c:v>
                </c:pt>
                <c:pt idx="53">
                  <c:v>mai/17</c:v>
                </c:pt>
                <c:pt idx="54">
                  <c:v>jun/17</c:v>
                </c:pt>
                <c:pt idx="55">
                  <c:v>jul/17</c:v>
                </c:pt>
                <c:pt idx="56">
                  <c:v>ago/17</c:v>
                </c:pt>
                <c:pt idx="57">
                  <c:v>set/17</c:v>
                </c:pt>
                <c:pt idx="58">
                  <c:v>out/17</c:v>
                </c:pt>
                <c:pt idx="59">
                  <c:v>nov/17</c:v>
                </c:pt>
                <c:pt idx="60">
                  <c:v>dez/17</c:v>
                </c:pt>
                <c:pt idx="61">
                  <c:v>jan/18</c:v>
                </c:pt>
                <c:pt idx="62">
                  <c:v>fev/18</c:v>
                </c:pt>
                <c:pt idx="63">
                  <c:v>mar/18</c:v>
                </c:pt>
                <c:pt idx="64">
                  <c:v>abr/18</c:v>
                </c:pt>
                <c:pt idx="65">
                  <c:v>mai/18</c:v>
                </c:pt>
                <c:pt idx="66">
                  <c:v>jun/18</c:v>
                </c:pt>
                <c:pt idx="67">
                  <c:v>jul/18</c:v>
                </c:pt>
                <c:pt idx="68">
                  <c:v>ago/18</c:v>
                </c:pt>
                <c:pt idx="69">
                  <c:v>set/18</c:v>
                </c:pt>
                <c:pt idx="70">
                  <c:v>out/18</c:v>
                </c:pt>
                <c:pt idx="71">
                  <c:v>nov/18</c:v>
                </c:pt>
                <c:pt idx="72">
                  <c:v>dez/18</c:v>
                </c:pt>
                <c:pt idx="73">
                  <c:v>jan/19</c:v>
                </c:pt>
                <c:pt idx="74">
                  <c:v>fev/19</c:v>
                </c:pt>
                <c:pt idx="75">
                  <c:v>mar/19</c:v>
                </c:pt>
                <c:pt idx="76">
                  <c:v>abr/19</c:v>
                </c:pt>
                <c:pt idx="77">
                  <c:v>mai/19</c:v>
                </c:pt>
                <c:pt idx="78">
                  <c:v>jun/19</c:v>
                </c:pt>
                <c:pt idx="79">
                  <c:v>jul/19</c:v>
                </c:pt>
                <c:pt idx="80">
                  <c:v>ago/19</c:v>
                </c:pt>
                <c:pt idx="81">
                  <c:v>set/19</c:v>
                </c:pt>
                <c:pt idx="82">
                  <c:v>out/19</c:v>
                </c:pt>
                <c:pt idx="83">
                  <c:v>nov/19</c:v>
                </c:pt>
                <c:pt idx="84">
                  <c:v>dez/19</c:v>
                </c:pt>
                <c:pt idx="85">
                  <c:v>jan/20</c:v>
                </c:pt>
                <c:pt idx="86">
                  <c:v>fev/20</c:v>
                </c:pt>
                <c:pt idx="87">
                  <c:v>mar/20</c:v>
                </c:pt>
                <c:pt idx="88">
                  <c:v>abr/20</c:v>
                </c:pt>
                <c:pt idx="89">
                  <c:v>mai/20</c:v>
                </c:pt>
                <c:pt idx="90">
                  <c:v>jun/20</c:v>
                </c:pt>
                <c:pt idx="91">
                  <c:v>jul/20</c:v>
                </c:pt>
                <c:pt idx="92">
                  <c:v>ago/20</c:v>
                </c:pt>
                <c:pt idx="93">
                  <c:v>set/20</c:v>
                </c:pt>
                <c:pt idx="94">
                  <c:v>out/20</c:v>
                </c:pt>
                <c:pt idx="95">
                  <c:v>nov/20</c:v>
                </c:pt>
                <c:pt idx="96">
                  <c:v>dez/20</c:v>
                </c:pt>
                <c:pt idx="97">
                  <c:v>jan/21</c:v>
                </c:pt>
                <c:pt idx="98">
                  <c:v>fev/21</c:v>
                </c:pt>
                <c:pt idx="99">
                  <c:v>mar/21</c:v>
                </c:pt>
                <c:pt idx="100">
                  <c:v>abr/21</c:v>
                </c:pt>
                <c:pt idx="101">
                  <c:v>mai/21</c:v>
                </c:pt>
                <c:pt idx="102">
                  <c:v>jun/21</c:v>
                </c:pt>
                <c:pt idx="103">
                  <c:v>jul/21</c:v>
                </c:pt>
                <c:pt idx="104">
                  <c:v>ago/21</c:v>
                </c:pt>
                <c:pt idx="105">
                  <c:v>set/21</c:v>
                </c:pt>
                <c:pt idx="106">
                  <c:v>out/21</c:v>
                </c:pt>
                <c:pt idx="107">
                  <c:v>nov/21</c:v>
                </c:pt>
                <c:pt idx="108">
                  <c:v>dez/21</c:v>
                </c:pt>
                <c:pt idx="109">
                  <c:v>jan/22</c:v>
                </c:pt>
                <c:pt idx="110">
                  <c:v>fev/22</c:v>
                </c:pt>
                <c:pt idx="111">
                  <c:v>mar/22</c:v>
                </c:pt>
                <c:pt idx="112">
                  <c:v>abr/22</c:v>
                </c:pt>
                <c:pt idx="113">
                  <c:v>mai/22</c:v>
                </c:pt>
                <c:pt idx="114">
                  <c:v>jun/22</c:v>
                </c:pt>
                <c:pt idx="115">
                  <c:v>jul/22</c:v>
                </c:pt>
                <c:pt idx="116">
                  <c:v>ago/22</c:v>
                </c:pt>
                <c:pt idx="117">
                  <c:v>set/22</c:v>
                </c:pt>
                <c:pt idx="118">
                  <c:v>out/22</c:v>
                </c:pt>
                <c:pt idx="119">
                  <c:v>nov/22</c:v>
                </c:pt>
                <c:pt idx="120">
                  <c:v>dez/22</c:v>
                </c:pt>
                <c:pt idx="121">
                  <c:v>jan/23</c:v>
                </c:pt>
                <c:pt idx="122">
                  <c:v>fev/23</c:v>
                </c:pt>
                <c:pt idx="123">
                  <c:v>mar/23</c:v>
                </c:pt>
                <c:pt idx="124">
                  <c:v>abr/23</c:v>
                </c:pt>
                <c:pt idx="125">
                  <c:v>mai/23</c:v>
                </c:pt>
                <c:pt idx="126">
                  <c:v>jun/23</c:v>
                </c:pt>
                <c:pt idx="127">
                  <c:v>jul/23</c:v>
                </c:pt>
                <c:pt idx="128">
                  <c:v>ago/23</c:v>
                </c:pt>
                <c:pt idx="129">
                  <c:v>set/23</c:v>
                </c:pt>
                <c:pt idx="130">
                  <c:v>out/23</c:v>
                </c:pt>
                <c:pt idx="131">
                  <c:v>nov/23</c:v>
                </c:pt>
                <c:pt idx="132">
                  <c:v>dez/23</c:v>
                </c:pt>
                <c:pt idx="133">
                  <c:v>jan/24</c:v>
                </c:pt>
                <c:pt idx="134">
                  <c:v>fev/24</c:v>
                </c:pt>
                <c:pt idx="135">
                  <c:v>mar/24</c:v>
                </c:pt>
                <c:pt idx="136">
                  <c:v>abr/24</c:v>
                </c:pt>
                <c:pt idx="137">
                  <c:v>mai/24</c:v>
                </c:pt>
                <c:pt idx="138">
                  <c:v>jun/24</c:v>
                </c:pt>
                <c:pt idx="139">
                  <c:v>jul/24</c:v>
                </c:pt>
                <c:pt idx="140">
                  <c:v>ago/24</c:v>
                </c:pt>
                <c:pt idx="141">
                  <c:v>set/24</c:v>
                </c:pt>
                <c:pt idx="142">
                  <c:v>out/24</c:v>
                </c:pt>
                <c:pt idx="143">
                  <c:v>nov/24</c:v>
                </c:pt>
                <c:pt idx="144">
                  <c:v>dez/24</c:v>
                </c:pt>
                <c:pt idx="145">
                  <c:v>jan/25</c:v>
                </c:pt>
                <c:pt idx="146">
                  <c:v>fev/25</c:v>
                </c:pt>
                <c:pt idx="147">
                  <c:v>mar/25</c:v>
                </c:pt>
                <c:pt idx="148">
                  <c:v>abr/25</c:v>
                </c:pt>
                <c:pt idx="149">
                  <c:v>mai/25</c:v>
                </c:pt>
                <c:pt idx="150">
                  <c:v>jun/25</c:v>
                </c:pt>
                <c:pt idx="151">
                  <c:v>jul/25</c:v>
                </c:pt>
                <c:pt idx="152">
                  <c:v>ago/25</c:v>
                </c:pt>
                <c:pt idx="153">
                  <c:v>set/25</c:v>
                </c:pt>
                <c:pt idx="154">
                  <c:v>out/25</c:v>
                </c:pt>
                <c:pt idx="155">
                  <c:v>nov/25</c:v>
                </c:pt>
                <c:pt idx="156">
                  <c:v>dez/25</c:v>
                </c:pt>
                <c:pt idx="157">
                  <c:v>jan/26</c:v>
                </c:pt>
                <c:pt idx="158">
                  <c:v>fev/26</c:v>
                </c:pt>
                <c:pt idx="159">
                  <c:v>mar/26</c:v>
                </c:pt>
                <c:pt idx="160">
                  <c:v>abr/26</c:v>
                </c:pt>
                <c:pt idx="161">
                  <c:v>mai/26</c:v>
                </c:pt>
                <c:pt idx="162">
                  <c:v>jun/26</c:v>
                </c:pt>
                <c:pt idx="163">
                  <c:v>jul/26</c:v>
                </c:pt>
              </c:strCache>
            </c:strRef>
          </c:cat>
          <c:val>
            <c:numRef>
              <c:f>'STP-20260916142656941'!$L$1:$L$166</c:f>
              <c:numCache>
                <c:formatCode>General</c:formatCode>
                <c:ptCount val="166"/>
                <c:pt idx="1">
                  <c:v>34.507586206896555</c:v>
                </c:pt>
                <c:pt idx="2">
                  <c:v>35.096551724137932</c:v>
                </c:pt>
                <c:pt idx="3">
                  <c:v>34.845517241379312</c:v>
                </c:pt>
                <c:pt idx="4">
                  <c:v>34.634201585503966</c:v>
                </c:pt>
                <c:pt idx="5">
                  <c:v>33.791991434689507</c:v>
                </c:pt>
                <c:pt idx="6">
                  <c:v>31.918749999999999</c:v>
                </c:pt>
                <c:pt idx="7">
                  <c:v>31.242243713733075</c:v>
                </c:pt>
                <c:pt idx="8">
                  <c:v>30.50166037735849</c:v>
                </c:pt>
                <c:pt idx="9">
                  <c:v>29.247777777777781</c:v>
                </c:pt>
                <c:pt idx="10">
                  <c:v>28.565965517241381</c:v>
                </c:pt>
                <c:pt idx="11">
                  <c:v>28.548691099476436</c:v>
                </c:pt>
                <c:pt idx="12">
                  <c:v>28.594999999999999</c:v>
                </c:pt>
                <c:pt idx="13">
                  <c:v>27.512012578616357</c:v>
                </c:pt>
                <c:pt idx="14">
                  <c:v>27.843123938879462</c:v>
                </c:pt>
                <c:pt idx="15">
                  <c:v>27.036279069767442</c:v>
                </c:pt>
                <c:pt idx="16">
                  <c:v>25.260091047040973</c:v>
                </c:pt>
                <c:pt idx="17">
                  <c:v>25.479090909090907</c:v>
                </c:pt>
                <c:pt idx="18">
                  <c:v>26.007272727272724</c:v>
                </c:pt>
                <c:pt idx="19">
                  <c:v>25.982727272727274</c:v>
                </c:pt>
                <c:pt idx="20">
                  <c:v>26.66</c:v>
                </c:pt>
                <c:pt idx="21">
                  <c:v>25.864545454545453</c:v>
                </c:pt>
                <c:pt idx="22">
                  <c:v>27.292708638360178</c:v>
                </c:pt>
                <c:pt idx="23">
                  <c:v>27.807111111111109</c:v>
                </c:pt>
                <c:pt idx="24">
                  <c:v>27.393659545141283</c:v>
                </c:pt>
                <c:pt idx="25">
                  <c:v>27.431117129316181</c:v>
                </c:pt>
                <c:pt idx="26">
                  <c:v>27.24</c:v>
                </c:pt>
                <c:pt idx="27">
                  <c:v>26.453858868404321</c:v>
                </c:pt>
                <c:pt idx="28">
                  <c:v>26.317754569190601</c:v>
                </c:pt>
                <c:pt idx="29">
                  <c:v>26.800754716981132</c:v>
                </c:pt>
                <c:pt idx="30">
                  <c:v>27.463503649635037</c:v>
                </c:pt>
                <c:pt idx="31">
                  <c:v>28.88423639555295</c:v>
                </c:pt>
                <c:pt idx="32">
                  <c:v>28.169122807017544</c:v>
                </c:pt>
                <c:pt idx="33">
                  <c:v>29.120701754385966</c:v>
                </c:pt>
                <c:pt idx="34">
                  <c:v>28.068070175438599</c:v>
                </c:pt>
                <c:pt idx="35">
                  <c:v>29.64842105263158</c:v>
                </c:pt>
                <c:pt idx="36">
                  <c:v>30.233684210526313</c:v>
                </c:pt>
                <c:pt idx="37">
                  <c:v>31.423157894736839</c:v>
                </c:pt>
                <c:pt idx="38">
                  <c:v>31.880701754385967</c:v>
                </c:pt>
                <c:pt idx="39">
                  <c:v>32.131228070175439</c:v>
                </c:pt>
                <c:pt idx="40">
                  <c:v>32.501052631578943</c:v>
                </c:pt>
                <c:pt idx="41">
                  <c:v>33.312982456140347</c:v>
                </c:pt>
                <c:pt idx="42">
                  <c:v>33.025964912280699</c:v>
                </c:pt>
                <c:pt idx="43">
                  <c:v>32.965614035087718</c:v>
                </c:pt>
                <c:pt idx="44">
                  <c:v>33.876491228070179</c:v>
                </c:pt>
                <c:pt idx="45">
                  <c:v>34.473684210526315</c:v>
                </c:pt>
                <c:pt idx="46">
                  <c:v>34.195031339031345</c:v>
                </c:pt>
                <c:pt idx="47">
                  <c:v>35.344285714285711</c:v>
                </c:pt>
                <c:pt idx="48">
                  <c:v>36.198545454545453</c:v>
                </c:pt>
                <c:pt idx="49">
                  <c:v>37.50151975683891</c:v>
                </c:pt>
                <c:pt idx="50">
                  <c:v>37.990431154381085</c:v>
                </c:pt>
                <c:pt idx="51">
                  <c:v>40.026938775510203</c:v>
                </c:pt>
                <c:pt idx="52">
                  <c:v>36.425751072961376</c:v>
                </c:pt>
                <c:pt idx="53">
                  <c:v>31.889777777777777</c:v>
                </c:pt>
                <c:pt idx="54">
                  <c:v>37.381463414634148</c:v>
                </c:pt>
                <c:pt idx="55">
                  <c:v>42.113413269384495</c:v>
                </c:pt>
                <c:pt idx="56">
                  <c:v>46.272432432432431</c:v>
                </c:pt>
                <c:pt idx="57">
                  <c:v>41.107662082514743</c:v>
                </c:pt>
                <c:pt idx="58">
                  <c:v>43.786189054726364</c:v>
                </c:pt>
                <c:pt idx="59">
                  <c:v>47.889333333333333</c:v>
                </c:pt>
                <c:pt idx="60">
                  <c:v>49.698636363636361</c:v>
                </c:pt>
                <c:pt idx="61">
                  <c:v>48.828571428571429</c:v>
                </c:pt>
                <c:pt idx="62">
                  <c:v>50.9548623853211</c:v>
                </c:pt>
                <c:pt idx="63">
                  <c:v>52.267424425634822</c:v>
                </c:pt>
                <c:pt idx="64">
                  <c:v>53.798461538461538</c:v>
                </c:pt>
                <c:pt idx="65">
                  <c:v>48.515384615384619</c:v>
                </c:pt>
                <c:pt idx="66">
                  <c:v>45.832307692307694</c:v>
                </c:pt>
                <c:pt idx="67">
                  <c:v>43.072307692307696</c:v>
                </c:pt>
                <c:pt idx="68">
                  <c:v>43.596923076923076</c:v>
                </c:pt>
                <c:pt idx="69">
                  <c:v>43.726153846153849</c:v>
                </c:pt>
                <c:pt idx="70">
                  <c:v>43.470769230769228</c:v>
                </c:pt>
                <c:pt idx="71">
                  <c:v>44.364615384615384</c:v>
                </c:pt>
                <c:pt idx="72">
                  <c:v>45.055384615384618</c:v>
                </c:pt>
                <c:pt idx="73">
                  <c:v>44.396923076923073</c:v>
                </c:pt>
                <c:pt idx="74">
                  <c:v>45.709230769230771</c:v>
                </c:pt>
                <c:pt idx="75">
                  <c:v>46.32</c:v>
                </c:pt>
                <c:pt idx="76">
                  <c:v>45.872307692307693</c:v>
                </c:pt>
                <c:pt idx="77">
                  <c:v>46.124615384615382</c:v>
                </c:pt>
                <c:pt idx="78">
                  <c:v>46.24</c:v>
                </c:pt>
                <c:pt idx="79">
                  <c:v>46.216923076923081</c:v>
                </c:pt>
                <c:pt idx="80">
                  <c:v>51.034999999999997</c:v>
                </c:pt>
                <c:pt idx="81">
                  <c:v>52.929310344827591</c:v>
                </c:pt>
                <c:pt idx="82">
                  <c:v>57.528705882352952</c:v>
                </c:pt>
                <c:pt idx="83">
                  <c:v>63.186</c:v>
                </c:pt>
                <c:pt idx="84">
                  <c:v>67.753172413793109</c:v>
                </c:pt>
                <c:pt idx="85">
                  <c:v>69.908888888888882</c:v>
                </c:pt>
                <c:pt idx="86">
                  <c:v>74.927148594377513</c:v>
                </c:pt>
                <c:pt idx="87">
                  <c:v>80.998483033932132</c:v>
                </c:pt>
                <c:pt idx="88">
                  <c:v>83.589333333333329</c:v>
                </c:pt>
                <c:pt idx="89">
                  <c:v>96.179487179487182</c:v>
                </c:pt>
                <c:pt idx="90">
                  <c:v>107.73457943925234</c:v>
                </c:pt>
                <c:pt idx="91">
                  <c:v>136.86222222222221</c:v>
                </c:pt>
                <c:pt idx="92">
                  <c:v>149.80474308300393</c:v>
                </c:pt>
                <c:pt idx="93">
                  <c:v>153.49</c:v>
                </c:pt>
                <c:pt idx="94">
                  <c:v>157.46</c:v>
                </c:pt>
                <c:pt idx="95">
                  <c:v>160.375</c:v>
                </c:pt>
                <c:pt idx="96">
                  <c:v>164.09</c:v>
                </c:pt>
                <c:pt idx="97">
                  <c:v>164.85499999999999</c:v>
                </c:pt>
                <c:pt idx="98">
                  <c:v>163.52000000000001</c:v>
                </c:pt>
                <c:pt idx="99">
                  <c:v>143.60482758620691</c:v>
                </c:pt>
                <c:pt idx="100">
                  <c:v>122.33454545454546</c:v>
                </c:pt>
                <c:pt idx="101">
                  <c:v>97.637422434367551</c:v>
                </c:pt>
                <c:pt idx="102">
                  <c:v>85.48051948051949</c:v>
                </c:pt>
                <c:pt idx="103">
                  <c:v>77.92235294117647</c:v>
                </c:pt>
                <c:pt idx="104">
                  <c:v>65.507149606299208</c:v>
                </c:pt>
                <c:pt idx="105">
                  <c:v>61.39214501510574</c:v>
                </c:pt>
                <c:pt idx="106">
                  <c:v>53.11048811013768</c:v>
                </c:pt>
                <c:pt idx="107">
                  <c:v>44.349677419354833</c:v>
                </c:pt>
                <c:pt idx="108">
                  <c:v>39.194831665150133</c:v>
                </c:pt>
                <c:pt idx="109">
                  <c:v>37.435675675675675</c:v>
                </c:pt>
                <c:pt idx="110">
                  <c:v>33.373557046979869</c:v>
                </c:pt>
                <c:pt idx="111">
                  <c:v>31.963158650394828</c:v>
                </c:pt>
                <c:pt idx="112">
                  <c:v>30.976170212765961</c:v>
                </c:pt>
                <c:pt idx="113">
                  <c:v>29.224383386581469</c:v>
                </c:pt>
                <c:pt idx="114">
                  <c:v>28.488461538461539</c:v>
                </c:pt>
                <c:pt idx="115">
                  <c:v>29.806037735849056</c:v>
                </c:pt>
                <c:pt idx="116">
                  <c:v>29.165179517363157</c:v>
                </c:pt>
                <c:pt idx="117">
                  <c:v>28.426909090909092</c:v>
                </c:pt>
                <c:pt idx="118">
                  <c:v>29.78109090909091</c:v>
                </c:pt>
                <c:pt idx="119">
                  <c:v>28.821818181818184</c:v>
                </c:pt>
                <c:pt idx="120">
                  <c:v>29.958545454545455</c:v>
                </c:pt>
                <c:pt idx="121">
                  <c:v>30.231999999999999</c:v>
                </c:pt>
                <c:pt idx="122">
                  <c:v>30.576000000000001</c:v>
                </c:pt>
                <c:pt idx="123">
                  <c:v>31.514909090909089</c:v>
                </c:pt>
                <c:pt idx="124">
                  <c:v>32.533090909090909</c:v>
                </c:pt>
                <c:pt idx="125">
                  <c:v>33.016000000000005</c:v>
                </c:pt>
                <c:pt idx="126">
                  <c:v>31.697454545454544</c:v>
                </c:pt>
                <c:pt idx="127">
                  <c:v>32.096727272727271</c:v>
                </c:pt>
                <c:pt idx="128">
                  <c:v>33.541736490588946</c:v>
                </c:pt>
                <c:pt idx="129">
                  <c:v>33.715414012738854</c:v>
                </c:pt>
                <c:pt idx="130">
                  <c:v>34.895686274509806</c:v>
                </c:pt>
                <c:pt idx="131">
                  <c:v>35.448913043478257</c:v>
                </c:pt>
                <c:pt idx="132">
                  <c:v>36.965879973027647</c:v>
                </c:pt>
                <c:pt idx="133">
                  <c:v>35.674893617021276</c:v>
                </c:pt>
                <c:pt idx="134">
                  <c:v>36.626666666666665</c:v>
                </c:pt>
                <c:pt idx="135">
                  <c:v>38.046234522942463</c:v>
                </c:pt>
                <c:pt idx="136">
                  <c:v>39.389767441860464</c:v>
                </c:pt>
                <c:pt idx="137">
                  <c:v>39.983847328244281</c:v>
                </c:pt>
                <c:pt idx="138">
                  <c:v>40.826666666666668</c:v>
                </c:pt>
                <c:pt idx="139">
                  <c:v>41.160952380952381</c:v>
                </c:pt>
                <c:pt idx="140">
                  <c:v>40.657142857142858</c:v>
                </c:pt>
                <c:pt idx="141">
                  <c:v>41.360377358490567</c:v>
                </c:pt>
                <c:pt idx="142">
                  <c:v>40.829767441860469</c:v>
                </c:pt>
                <c:pt idx="143">
                  <c:v>39.991031390134523</c:v>
                </c:pt>
                <c:pt idx="144">
                  <c:v>37.965016949152549</c:v>
                </c:pt>
                <c:pt idx="145">
                  <c:v>36.602331368696795</c:v>
                </c:pt>
                <c:pt idx="146">
                  <c:v>34.38943396226415</c:v>
                </c:pt>
                <c:pt idx="147">
                  <c:v>33.546729745712597</c:v>
                </c:pt>
                <c:pt idx="148">
                  <c:v>32.065964912280698</c:v>
                </c:pt>
                <c:pt idx="149">
                  <c:v>31.416066115702478</c:v>
                </c:pt>
                <c:pt idx="150">
                  <c:v>30.585185185185185</c:v>
                </c:pt>
                <c:pt idx="151">
                  <c:v>30.178000000000001</c:v>
                </c:pt>
                <c:pt idx="152">
                  <c:v>30.242666666666665</c:v>
                </c:pt>
                <c:pt idx="153">
                  <c:v>29.870666666666668</c:v>
                </c:pt>
                <c:pt idx="154">
                  <c:v>29.805999999999997</c:v>
                </c:pt>
                <c:pt idx="155">
                  <c:v>29.891333333333332</c:v>
                </c:pt>
                <c:pt idx="156">
                  <c:v>29.494000000000003</c:v>
                </c:pt>
                <c:pt idx="157">
                  <c:v>28.628</c:v>
                </c:pt>
                <c:pt idx="158">
                  <c:v>29.483999999999998</c:v>
                </c:pt>
                <c:pt idx="159">
                  <c:v>29.07387114239307</c:v>
                </c:pt>
                <c:pt idx="160">
                  <c:v>29.302656868287169</c:v>
                </c:pt>
                <c:pt idx="161">
                  <c:v>30.37103448275862</c:v>
                </c:pt>
                <c:pt idx="162">
                  <c:v>30.742790966994786</c:v>
                </c:pt>
                <c:pt idx="163">
                  <c:v>30.607017543859648</c:v>
                </c:pt>
                <c:pt idx="165">
                  <c:v>46.527935121908129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4C-4B06-BF08-E6D128598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967871"/>
        <c:axId val="1040824511"/>
      </c:lineChart>
      <c:catAx>
        <c:axId val="108096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824511"/>
        <c:crosses val="autoZero"/>
        <c:auto val="1"/>
        <c:lblAlgn val="ctr"/>
        <c:lblOffset val="100"/>
        <c:noMultiLvlLbl val="0"/>
      </c:catAx>
      <c:valAx>
        <c:axId val="10408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96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4</xdr:row>
      <xdr:rowOff>38100</xdr:rowOff>
    </xdr:from>
    <xdr:to>
      <xdr:col>25</xdr:col>
      <xdr:colOff>247650</xdr:colOff>
      <xdr:row>21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5395F6-7854-4C4F-6E01-B7A77D669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23</xdr:row>
      <xdr:rowOff>109537</xdr:rowOff>
    </xdr:from>
    <xdr:to>
      <xdr:col>24</xdr:col>
      <xdr:colOff>76200</xdr:colOff>
      <xdr:row>43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C16355-DF60-F5F5-36DB-1508C1B8B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285749</xdr:colOff>
      <xdr:row>45</xdr:row>
      <xdr:rowOff>52386</xdr:rowOff>
    </xdr:from>
    <xdr:to>
      <xdr:col>29</xdr:col>
      <xdr:colOff>581024</xdr:colOff>
      <xdr:row>72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130C95-913E-ACF9-C753-CC6576A22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AA0D-5B8A-411C-8B59-1B2A58F95E77}">
  <dimension ref="A1:AC166"/>
  <sheetViews>
    <sheetView tabSelected="1" workbookViewId="0">
      <selection activeCell="P182" sqref="P182"/>
    </sheetView>
  </sheetViews>
  <sheetFormatPr defaultRowHeight="15" x14ac:dyDescent="0.25"/>
  <cols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9" x14ac:dyDescent="0.25">
      <c r="A2" s="1">
        <v>41275</v>
      </c>
      <c r="B2">
        <v>122.4</v>
      </c>
      <c r="C2">
        <v>250.18</v>
      </c>
      <c r="D2">
        <v>111.06</v>
      </c>
      <c r="E2">
        <v>15.68</v>
      </c>
      <c r="F2">
        <v>8.06</v>
      </c>
      <c r="G2">
        <v>9.14</v>
      </c>
      <c r="I2">
        <v>7.25</v>
      </c>
      <c r="J2">
        <f>G2/I2</f>
        <v>1.2606896551724138</v>
      </c>
      <c r="K2">
        <f>B2/I2</f>
        <v>16.882758620689657</v>
      </c>
      <c r="L2">
        <f>C2/I2</f>
        <v>34.507586206896555</v>
      </c>
      <c r="M2">
        <f t="shared" ref="M2:M65" si="0">D2/I2</f>
        <v>15.318620689655173</v>
      </c>
    </row>
    <row r="3" spans="1:29" x14ac:dyDescent="0.25">
      <c r="A3" s="1">
        <v>41306</v>
      </c>
      <c r="B3">
        <v>122.58</v>
      </c>
      <c r="C3">
        <v>254.45</v>
      </c>
      <c r="D3">
        <v>110.58</v>
      </c>
      <c r="E3">
        <v>15.54</v>
      </c>
      <c r="F3">
        <v>8.01</v>
      </c>
      <c r="G3">
        <v>9.08</v>
      </c>
      <c r="I3">
        <v>7.25</v>
      </c>
      <c r="J3">
        <f t="shared" ref="J3:J66" si="1">G3/I3</f>
        <v>1.2524137931034482</v>
      </c>
      <c r="K3">
        <f t="shared" ref="K3:K66" si="2">B3/I3</f>
        <v>16.90758620689655</v>
      </c>
      <c r="L3">
        <f t="shared" ref="L3:L66" si="3">C3/I3</f>
        <v>35.096551724137932</v>
      </c>
      <c r="M3">
        <f t="shared" si="0"/>
        <v>15.252413793103448</v>
      </c>
    </row>
    <row r="4" spans="1:29" x14ac:dyDescent="0.25">
      <c r="A4" s="1">
        <v>41334</v>
      </c>
      <c r="B4">
        <v>122.09</v>
      </c>
      <c r="C4">
        <v>252.63</v>
      </c>
      <c r="D4">
        <v>109.92</v>
      </c>
      <c r="E4">
        <v>15.33</v>
      </c>
      <c r="F4">
        <v>7.94</v>
      </c>
      <c r="G4">
        <v>9</v>
      </c>
      <c r="I4">
        <v>7.25</v>
      </c>
      <c r="J4">
        <f t="shared" si="1"/>
        <v>1.2413793103448276</v>
      </c>
      <c r="K4">
        <f t="shared" si="2"/>
        <v>16.84</v>
      </c>
      <c r="L4">
        <f t="shared" si="3"/>
        <v>34.845517241379312</v>
      </c>
      <c r="M4">
        <f t="shared" si="0"/>
        <v>15.161379310344827</v>
      </c>
    </row>
    <row r="5" spans="1:29" x14ac:dyDescent="0.25">
      <c r="A5" s="1">
        <v>41365</v>
      </c>
      <c r="B5">
        <v>121.62</v>
      </c>
      <c r="C5">
        <v>254.85</v>
      </c>
      <c r="D5">
        <v>108.56</v>
      </c>
      <c r="E5">
        <v>15.13</v>
      </c>
      <c r="F5">
        <v>7.89</v>
      </c>
      <c r="G5">
        <v>8.94</v>
      </c>
      <c r="I5">
        <v>7.3583333333333334</v>
      </c>
      <c r="J5">
        <f t="shared" si="1"/>
        <v>1.2149490373725933</v>
      </c>
      <c r="K5">
        <f t="shared" si="2"/>
        <v>16.528199320498302</v>
      </c>
      <c r="L5">
        <f t="shared" si="3"/>
        <v>34.634201585503966</v>
      </c>
      <c r="M5">
        <f t="shared" si="0"/>
        <v>14.753340883352209</v>
      </c>
    </row>
    <row r="6" spans="1:29" x14ac:dyDescent="0.25">
      <c r="A6" s="1">
        <v>41395</v>
      </c>
      <c r="B6">
        <v>121.13</v>
      </c>
      <c r="C6">
        <v>254.53</v>
      </c>
      <c r="D6">
        <v>108.56</v>
      </c>
      <c r="E6">
        <v>14.88</v>
      </c>
      <c r="F6">
        <v>7.84</v>
      </c>
      <c r="G6">
        <v>8.8699999999999992</v>
      </c>
      <c r="I6">
        <v>7.532258064516129</v>
      </c>
      <c r="J6">
        <f t="shared" si="1"/>
        <v>1.1776017130620984</v>
      </c>
      <c r="K6">
        <f t="shared" si="2"/>
        <v>16.081498929336188</v>
      </c>
      <c r="L6">
        <f t="shared" si="3"/>
        <v>33.791991434689507</v>
      </c>
      <c r="M6">
        <f t="shared" si="0"/>
        <v>14.412676659528909</v>
      </c>
      <c r="AB6">
        <v>59275</v>
      </c>
      <c r="AC6">
        <v>709166604398</v>
      </c>
    </row>
    <row r="7" spans="1:29" x14ac:dyDescent="0.25">
      <c r="A7" s="1">
        <v>41426</v>
      </c>
      <c r="B7">
        <v>121.77</v>
      </c>
      <c r="C7">
        <v>255.35</v>
      </c>
      <c r="D7">
        <v>108.6</v>
      </c>
      <c r="E7">
        <v>14.69</v>
      </c>
      <c r="F7">
        <v>7.79</v>
      </c>
      <c r="G7">
        <v>8.82</v>
      </c>
      <c r="I7">
        <v>8</v>
      </c>
      <c r="J7">
        <f t="shared" si="1"/>
        <v>1.1025</v>
      </c>
      <c r="K7">
        <f t="shared" si="2"/>
        <v>15.22125</v>
      </c>
      <c r="L7">
        <f t="shared" si="3"/>
        <v>31.918749999999999</v>
      </c>
      <c r="M7">
        <f t="shared" si="0"/>
        <v>13.574999999999999</v>
      </c>
      <c r="AB7">
        <v>32565</v>
      </c>
      <c r="AC7">
        <v>389610481963</v>
      </c>
    </row>
    <row r="8" spans="1:29" x14ac:dyDescent="0.25">
      <c r="A8" s="1">
        <v>41456</v>
      </c>
      <c r="B8">
        <v>121.96</v>
      </c>
      <c r="C8">
        <v>260.52</v>
      </c>
      <c r="D8">
        <v>107.9</v>
      </c>
      <c r="E8">
        <v>14.53</v>
      </c>
      <c r="F8">
        <v>7.75</v>
      </c>
      <c r="G8">
        <v>8.77</v>
      </c>
      <c r="I8">
        <v>8.3387096774193541</v>
      </c>
      <c r="J8">
        <f t="shared" si="1"/>
        <v>1.0517214700193425</v>
      </c>
      <c r="K8">
        <f t="shared" si="2"/>
        <v>14.625764023210833</v>
      </c>
      <c r="L8">
        <f t="shared" si="3"/>
        <v>31.242243713733075</v>
      </c>
      <c r="M8">
        <f t="shared" si="0"/>
        <v>12.939651837524179</v>
      </c>
      <c r="AB8">
        <f>AB6/AB7</f>
        <v>1.8202057423614311</v>
      </c>
      <c r="AC8">
        <f>AC6/AC7</f>
        <v>1.8201938531657553</v>
      </c>
    </row>
    <row r="9" spans="1:29" x14ac:dyDescent="0.25">
      <c r="A9" s="1">
        <v>41487</v>
      </c>
      <c r="B9">
        <v>122.64</v>
      </c>
      <c r="C9">
        <v>260.74</v>
      </c>
      <c r="D9">
        <v>107.79</v>
      </c>
      <c r="E9">
        <v>14.36</v>
      </c>
      <c r="F9">
        <v>7.72</v>
      </c>
      <c r="G9">
        <v>8.73</v>
      </c>
      <c r="I9">
        <v>8.5483870967741939</v>
      </c>
      <c r="J9">
        <f t="shared" si="1"/>
        <v>1.0212452830188679</v>
      </c>
      <c r="K9">
        <f t="shared" si="2"/>
        <v>14.346566037735849</v>
      </c>
      <c r="L9">
        <f t="shared" si="3"/>
        <v>30.50166037735849</v>
      </c>
      <c r="M9">
        <f t="shared" si="0"/>
        <v>12.609396226415095</v>
      </c>
    </row>
    <row r="10" spans="1:29" x14ac:dyDescent="0.25">
      <c r="A10" s="1">
        <v>41518</v>
      </c>
      <c r="B10">
        <v>125.51</v>
      </c>
      <c r="C10">
        <v>263.23</v>
      </c>
      <c r="D10">
        <v>107.04</v>
      </c>
      <c r="E10">
        <v>14.27</v>
      </c>
      <c r="F10">
        <v>7.71</v>
      </c>
      <c r="G10">
        <v>8.7200000000000006</v>
      </c>
      <c r="I10">
        <v>9</v>
      </c>
      <c r="J10">
        <f t="shared" si="1"/>
        <v>0.96888888888888891</v>
      </c>
      <c r="K10">
        <f t="shared" si="2"/>
        <v>13.945555555555556</v>
      </c>
      <c r="L10">
        <f t="shared" si="3"/>
        <v>29.247777777777781</v>
      </c>
      <c r="M10">
        <f t="shared" si="0"/>
        <v>11.893333333333334</v>
      </c>
    </row>
    <row r="11" spans="1:29" x14ac:dyDescent="0.25">
      <c r="A11" s="1">
        <v>41548</v>
      </c>
      <c r="B11">
        <v>126.35</v>
      </c>
      <c r="C11">
        <v>267.23</v>
      </c>
      <c r="D11">
        <v>106.59</v>
      </c>
      <c r="E11">
        <v>14.16</v>
      </c>
      <c r="F11">
        <v>7.71</v>
      </c>
      <c r="G11">
        <v>8.69</v>
      </c>
      <c r="I11">
        <v>9.3548387096774199</v>
      </c>
      <c r="J11">
        <f t="shared" si="1"/>
        <v>0.92893103448275849</v>
      </c>
      <c r="K11">
        <f t="shared" si="2"/>
        <v>13.506379310344826</v>
      </c>
      <c r="L11">
        <f t="shared" si="3"/>
        <v>28.565965517241381</v>
      </c>
      <c r="M11">
        <f t="shared" si="0"/>
        <v>11.394103448275862</v>
      </c>
    </row>
    <row r="12" spans="1:29" x14ac:dyDescent="0.25">
      <c r="A12" s="1">
        <v>41579</v>
      </c>
      <c r="B12">
        <v>127.46</v>
      </c>
      <c r="C12">
        <v>272.64</v>
      </c>
      <c r="D12">
        <v>106.99</v>
      </c>
      <c r="E12">
        <v>14.14</v>
      </c>
      <c r="F12">
        <v>7.71</v>
      </c>
      <c r="G12">
        <v>8.69</v>
      </c>
      <c r="I12">
        <v>9.5500000000000007</v>
      </c>
      <c r="J12">
        <f t="shared" si="1"/>
        <v>0.90994764397905747</v>
      </c>
      <c r="K12">
        <f t="shared" si="2"/>
        <v>13.346596858638742</v>
      </c>
      <c r="L12">
        <f t="shared" si="3"/>
        <v>28.548691099476436</v>
      </c>
      <c r="M12">
        <f t="shared" si="0"/>
        <v>11.203141361256543</v>
      </c>
    </row>
    <row r="13" spans="1:29" x14ac:dyDescent="0.25">
      <c r="A13" s="1">
        <v>41609</v>
      </c>
      <c r="B13">
        <v>129.18</v>
      </c>
      <c r="C13">
        <v>285.95</v>
      </c>
      <c r="D13">
        <v>106.76</v>
      </c>
      <c r="E13">
        <v>14.13</v>
      </c>
      <c r="F13">
        <v>7.72</v>
      </c>
      <c r="G13">
        <v>8.69</v>
      </c>
      <c r="I13">
        <v>10</v>
      </c>
      <c r="J13">
        <f t="shared" si="1"/>
        <v>0.86899999999999999</v>
      </c>
      <c r="K13">
        <f t="shared" si="2"/>
        <v>12.918000000000001</v>
      </c>
      <c r="L13">
        <f t="shared" si="3"/>
        <v>28.594999999999999</v>
      </c>
      <c r="M13">
        <f t="shared" si="0"/>
        <v>10.676</v>
      </c>
    </row>
    <row r="14" spans="1:29" x14ac:dyDescent="0.25">
      <c r="A14" s="1">
        <v>41640</v>
      </c>
      <c r="B14">
        <v>134.9</v>
      </c>
      <c r="C14">
        <v>282.22000000000003</v>
      </c>
      <c r="D14">
        <v>107.08</v>
      </c>
      <c r="E14">
        <v>14.17</v>
      </c>
      <c r="F14">
        <v>7.74</v>
      </c>
      <c r="G14">
        <v>8.7100000000000009</v>
      </c>
      <c r="I14">
        <v>10.258064516129032</v>
      </c>
      <c r="J14">
        <f t="shared" si="1"/>
        <v>0.84908805031446555</v>
      </c>
      <c r="K14">
        <f t="shared" si="2"/>
        <v>13.150628930817611</v>
      </c>
      <c r="L14">
        <f t="shared" si="3"/>
        <v>27.512012578616357</v>
      </c>
      <c r="M14">
        <f t="shared" si="0"/>
        <v>10.438616352201258</v>
      </c>
    </row>
    <row r="15" spans="1:29" x14ac:dyDescent="0.25">
      <c r="A15" s="1">
        <v>41671</v>
      </c>
      <c r="B15">
        <v>137.07</v>
      </c>
      <c r="C15">
        <v>292.85000000000002</v>
      </c>
      <c r="D15">
        <v>107.11</v>
      </c>
      <c r="E15">
        <v>14.17</v>
      </c>
      <c r="F15">
        <v>7.74</v>
      </c>
      <c r="G15">
        <v>8.7100000000000009</v>
      </c>
      <c r="I15">
        <v>10.517857142857142</v>
      </c>
      <c r="J15">
        <f t="shared" si="1"/>
        <v>0.82811544991511044</v>
      </c>
      <c r="K15">
        <f t="shared" si="2"/>
        <v>13.032122241086588</v>
      </c>
      <c r="L15">
        <f t="shared" si="3"/>
        <v>27.843123938879462</v>
      </c>
      <c r="M15">
        <f t="shared" si="0"/>
        <v>10.183633276740238</v>
      </c>
    </row>
    <row r="16" spans="1:29" x14ac:dyDescent="0.25">
      <c r="A16" s="1">
        <v>41699</v>
      </c>
      <c r="B16">
        <v>139.33000000000001</v>
      </c>
      <c r="C16">
        <v>290.64</v>
      </c>
      <c r="D16">
        <v>106.96</v>
      </c>
      <c r="E16">
        <v>14.06</v>
      </c>
      <c r="F16">
        <v>7.77</v>
      </c>
      <c r="G16">
        <v>8.7200000000000006</v>
      </c>
      <c r="I16">
        <v>10.75</v>
      </c>
      <c r="J16">
        <f t="shared" si="1"/>
        <v>0.8111627906976745</v>
      </c>
      <c r="K16">
        <f t="shared" si="2"/>
        <v>12.960930232558141</v>
      </c>
      <c r="L16">
        <f t="shared" si="3"/>
        <v>27.036279069767442</v>
      </c>
      <c r="M16">
        <f t="shared" si="0"/>
        <v>9.9497674418604642</v>
      </c>
    </row>
    <row r="17" spans="1:13" x14ac:dyDescent="0.25">
      <c r="A17" s="1">
        <v>41730</v>
      </c>
      <c r="B17">
        <v>141.43</v>
      </c>
      <c r="C17">
        <v>277.44</v>
      </c>
      <c r="D17">
        <v>106.86</v>
      </c>
      <c r="E17">
        <v>14.12</v>
      </c>
      <c r="F17">
        <v>7.78</v>
      </c>
      <c r="G17">
        <v>8.74</v>
      </c>
      <c r="I17">
        <v>10.983333333333333</v>
      </c>
      <c r="J17">
        <f t="shared" si="1"/>
        <v>0.79575113808801223</v>
      </c>
      <c r="K17">
        <f t="shared" si="2"/>
        <v>12.876783004552353</v>
      </c>
      <c r="L17">
        <f t="shared" si="3"/>
        <v>25.260091047040973</v>
      </c>
      <c r="M17">
        <f t="shared" si="0"/>
        <v>9.7292867981790607</v>
      </c>
    </row>
    <row r="18" spans="1:13" x14ac:dyDescent="0.25">
      <c r="A18" s="1">
        <v>41760</v>
      </c>
      <c r="B18">
        <v>147.68</v>
      </c>
      <c r="C18">
        <v>280.27</v>
      </c>
      <c r="D18">
        <v>106.97</v>
      </c>
      <c r="E18">
        <v>14.11</v>
      </c>
      <c r="F18">
        <v>7.81</v>
      </c>
      <c r="G18">
        <v>8.76</v>
      </c>
      <c r="I18">
        <v>11</v>
      </c>
      <c r="J18">
        <f t="shared" si="1"/>
        <v>0.79636363636363638</v>
      </c>
      <c r="K18">
        <f t="shared" si="2"/>
        <v>13.425454545454546</v>
      </c>
      <c r="L18">
        <f t="shared" si="3"/>
        <v>25.479090909090907</v>
      </c>
      <c r="M18">
        <f t="shared" si="0"/>
        <v>9.7245454545454546</v>
      </c>
    </row>
    <row r="19" spans="1:13" x14ac:dyDescent="0.25">
      <c r="A19" s="1">
        <v>41791</v>
      </c>
      <c r="B19">
        <v>150.47999999999999</v>
      </c>
      <c r="C19">
        <v>286.08</v>
      </c>
      <c r="D19">
        <v>107.02</v>
      </c>
      <c r="E19">
        <v>14.09</v>
      </c>
      <c r="F19">
        <v>7.83</v>
      </c>
      <c r="G19">
        <v>8.77</v>
      </c>
      <c r="I19">
        <v>11</v>
      </c>
      <c r="J19">
        <f t="shared" si="1"/>
        <v>0.79727272727272724</v>
      </c>
      <c r="K19">
        <f t="shared" si="2"/>
        <v>13.68</v>
      </c>
      <c r="L19">
        <f t="shared" si="3"/>
        <v>26.007272727272724</v>
      </c>
      <c r="M19">
        <f t="shared" si="0"/>
        <v>9.7290909090909086</v>
      </c>
    </row>
    <row r="20" spans="1:13" x14ac:dyDescent="0.25">
      <c r="A20" s="1">
        <v>41821</v>
      </c>
      <c r="B20">
        <v>152.44</v>
      </c>
      <c r="C20">
        <v>285.81</v>
      </c>
      <c r="D20">
        <v>106.97</v>
      </c>
      <c r="E20">
        <v>14.09</v>
      </c>
      <c r="F20">
        <v>7.87</v>
      </c>
      <c r="G20">
        <v>8.8000000000000007</v>
      </c>
      <c r="I20">
        <v>11</v>
      </c>
      <c r="J20">
        <f t="shared" si="1"/>
        <v>0.8</v>
      </c>
      <c r="K20">
        <f t="shared" si="2"/>
        <v>13.858181818181817</v>
      </c>
      <c r="L20">
        <f t="shared" si="3"/>
        <v>25.982727272727274</v>
      </c>
      <c r="M20">
        <f t="shared" si="0"/>
        <v>9.7245454545454546</v>
      </c>
    </row>
    <row r="21" spans="1:13" x14ac:dyDescent="0.25">
      <c r="A21" s="1">
        <v>41852</v>
      </c>
      <c r="B21">
        <v>153.24</v>
      </c>
      <c r="C21">
        <v>293.26</v>
      </c>
      <c r="D21">
        <v>107.08</v>
      </c>
      <c r="E21">
        <v>14.1</v>
      </c>
      <c r="F21">
        <v>7.9</v>
      </c>
      <c r="G21">
        <v>8.82</v>
      </c>
      <c r="I21">
        <v>11</v>
      </c>
      <c r="J21">
        <f t="shared" si="1"/>
        <v>0.80181818181818187</v>
      </c>
      <c r="K21">
        <f t="shared" si="2"/>
        <v>13.930909090909092</v>
      </c>
      <c r="L21">
        <f t="shared" si="3"/>
        <v>26.66</v>
      </c>
      <c r="M21">
        <f t="shared" si="0"/>
        <v>9.7345454545454544</v>
      </c>
    </row>
    <row r="22" spans="1:13" x14ac:dyDescent="0.25">
      <c r="A22" s="1">
        <v>41883</v>
      </c>
      <c r="B22">
        <v>159.80000000000001</v>
      </c>
      <c r="C22">
        <v>284.51</v>
      </c>
      <c r="D22">
        <v>107.6</v>
      </c>
      <c r="E22">
        <v>14.07</v>
      </c>
      <c r="F22">
        <v>7.92</v>
      </c>
      <c r="G22">
        <v>8.84</v>
      </c>
      <c r="I22">
        <v>11</v>
      </c>
      <c r="J22">
        <f t="shared" si="1"/>
        <v>0.80363636363636359</v>
      </c>
      <c r="K22">
        <f t="shared" si="2"/>
        <v>14.527272727272729</v>
      </c>
      <c r="L22">
        <f t="shared" si="3"/>
        <v>25.864545454545453</v>
      </c>
      <c r="M22">
        <f t="shared" si="0"/>
        <v>9.7818181818181813</v>
      </c>
    </row>
    <row r="23" spans="1:13" x14ac:dyDescent="0.25">
      <c r="A23" s="1">
        <v>41913</v>
      </c>
      <c r="B23">
        <v>163.16999999999999</v>
      </c>
      <c r="C23">
        <v>300.66000000000003</v>
      </c>
      <c r="D23">
        <v>107.62</v>
      </c>
      <c r="E23">
        <v>14.05</v>
      </c>
      <c r="F23">
        <v>7.95</v>
      </c>
      <c r="G23">
        <v>8.86</v>
      </c>
      <c r="I23">
        <v>11.016129032258064</v>
      </c>
      <c r="J23">
        <f t="shared" si="1"/>
        <v>0.80427525622254759</v>
      </c>
      <c r="K23">
        <f t="shared" si="2"/>
        <v>14.811918008784772</v>
      </c>
      <c r="L23">
        <f t="shared" si="3"/>
        <v>27.292708638360178</v>
      </c>
      <c r="M23">
        <f t="shared" si="0"/>
        <v>9.769311859443631</v>
      </c>
    </row>
    <row r="24" spans="1:13" x14ac:dyDescent="0.25">
      <c r="A24" s="1">
        <v>41944</v>
      </c>
      <c r="B24">
        <v>166.31</v>
      </c>
      <c r="C24">
        <v>312.83</v>
      </c>
      <c r="D24">
        <v>107.73</v>
      </c>
      <c r="E24">
        <v>14.02</v>
      </c>
      <c r="F24">
        <v>7.97</v>
      </c>
      <c r="G24">
        <v>8.8699999999999992</v>
      </c>
      <c r="I24">
        <v>11.25</v>
      </c>
      <c r="J24">
        <f t="shared" si="1"/>
        <v>0.78844444444444439</v>
      </c>
      <c r="K24">
        <f t="shared" si="2"/>
        <v>14.783111111111111</v>
      </c>
      <c r="L24">
        <f t="shared" si="3"/>
        <v>27.807111111111109</v>
      </c>
      <c r="M24">
        <f t="shared" si="0"/>
        <v>9.5760000000000005</v>
      </c>
    </row>
    <row r="25" spans="1:13" x14ac:dyDescent="0.25">
      <c r="A25" s="1">
        <v>41974</v>
      </c>
      <c r="B25">
        <v>174.61</v>
      </c>
      <c r="C25">
        <v>320.55</v>
      </c>
      <c r="D25">
        <v>107.34</v>
      </c>
      <c r="E25">
        <v>13.95</v>
      </c>
      <c r="F25">
        <v>7.98</v>
      </c>
      <c r="G25">
        <v>8.8699999999999992</v>
      </c>
      <c r="I25">
        <v>11.701612903225806</v>
      </c>
      <c r="J25">
        <f t="shared" si="1"/>
        <v>0.75801516195727081</v>
      </c>
      <c r="K25">
        <f t="shared" si="2"/>
        <v>14.921874569262579</v>
      </c>
      <c r="L25">
        <f t="shared" si="3"/>
        <v>27.393659545141283</v>
      </c>
      <c r="M25">
        <f t="shared" si="0"/>
        <v>9.1730944176430054</v>
      </c>
    </row>
    <row r="26" spans="1:13" x14ac:dyDescent="0.25">
      <c r="A26" s="1">
        <v>42005</v>
      </c>
      <c r="B26">
        <v>181.34</v>
      </c>
      <c r="C26">
        <v>326.74</v>
      </c>
      <c r="D26">
        <v>107.47</v>
      </c>
      <c r="E26">
        <v>13.89</v>
      </c>
      <c r="F26">
        <v>8</v>
      </c>
      <c r="G26">
        <v>8.8800000000000008</v>
      </c>
      <c r="I26">
        <v>11.911290322580646</v>
      </c>
      <c r="J26">
        <f t="shared" si="1"/>
        <v>0.7455111712931618</v>
      </c>
      <c r="K26">
        <f t="shared" si="2"/>
        <v>15.224211238997968</v>
      </c>
      <c r="L26">
        <f t="shared" si="3"/>
        <v>27.431117129316181</v>
      </c>
      <c r="M26">
        <f t="shared" si="0"/>
        <v>9.0225321597833439</v>
      </c>
    </row>
    <row r="27" spans="1:13" x14ac:dyDescent="0.25">
      <c r="A27" s="1">
        <v>42036</v>
      </c>
      <c r="B27">
        <v>185.97</v>
      </c>
      <c r="C27">
        <v>333.69</v>
      </c>
      <c r="D27">
        <v>108.08</v>
      </c>
      <c r="E27">
        <v>13.86</v>
      </c>
      <c r="F27">
        <v>8.01</v>
      </c>
      <c r="G27">
        <v>8.8800000000000008</v>
      </c>
      <c r="I27">
        <v>12.25</v>
      </c>
      <c r="J27">
        <f t="shared" si="1"/>
        <v>0.7248979591836735</v>
      </c>
      <c r="K27">
        <f t="shared" si="2"/>
        <v>15.181224489795918</v>
      </c>
      <c r="L27">
        <f t="shared" si="3"/>
        <v>27.24</v>
      </c>
      <c r="M27">
        <f t="shared" si="0"/>
        <v>8.8228571428571421</v>
      </c>
    </row>
    <row r="28" spans="1:13" x14ac:dyDescent="0.25">
      <c r="A28" s="1">
        <v>42064</v>
      </c>
      <c r="B28">
        <v>191.29</v>
      </c>
      <c r="C28">
        <v>335.58</v>
      </c>
      <c r="D28">
        <v>108.54</v>
      </c>
      <c r="E28">
        <v>13.84</v>
      </c>
      <c r="F28">
        <v>8.0399999999999991</v>
      </c>
      <c r="G28">
        <v>8.9</v>
      </c>
      <c r="I28">
        <v>12.685483870967742</v>
      </c>
      <c r="J28">
        <f t="shared" si="1"/>
        <v>0.70158931977113803</v>
      </c>
      <c r="K28">
        <f t="shared" si="2"/>
        <v>15.07944055944056</v>
      </c>
      <c r="L28">
        <f t="shared" si="3"/>
        <v>26.453858868404321</v>
      </c>
      <c r="M28">
        <f t="shared" si="0"/>
        <v>8.556236490781945</v>
      </c>
    </row>
    <row r="29" spans="1:13" x14ac:dyDescent="0.25">
      <c r="A29" s="1">
        <v>42095</v>
      </c>
      <c r="B29">
        <v>196.5</v>
      </c>
      <c r="C29">
        <v>335.99</v>
      </c>
      <c r="D29">
        <v>109.08</v>
      </c>
      <c r="E29">
        <v>13.82</v>
      </c>
      <c r="F29">
        <v>8.07</v>
      </c>
      <c r="G29">
        <v>8.91</v>
      </c>
      <c r="I29">
        <v>12.766666666666667</v>
      </c>
      <c r="J29">
        <f t="shared" si="1"/>
        <v>0.69791122715404696</v>
      </c>
      <c r="K29">
        <f t="shared" si="2"/>
        <v>15.391644908616186</v>
      </c>
      <c r="L29">
        <f t="shared" si="3"/>
        <v>26.317754569190601</v>
      </c>
      <c r="M29">
        <f t="shared" si="0"/>
        <v>8.5441253263707573</v>
      </c>
    </row>
    <row r="30" spans="1:13" x14ac:dyDescent="0.25">
      <c r="A30" s="1">
        <v>42125</v>
      </c>
      <c r="B30">
        <v>202.34</v>
      </c>
      <c r="C30">
        <v>355.11</v>
      </c>
      <c r="D30">
        <v>109.66</v>
      </c>
      <c r="E30">
        <v>13.82</v>
      </c>
      <c r="F30">
        <v>8.1</v>
      </c>
      <c r="G30">
        <v>8.93</v>
      </c>
      <c r="I30">
        <v>13.25</v>
      </c>
      <c r="J30">
        <f t="shared" si="1"/>
        <v>0.6739622641509434</v>
      </c>
      <c r="K30">
        <f t="shared" si="2"/>
        <v>15.270943396226416</v>
      </c>
      <c r="L30">
        <f t="shared" si="3"/>
        <v>26.800754716981132</v>
      </c>
      <c r="M30">
        <f t="shared" si="0"/>
        <v>8.2762264150943388</v>
      </c>
    </row>
    <row r="31" spans="1:13" x14ac:dyDescent="0.25">
      <c r="A31" s="1">
        <v>42156</v>
      </c>
      <c r="B31">
        <v>209.69</v>
      </c>
      <c r="C31">
        <v>376.25</v>
      </c>
      <c r="D31">
        <v>110.36</v>
      </c>
      <c r="E31">
        <v>13.84</v>
      </c>
      <c r="F31">
        <v>8.1300000000000008</v>
      </c>
      <c r="G31">
        <v>8.9600000000000009</v>
      </c>
      <c r="I31">
        <v>13.7</v>
      </c>
      <c r="J31">
        <f t="shared" si="1"/>
        <v>0.6540145985401461</v>
      </c>
      <c r="K31">
        <f t="shared" si="2"/>
        <v>15.305839416058395</v>
      </c>
      <c r="L31">
        <f t="shared" si="3"/>
        <v>27.463503649635037</v>
      </c>
      <c r="M31">
        <f t="shared" si="0"/>
        <v>8.0554744525547441</v>
      </c>
    </row>
    <row r="32" spans="1:13" x14ac:dyDescent="0.25">
      <c r="A32" s="1">
        <v>42186</v>
      </c>
      <c r="B32">
        <v>213.84</v>
      </c>
      <c r="C32">
        <v>398.09</v>
      </c>
      <c r="D32">
        <v>111.15</v>
      </c>
      <c r="E32">
        <v>13.86</v>
      </c>
      <c r="F32">
        <v>8.17</v>
      </c>
      <c r="G32">
        <v>8.99</v>
      </c>
      <c r="I32">
        <v>13.78225806451613</v>
      </c>
      <c r="J32">
        <f t="shared" si="1"/>
        <v>0.65228788765359857</v>
      </c>
      <c r="K32">
        <f t="shared" si="2"/>
        <v>15.515599765944996</v>
      </c>
      <c r="L32">
        <f t="shared" si="3"/>
        <v>28.88423639555295</v>
      </c>
      <c r="M32">
        <f t="shared" si="0"/>
        <v>8.064716208308953</v>
      </c>
    </row>
    <row r="33" spans="1:21" x14ac:dyDescent="0.25">
      <c r="A33" s="1">
        <v>42217</v>
      </c>
      <c r="B33">
        <v>218.92</v>
      </c>
      <c r="C33">
        <v>401.41</v>
      </c>
      <c r="D33">
        <v>112.74</v>
      </c>
      <c r="E33">
        <v>13.87</v>
      </c>
      <c r="F33">
        <v>8.1999999999999993</v>
      </c>
      <c r="G33">
        <v>9.01</v>
      </c>
      <c r="I33">
        <v>14.25</v>
      </c>
      <c r="J33">
        <f t="shared" si="1"/>
        <v>0.632280701754386</v>
      </c>
      <c r="K33">
        <f t="shared" si="2"/>
        <v>15.362807017543858</v>
      </c>
      <c r="L33">
        <f t="shared" si="3"/>
        <v>28.169122807017544</v>
      </c>
      <c r="M33">
        <f t="shared" si="0"/>
        <v>7.9115789473684206</v>
      </c>
    </row>
    <row r="34" spans="1:21" x14ac:dyDescent="0.25">
      <c r="A34" s="1">
        <v>42248</v>
      </c>
      <c r="B34">
        <v>228.91</v>
      </c>
      <c r="C34">
        <v>414.97</v>
      </c>
      <c r="D34">
        <v>113.99</v>
      </c>
      <c r="E34">
        <v>13.9</v>
      </c>
      <c r="F34">
        <v>8.23</v>
      </c>
      <c r="G34">
        <v>9.0399999999999991</v>
      </c>
      <c r="I34">
        <v>14.25</v>
      </c>
      <c r="J34">
        <f t="shared" si="1"/>
        <v>0.63438596491228061</v>
      </c>
      <c r="K34">
        <f t="shared" si="2"/>
        <v>16.063859649122808</v>
      </c>
      <c r="L34">
        <f t="shared" si="3"/>
        <v>29.120701754385966</v>
      </c>
      <c r="M34">
        <f t="shared" si="0"/>
        <v>7.9992982456140345</v>
      </c>
      <c r="U34">
        <f>228/4</f>
        <v>57</v>
      </c>
    </row>
    <row r="35" spans="1:21" x14ac:dyDescent="0.25">
      <c r="A35" s="1">
        <v>42278</v>
      </c>
      <c r="B35">
        <v>241.5</v>
      </c>
      <c r="C35">
        <v>399.97</v>
      </c>
      <c r="D35">
        <v>115.17</v>
      </c>
      <c r="E35">
        <v>13.92</v>
      </c>
      <c r="F35">
        <v>8.25</v>
      </c>
      <c r="G35">
        <v>9.06</v>
      </c>
      <c r="I35">
        <v>14.25</v>
      </c>
      <c r="J35">
        <f t="shared" si="1"/>
        <v>0.63578947368421057</v>
      </c>
      <c r="K35">
        <f t="shared" si="2"/>
        <v>16.94736842105263</v>
      </c>
      <c r="L35">
        <f t="shared" si="3"/>
        <v>28.068070175438599</v>
      </c>
      <c r="M35">
        <f t="shared" si="0"/>
        <v>8.082105263157894</v>
      </c>
    </row>
    <row r="36" spans="1:21" x14ac:dyDescent="0.25">
      <c r="A36" s="1">
        <v>42309</v>
      </c>
      <c r="B36">
        <v>247.79</v>
      </c>
      <c r="C36">
        <v>422.49</v>
      </c>
      <c r="D36">
        <v>116.4</v>
      </c>
      <c r="E36">
        <v>13.94</v>
      </c>
      <c r="F36">
        <v>8.2799999999999994</v>
      </c>
      <c r="G36">
        <v>9.09</v>
      </c>
      <c r="I36">
        <v>14.25</v>
      </c>
      <c r="J36">
        <f t="shared" si="1"/>
        <v>0.63789473684210529</v>
      </c>
      <c r="K36">
        <f t="shared" si="2"/>
        <v>17.388771929824561</v>
      </c>
      <c r="L36">
        <f t="shared" si="3"/>
        <v>29.64842105263158</v>
      </c>
      <c r="M36">
        <f t="shared" si="0"/>
        <v>8.1684210526315795</v>
      </c>
    </row>
    <row r="37" spans="1:21" x14ac:dyDescent="0.25">
      <c r="A37" s="1">
        <v>42339</v>
      </c>
      <c r="B37">
        <v>251.08</v>
      </c>
      <c r="C37">
        <v>430.83</v>
      </c>
      <c r="D37">
        <v>117.92</v>
      </c>
      <c r="E37">
        <v>13.9</v>
      </c>
      <c r="F37">
        <v>8.31</v>
      </c>
      <c r="G37">
        <v>9.1</v>
      </c>
      <c r="I37">
        <v>14.25</v>
      </c>
      <c r="J37">
        <f t="shared" si="1"/>
        <v>0.63859649122807016</v>
      </c>
      <c r="K37">
        <f t="shared" si="2"/>
        <v>17.619649122807019</v>
      </c>
      <c r="L37">
        <f t="shared" si="3"/>
        <v>30.233684210526313</v>
      </c>
      <c r="M37">
        <f t="shared" si="0"/>
        <v>8.275087719298245</v>
      </c>
    </row>
    <row r="38" spans="1:21" x14ac:dyDescent="0.25">
      <c r="A38" s="1">
        <v>42370</v>
      </c>
      <c r="B38">
        <v>255.95</v>
      </c>
      <c r="C38">
        <v>447.78</v>
      </c>
      <c r="D38">
        <v>119.89</v>
      </c>
      <c r="E38">
        <v>13.91</v>
      </c>
      <c r="F38">
        <v>8.33</v>
      </c>
      <c r="G38">
        <v>9.1199999999999992</v>
      </c>
      <c r="I38">
        <v>14.25</v>
      </c>
      <c r="J38">
        <f t="shared" si="1"/>
        <v>0.6399999999999999</v>
      </c>
      <c r="K38">
        <f t="shared" si="2"/>
        <v>17.96140350877193</v>
      </c>
      <c r="L38">
        <f t="shared" si="3"/>
        <v>31.423157894736839</v>
      </c>
      <c r="M38">
        <f t="shared" si="0"/>
        <v>8.413333333333334</v>
      </c>
      <c r="Q38">
        <f>0.04</f>
        <v>0.04</v>
      </c>
      <c r="R38">
        <f>Q38*40</f>
        <v>1.6</v>
      </c>
    </row>
    <row r="39" spans="1:21" x14ac:dyDescent="0.25">
      <c r="A39" s="1">
        <v>42401</v>
      </c>
      <c r="B39">
        <v>255.87</v>
      </c>
      <c r="C39">
        <v>454.3</v>
      </c>
      <c r="D39">
        <v>121.49</v>
      </c>
      <c r="E39">
        <v>13.92</v>
      </c>
      <c r="F39">
        <v>8.35</v>
      </c>
      <c r="G39">
        <v>9.1300000000000008</v>
      </c>
      <c r="I39">
        <v>14.25</v>
      </c>
      <c r="J39">
        <f t="shared" si="1"/>
        <v>0.64070175438596499</v>
      </c>
      <c r="K39">
        <f t="shared" si="2"/>
        <v>17.955789473684209</v>
      </c>
      <c r="L39">
        <f t="shared" si="3"/>
        <v>31.880701754385967</v>
      </c>
      <c r="M39">
        <f t="shared" si="0"/>
        <v>8.5256140350877185</v>
      </c>
      <c r="Q39">
        <v>0.05</v>
      </c>
      <c r="R39">
        <f t="shared" ref="R39:R41" si="4">Q39*40</f>
        <v>2</v>
      </c>
    </row>
    <row r="40" spans="1:21" x14ac:dyDescent="0.25">
      <c r="A40" s="1">
        <v>42430</v>
      </c>
      <c r="B40">
        <v>263</v>
      </c>
      <c r="C40">
        <v>457.87</v>
      </c>
      <c r="D40">
        <v>123.04</v>
      </c>
      <c r="E40">
        <v>13.95</v>
      </c>
      <c r="F40">
        <v>8.39</v>
      </c>
      <c r="G40">
        <v>9.17</v>
      </c>
      <c r="I40">
        <v>14.25</v>
      </c>
      <c r="J40">
        <f t="shared" si="1"/>
        <v>0.64350877192982459</v>
      </c>
      <c r="K40">
        <f t="shared" si="2"/>
        <v>18.456140350877192</v>
      </c>
      <c r="L40">
        <f t="shared" si="3"/>
        <v>32.131228070175439</v>
      </c>
      <c r="M40">
        <f t="shared" si="0"/>
        <v>8.6343859649122816</v>
      </c>
      <c r="Q40">
        <v>0.06</v>
      </c>
      <c r="R40">
        <f t="shared" si="4"/>
        <v>2.4</v>
      </c>
    </row>
    <row r="41" spans="1:21" x14ac:dyDescent="0.25">
      <c r="A41" s="1">
        <v>42461</v>
      </c>
      <c r="B41">
        <v>268.98</v>
      </c>
      <c r="C41">
        <v>463.14</v>
      </c>
      <c r="D41">
        <v>124.78</v>
      </c>
      <c r="E41">
        <v>13.96</v>
      </c>
      <c r="F41">
        <v>8.41</v>
      </c>
      <c r="G41">
        <v>9.19</v>
      </c>
      <c r="I41">
        <v>14.25</v>
      </c>
      <c r="J41">
        <f t="shared" si="1"/>
        <v>0.64491228070175433</v>
      </c>
      <c r="K41">
        <f t="shared" si="2"/>
        <v>18.875789473684211</v>
      </c>
      <c r="L41">
        <f t="shared" si="3"/>
        <v>32.501052631578943</v>
      </c>
      <c r="M41">
        <f t="shared" si="0"/>
        <v>8.7564912280701748</v>
      </c>
      <c r="Q41">
        <v>7.0000000000000007E-2</v>
      </c>
      <c r="R41">
        <f t="shared" si="4"/>
        <v>2.8000000000000003</v>
      </c>
    </row>
    <row r="42" spans="1:21" x14ac:dyDescent="0.25">
      <c r="A42" s="1">
        <v>42491</v>
      </c>
      <c r="B42">
        <v>270.24</v>
      </c>
      <c r="C42">
        <v>474.71</v>
      </c>
      <c r="D42">
        <v>125.86</v>
      </c>
      <c r="E42">
        <v>13.98</v>
      </c>
      <c r="F42">
        <v>8.44</v>
      </c>
      <c r="G42">
        <v>9.2100000000000009</v>
      </c>
      <c r="I42">
        <v>14.25</v>
      </c>
      <c r="J42">
        <f t="shared" si="1"/>
        <v>0.64631578947368429</v>
      </c>
      <c r="K42">
        <f t="shared" si="2"/>
        <v>18.964210526315789</v>
      </c>
      <c r="L42">
        <f t="shared" si="3"/>
        <v>33.312982456140347</v>
      </c>
      <c r="M42">
        <f t="shared" si="0"/>
        <v>8.8322807017543852</v>
      </c>
    </row>
    <row r="43" spans="1:21" x14ac:dyDescent="0.25">
      <c r="A43" s="1">
        <v>42522</v>
      </c>
      <c r="B43">
        <v>273.16000000000003</v>
      </c>
      <c r="C43">
        <v>470.62</v>
      </c>
      <c r="D43">
        <v>127.84</v>
      </c>
      <c r="E43">
        <v>14.01</v>
      </c>
      <c r="F43">
        <v>8.48</v>
      </c>
      <c r="G43">
        <v>9.24</v>
      </c>
      <c r="I43">
        <v>14.25</v>
      </c>
      <c r="J43">
        <f t="shared" si="1"/>
        <v>0.64842105263157901</v>
      </c>
      <c r="K43">
        <f t="shared" si="2"/>
        <v>19.169122807017544</v>
      </c>
      <c r="L43">
        <f t="shared" si="3"/>
        <v>33.025964912280699</v>
      </c>
      <c r="M43">
        <f t="shared" si="0"/>
        <v>8.9712280701754388</v>
      </c>
    </row>
    <row r="44" spans="1:21" x14ac:dyDescent="0.25">
      <c r="A44" s="1">
        <v>42552</v>
      </c>
      <c r="B44">
        <v>276.82</v>
      </c>
      <c r="C44">
        <v>469.76</v>
      </c>
      <c r="D44">
        <v>129.05000000000001</v>
      </c>
      <c r="E44">
        <v>14.04</v>
      </c>
      <c r="F44">
        <v>8.51</v>
      </c>
      <c r="G44">
        <v>9.2799999999999994</v>
      </c>
      <c r="I44">
        <v>14.25</v>
      </c>
      <c r="J44">
        <f t="shared" si="1"/>
        <v>0.6512280701754386</v>
      </c>
      <c r="K44">
        <f t="shared" si="2"/>
        <v>19.425964912280701</v>
      </c>
      <c r="L44">
        <f t="shared" si="3"/>
        <v>32.965614035087718</v>
      </c>
      <c r="M44">
        <f t="shared" si="0"/>
        <v>9.0561403508771932</v>
      </c>
    </row>
    <row r="45" spans="1:21" x14ac:dyDescent="0.25">
      <c r="A45" s="1">
        <v>42583</v>
      </c>
      <c r="B45">
        <v>281.47000000000003</v>
      </c>
      <c r="C45">
        <v>482.74</v>
      </c>
      <c r="D45">
        <v>130.03</v>
      </c>
      <c r="E45">
        <v>14.06</v>
      </c>
      <c r="F45">
        <v>8.5500000000000007</v>
      </c>
      <c r="G45">
        <v>9.31</v>
      </c>
      <c r="I45">
        <v>14.25</v>
      </c>
      <c r="J45">
        <f t="shared" si="1"/>
        <v>0.65333333333333332</v>
      </c>
      <c r="K45">
        <f t="shared" si="2"/>
        <v>19.752280701754387</v>
      </c>
      <c r="L45">
        <f t="shared" si="3"/>
        <v>33.876491228070179</v>
      </c>
      <c r="M45">
        <f t="shared" si="0"/>
        <v>9.1249122807017553</v>
      </c>
    </row>
    <row r="46" spans="1:21" x14ac:dyDescent="0.25">
      <c r="A46" s="1">
        <v>42614</v>
      </c>
      <c r="B46">
        <v>281.41000000000003</v>
      </c>
      <c r="C46">
        <v>491.25</v>
      </c>
      <c r="D46">
        <v>131.35</v>
      </c>
      <c r="E46">
        <v>14.08</v>
      </c>
      <c r="F46">
        <v>8.57</v>
      </c>
      <c r="G46">
        <v>9.32</v>
      </c>
      <c r="I46">
        <v>14.25</v>
      </c>
      <c r="J46">
        <f t="shared" si="1"/>
        <v>0.6540350877192983</v>
      </c>
      <c r="K46">
        <f t="shared" si="2"/>
        <v>19.748070175438599</v>
      </c>
      <c r="L46">
        <f t="shared" si="3"/>
        <v>34.473684210526315</v>
      </c>
      <c r="M46">
        <f t="shared" si="0"/>
        <v>9.2175438596491226</v>
      </c>
    </row>
    <row r="47" spans="1:21" x14ac:dyDescent="0.25">
      <c r="A47" s="1">
        <v>42644</v>
      </c>
      <c r="B47">
        <v>285.17</v>
      </c>
      <c r="C47">
        <v>483.97</v>
      </c>
      <c r="D47">
        <v>132.69999999999999</v>
      </c>
      <c r="E47">
        <v>14.09</v>
      </c>
      <c r="F47">
        <v>8.61</v>
      </c>
      <c r="G47">
        <v>9.36</v>
      </c>
      <c r="I47">
        <v>14.153225806451612</v>
      </c>
      <c r="J47">
        <f t="shared" si="1"/>
        <v>0.66133333333333333</v>
      </c>
      <c r="K47">
        <f t="shared" si="2"/>
        <v>20.148763532763535</v>
      </c>
      <c r="L47">
        <f t="shared" si="3"/>
        <v>34.195031339031345</v>
      </c>
      <c r="M47">
        <f t="shared" si="0"/>
        <v>9.3759544159544159</v>
      </c>
    </row>
    <row r="48" spans="1:21" x14ac:dyDescent="0.25">
      <c r="A48" s="1">
        <v>42675</v>
      </c>
      <c r="B48">
        <v>284.62</v>
      </c>
      <c r="C48">
        <v>494.82</v>
      </c>
      <c r="D48">
        <v>133.58000000000001</v>
      </c>
      <c r="E48">
        <v>14.11</v>
      </c>
      <c r="F48">
        <v>8.6300000000000008</v>
      </c>
      <c r="G48">
        <v>9.3800000000000008</v>
      </c>
      <c r="I48">
        <v>14</v>
      </c>
      <c r="J48">
        <f t="shared" si="1"/>
        <v>0.67</v>
      </c>
      <c r="K48">
        <f t="shared" si="2"/>
        <v>20.330000000000002</v>
      </c>
      <c r="L48">
        <f t="shared" si="3"/>
        <v>35.344285714285711</v>
      </c>
      <c r="M48">
        <f t="shared" si="0"/>
        <v>9.5414285714285718</v>
      </c>
    </row>
    <row r="49" spans="1:13" x14ac:dyDescent="0.25">
      <c r="A49" s="1">
        <v>42705</v>
      </c>
      <c r="B49">
        <v>282.57</v>
      </c>
      <c r="C49">
        <v>497.73</v>
      </c>
      <c r="D49">
        <v>134.68</v>
      </c>
      <c r="E49">
        <v>14.12</v>
      </c>
      <c r="F49">
        <v>8.67</v>
      </c>
      <c r="G49">
        <v>9.41</v>
      </c>
      <c r="I49">
        <v>13.75</v>
      </c>
      <c r="J49">
        <f t="shared" si="1"/>
        <v>0.6843636363636364</v>
      </c>
      <c r="K49">
        <f t="shared" si="2"/>
        <v>20.550545454545453</v>
      </c>
      <c r="L49">
        <f t="shared" si="3"/>
        <v>36.198545454545453</v>
      </c>
      <c r="M49">
        <f t="shared" si="0"/>
        <v>9.7949090909090906</v>
      </c>
    </row>
    <row r="50" spans="1:13" x14ac:dyDescent="0.25">
      <c r="A50" s="1">
        <v>42736</v>
      </c>
      <c r="B50">
        <v>281.94</v>
      </c>
      <c r="C50">
        <v>497.5</v>
      </c>
      <c r="D50">
        <v>136.31</v>
      </c>
      <c r="E50">
        <v>14.13</v>
      </c>
      <c r="F50">
        <v>8.69</v>
      </c>
      <c r="G50">
        <v>9.42</v>
      </c>
      <c r="I50">
        <v>13.266129032258064</v>
      </c>
      <c r="J50">
        <f t="shared" si="1"/>
        <v>0.71007902735562312</v>
      </c>
      <c r="K50">
        <f t="shared" si="2"/>
        <v>21.252620060790274</v>
      </c>
      <c r="L50">
        <f t="shared" si="3"/>
        <v>37.50151975683891</v>
      </c>
      <c r="M50">
        <f t="shared" si="0"/>
        <v>10.275039513677813</v>
      </c>
    </row>
    <row r="51" spans="1:13" x14ac:dyDescent="0.25">
      <c r="A51" s="1">
        <v>42767</v>
      </c>
      <c r="B51">
        <v>279.18</v>
      </c>
      <c r="C51">
        <v>487.77</v>
      </c>
      <c r="D51">
        <v>137.51</v>
      </c>
      <c r="E51">
        <v>14.14</v>
      </c>
      <c r="F51">
        <v>8.69</v>
      </c>
      <c r="G51">
        <v>9.41</v>
      </c>
      <c r="I51">
        <v>12.839285714285714</v>
      </c>
      <c r="J51">
        <f t="shared" si="1"/>
        <v>0.73290681502086241</v>
      </c>
      <c r="K51">
        <f t="shared" si="2"/>
        <v>21.744200278164119</v>
      </c>
      <c r="L51">
        <f t="shared" si="3"/>
        <v>37.990431154381085</v>
      </c>
      <c r="M51">
        <f t="shared" si="0"/>
        <v>10.71009735744089</v>
      </c>
    </row>
    <row r="52" spans="1:13" x14ac:dyDescent="0.25">
      <c r="A52" s="1">
        <v>42795</v>
      </c>
      <c r="B52">
        <v>282.54000000000002</v>
      </c>
      <c r="C52">
        <v>490.33</v>
      </c>
      <c r="D52">
        <v>138.41</v>
      </c>
      <c r="E52">
        <v>14.14</v>
      </c>
      <c r="F52">
        <v>8.6999999999999993</v>
      </c>
      <c r="G52">
        <v>9.42</v>
      </c>
      <c r="I52">
        <v>12.25</v>
      </c>
      <c r="J52">
        <f t="shared" si="1"/>
        <v>0.7689795918367347</v>
      </c>
      <c r="K52">
        <f t="shared" si="2"/>
        <v>23.064489795918369</v>
      </c>
      <c r="L52">
        <f t="shared" si="3"/>
        <v>40.026938775510203</v>
      </c>
      <c r="M52">
        <f t="shared" si="0"/>
        <v>11.298775510204081</v>
      </c>
    </row>
    <row r="53" spans="1:13" x14ac:dyDescent="0.25">
      <c r="A53" s="1">
        <v>42826</v>
      </c>
      <c r="B53">
        <v>282.33999999999997</v>
      </c>
      <c r="C53">
        <v>424.36</v>
      </c>
      <c r="D53">
        <v>140.09</v>
      </c>
      <c r="E53">
        <v>14.14</v>
      </c>
      <c r="F53">
        <v>8.6999999999999993</v>
      </c>
      <c r="G53">
        <v>9.41</v>
      </c>
      <c r="I53">
        <v>11.65</v>
      </c>
      <c r="J53">
        <f t="shared" si="1"/>
        <v>0.80772532188841195</v>
      </c>
      <c r="K53">
        <f t="shared" si="2"/>
        <v>24.235193133047208</v>
      </c>
      <c r="L53">
        <f t="shared" si="3"/>
        <v>36.425751072961376</v>
      </c>
      <c r="M53">
        <f t="shared" si="0"/>
        <v>12.02489270386266</v>
      </c>
    </row>
    <row r="54" spans="1:13" x14ac:dyDescent="0.25">
      <c r="A54" s="1">
        <v>42856</v>
      </c>
      <c r="B54">
        <v>279.64</v>
      </c>
      <c r="C54">
        <v>358.76</v>
      </c>
      <c r="D54">
        <v>141.19999999999999</v>
      </c>
      <c r="E54">
        <v>14.14</v>
      </c>
      <c r="F54">
        <v>8.7100000000000009</v>
      </c>
      <c r="G54">
        <v>9.41</v>
      </c>
      <c r="I54">
        <v>11.25</v>
      </c>
      <c r="J54">
        <f t="shared" si="1"/>
        <v>0.83644444444444443</v>
      </c>
      <c r="K54">
        <f t="shared" si="2"/>
        <v>24.856888888888889</v>
      </c>
      <c r="L54">
        <f t="shared" si="3"/>
        <v>31.889777777777777</v>
      </c>
      <c r="M54">
        <f t="shared" si="0"/>
        <v>12.55111111111111</v>
      </c>
    </row>
    <row r="55" spans="1:13" x14ac:dyDescent="0.25">
      <c r="A55" s="1">
        <v>42887</v>
      </c>
      <c r="B55">
        <v>276.83</v>
      </c>
      <c r="C55">
        <v>383.16</v>
      </c>
      <c r="D55">
        <v>143.29</v>
      </c>
      <c r="E55">
        <v>14.14</v>
      </c>
      <c r="F55">
        <v>8.7100000000000009</v>
      </c>
      <c r="G55">
        <v>9.4</v>
      </c>
      <c r="I55">
        <v>10.25</v>
      </c>
      <c r="J55">
        <f t="shared" si="1"/>
        <v>0.91707317073170735</v>
      </c>
      <c r="K55">
        <f t="shared" si="2"/>
        <v>27.00780487804878</v>
      </c>
      <c r="L55">
        <f t="shared" si="3"/>
        <v>37.381463414634148</v>
      </c>
      <c r="M55">
        <f t="shared" si="0"/>
        <v>13.97951219512195</v>
      </c>
    </row>
    <row r="56" spans="1:13" x14ac:dyDescent="0.25">
      <c r="A56" s="1">
        <v>42917</v>
      </c>
      <c r="B56">
        <v>275.5</v>
      </c>
      <c r="C56">
        <v>424.87</v>
      </c>
      <c r="D56">
        <v>144.28</v>
      </c>
      <c r="E56">
        <v>14.13</v>
      </c>
      <c r="F56">
        <v>8.7200000000000006</v>
      </c>
      <c r="G56">
        <v>9.4</v>
      </c>
      <c r="I56">
        <v>10.088709677419354</v>
      </c>
      <c r="J56">
        <f t="shared" si="1"/>
        <v>0.93173461231015198</v>
      </c>
      <c r="K56">
        <f t="shared" si="2"/>
        <v>27.307753796962434</v>
      </c>
      <c r="L56">
        <f t="shared" si="3"/>
        <v>42.113413269384495</v>
      </c>
      <c r="M56">
        <f t="shared" si="0"/>
        <v>14.30113509192646</v>
      </c>
    </row>
    <row r="57" spans="1:13" x14ac:dyDescent="0.25">
      <c r="A57" s="1">
        <v>42948</v>
      </c>
      <c r="B57">
        <v>272.35000000000002</v>
      </c>
      <c r="C57">
        <v>428.02</v>
      </c>
      <c r="D57">
        <v>145.05000000000001</v>
      </c>
      <c r="E57">
        <v>14.09</v>
      </c>
      <c r="F57">
        <v>8.6999999999999993</v>
      </c>
      <c r="G57">
        <v>9.3699999999999992</v>
      </c>
      <c r="I57">
        <v>9.25</v>
      </c>
      <c r="J57">
        <f t="shared" si="1"/>
        <v>1.0129729729729728</v>
      </c>
      <c r="K57">
        <f t="shared" si="2"/>
        <v>29.443243243243245</v>
      </c>
      <c r="L57">
        <f t="shared" si="3"/>
        <v>46.272432432432431</v>
      </c>
      <c r="M57">
        <f t="shared" si="0"/>
        <v>15.681081081081082</v>
      </c>
    </row>
    <row r="58" spans="1:13" x14ac:dyDescent="0.25">
      <c r="A58" s="1">
        <v>42979</v>
      </c>
      <c r="B58">
        <v>276.36</v>
      </c>
      <c r="C58">
        <v>348.73</v>
      </c>
      <c r="D58">
        <v>146.30000000000001</v>
      </c>
      <c r="E58">
        <v>14.07</v>
      </c>
      <c r="F58">
        <v>8.6999999999999993</v>
      </c>
      <c r="G58">
        <v>9.36</v>
      </c>
      <c r="I58">
        <v>8.4833333333333325</v>
      </c>
      <c r="J58">
        <f t="shared" si="1"/>
        <v>1.1033398821218074</v>
      </c>
      <c r="K58">
        <f t="shared" si="2"/>
        <v>32.576817288801578</v>
      </c>
      <c r="L58">
        <f t="shared" si="3"/>
        <v>41.107662082514743</v>
      </c>
      <c r="M58">
        <f t="shared" si="0"/>
        <v>17.245579567779963</v>
      </c>
    </row>
    <row r="59" spans="1:13" x14ac:dyDescent="0.25">
      <c r="A59" s="1">
        <v>43009</v>
      </c>
      <c r="B59">
        <v>277.43</v>
      </c>
      <c r="C59">
        <v>354.88</v>
      </c>
      <c r="D59">
        <v>146.69</v>
      </c>
      <c r="E59">
        <v>14.06</v>
      </c>
      <c r="F59">
        <v>8.6999999999999993</v>
      </c>
      <c r="G59">
        <v>9.35</v>
      </c>
      <c r="I59">
        <v>8.1048387096774199</v>
      </c>
      <c r="J59">
        <f t="shared" si="1"/>
        <v>1.1536318407960198</v>
      </c>
      <c r="K59">
        <f t="shared" si="2"/>
        <v>34.230169154228854</v>
      </c>
      <c r="L59">
        <f t="shared" si="3"/>
        <v>43.786189054726364</v>
      </c>
      <c r="M59">
        <f t="shared" si="0"/>
        <v>18.099064676616912</v>
      </c>
    </row>
    <row r="60" spans="1:13" x14ac:dyDescent="0.25">
      <c r="A60" s="1">
        <v>43040</v>
      </c>
      <c r="B60">
        <v>276.42</v>
      </c>
      <c r="C60">
        <v>359.17</v>
      </c>
      <c r="D60">
        <v>147.93</v>
      </c>
      <c r="E60">
        <v>14.05</v>
      </c>
      <c r="F60">
        <v>8.69</v>
      </c>
      <c r="G60">
        <v>9.33</v>
      </c>
      <c r="I60">
        <v>7.5</v>
      </c>
      <c r="J60">
        <f t="shared" si="1"/>
        <v>1.244</v>
      </c>
      <c r="K60">
        <f t="shared" si="2"/>
        <v>36.856000000000002</v>
      </c>
      <c r="L60">
        <f t="shared" si="3"/>
        <v>47.889333333333333</v>
      </c>
      <c r="M60">
        <f t="shared" si="0"/>
        <v>19.724</v>
      </c>
    </row>
    <row r="61" spans="1:13" x14ac:dyDescent="0.25">
      <c r="A61" s="1">
        <v>43070</v>
      </c>
      <c r="B61">
        <v>273.2</v>
      </c>
      <c r="C61">
        <v>352.7</v>
      </c>
      <c r="D61">
        <v>149.02000000000001</v>
      </c>
      <c r="E61">
        <v>14.02</v>
      </c>
      <c r="F61">
        <v>8.68</v>
      </c>
      <c r="G61">
        <v>9.32</v>
      </c>
      <c r="I61">
        <v>7.096774193548387</v>
      </c>
      <c r="J61">
        <f t="shared" si="1"/>
        <v>1.3132727272727274</v>
      </c>
      <c r="K61">
        <f t="shared" si="2"/>
        <v>38.496363636363633</v>
      </c>
      <c r="L61">
        <f t="shared" si="3"/>
        <v>49.698636363636361</v>
      </c>
      <c r="M61">
        <f t="shared" si="0"/>
        <v>20.998272727272727</v>
      </c>
    </row>
    <row r="62" spans="1:13" x14ac:dyDescent="0.25">
      <c r="A62" s="1">
        <v>43101</v>
      </c>
      <c r="B62">
        <v>276.07</v>
      </c>
      <c r="C62">
        <v>341.8</v>
      </c>
      <c r="D62">
        <v>149.59</v>
      </c>
      <c r="E62">
        <v>13.99</v>
      </c>
      <c r="F62">
        <v>8.67</v>
      </c>
      <c r="G62">
        <v>9.2899999999999991</v>
      </c>
      <c r="I62">
        <v>7</v>
      </c>
      <c r="J62">
        <f t="shared" si="1"/>
        <v>1.327142857142857</v>
      </c>
      <c r="K62">
        <f t="shared" si="2"/>
        <v>39.438571428571429</v>
      </c>
      <c r="L62">
        <f t="shared" si="3"/>
        <v>48.828571428571429</v>
      </c>
      <c r="M62">
        <f t="shared" si="0"/>
        <v>21.37</v>
      </c>
    </row>
    <row r="63" spans="1:13" x14ac:dyDescent="0.25">
      <c r="A63" s="1">
        <v>43132</v>
      </c>
      <c r="B63">
        <v>274.54000000000002</v>
      </c>
      <c r="C63">
        <v>347.13</v>
      </c>
      <c r="D63">
        <v>150.93</v>
      </c>
      <c r="E63">
        <v>13.96</v>
      </c>
      <c r="F63">
        <v>8.66</v>
      </c>
      <c r="G63">
        <v>9.27</v>
      </c>
      <c r="I63">
        <v>6.8125</v>
      </c>
      <c r="J63">
        <f t="shared" si="1"/>
        <v>1.3607339449541285</v>
      </c>
      <c r="K63">
        <f t="shared" si="2"/>
        <v>40.299449541284403</v>
      </c>
      <c r="L63">
        <f t="shared" si="3"/>
        <v>50.9548623853211</v>
      </c>
      <c r="M63">
        <f t="shared" si="0"/>
        <v>22.154862385321103</v>
      </c>
    </row>
    <row r="64" spans="1:13" x14ac:dyDescent="0.25">
      <c r="A64" s="1">
        <v>43160</v>
      </c>
      <c r="B64">
        <v>276.12</v>
      </c>
      <c r="C64">
        <v>348.59</v>
      </c>
      <c r="D64">
        <v>151.46</v>
      </c>
      <c r="E64">
        <v>13.92</v>
      </c>
      <c r="F64">
        <v>8.65</v>
      </c>
      <c r="G64">
        <v>9.26</v>
      </c>
      <c r="I64">
        <v>6.669354838709677</v>
      </c>
      <c r="J64">
        <f t="shared" si="1"/>
        <v>1.3884401451027812</v>
      </c>
      <c r="K64">
        <f t="shared" si="2"/>
        <v>41.401305925030236</v>
      </c>
      <c r="L64">
        <f t="shared" si="3"/>
        <v>52.267424425634822</v>
      </c>
      <c r="M64">
        <f t="shared" si="0"/>
        <v>22.709842805320438</v>
      </c>
    </row>
    <row r="65" spans="1:13" x14ac:dyDescent="0.25">
      <c r="A65" s="1">
        <v>43191</v>
      </c>
      <c r="B65">
        <v>274.08999999999997</v>
      </c>
      <c r="C65">
        <v>349.69</v>
      </c>
      <c r="D65">
        <v>151.94</v>
      </c>
      <c r="E65">
        <v>13.88</v>
      </c>
      <c r="F65">
        <v>8.64</v>
      </c>
      <c r="G65">
        <v>9.24</v>
      </c>
      <c r="I65">
        <v>6.5</v>
      </c>
      <c r="J65">
        <f t="shared" si="1"/>
        <v>1.4215384615384616</v>
      </c>
      <c r="K65">
        <f t="shared" si="2"/>
        <v>42.167692307692306</v>
      </c>
      <c r="L65">
        <f t="shared" si="3"/>
        <v>53.798461538461538</v>
      </c>
      <c r="M65">
        <f t="shared" si="0"/>
        <v>23.375384615384615</v>
      </c>
    </row>
    <row r="66" spans="1:13" x14ac:dyDescent="0.25">
      <c r="A66" s="1">
        <v>43221</v>
      </c>
      <c r="B66">
        <v>266.29000000000002</v>
      </c>
      <c r="C66">
        <v>315.35000000000002</v>
      </c>
      <c r="D66">
        <v>151.94999999999999</v>
      </c>
      <c r="E66">
        <v>13.83</v>
      </c>
      <c r="F66">
        <v>8.6300000000000008</v>
      </c>
      <c r="G66">
        <v>9.2200000000000006</v>
      </c>
      <c r="I66">
        <v>6.5</v>
      </c>
      <c r="J66">
        <f t="shared" si="1"/>
        <v>1.4184615384615387</v>
      </c>
      <c r="K66">
        <f t="shared" si="2"/>
        <v>40.96769230769231</v>
      </c>
      <c r="L66">
        <f t="shared" si="3"/>
        <v>48.515384615384619</v>
      </c>
      <c r="M66">
        <f t="shared" ref="M66:M129" si="5">D66/I66</f>
        <v>23.376923076923074</v>
      </c>
    </row>
    <row r="67" spans="1:13" x14ac:dyDescent="0.25">
      <c r="A67" s="1">
        <v>43252</v>
      </c>
      <c r="B67">
        <v>260.44</v>
      </c>
      <c r="C67">
        <v>297.91000000000003</v>
      </c>
      <c r="D67">
        <v>152.38</v>
      </c>
      <c r="E67">
        <v>13.78</v>
      </c>
      <c r="F67">
        <v>8.6199999999999992</v>
      </c>
      <c r="G67">
        <v>9.1999999999999993</v>
      </c>
      <c r="I67">
        <v>6.5</v>
      </c>
      <c r="J67">
        <f t="shared" ref="J67:J130" si="6">G67/I67</f>
        <v>1.4153846153846152</v>
      </c>
      <c r="K67">
        <f t="shared" ref="K67:K130" si="7">B67/I67</f>
        <v>40.067692307692305</v>
      </c>
      <c r="L67">
        <f t="shared" ref="L67:L130" si="8">C67/I67</f>
        <v>45.832307692307694</v>
      </c>
      <c r="M67">
        <f t="shared" si="5"/>
        <v>23.443076923076923</v>
      </c>
    </row>
    <row r="68" spans="1:13" x14ac:dyDescent="0.25">
      <c r="A68" s="1">
        <v>43282</v>
      </c>
      <c r="B68">
        <v>258.27999999999997</v>
      </c>
      <c r="C68">
        <v>279.97000000000003</v>
      </c>
      <c r="D68">
        <v>152.66</v>
      </c>
      <c r="E68">
        <v>13.72</v>
      </c>
      <c r="F68">
        <v>8.6</v>
      </c>
      <c r="G68">
        <v>9.18</v>
      </c>
      <c r="I68">
        <v>6.5</v>
      </c>
      <c r="J68">
        <f t="shared" si="6"/>
        <v>1.4123076923076923</v>
      </c>
      <c r="K68">
        <f t="shared" si="7"/>
        <v>39.735384615384611</v>
      </c>
      <c r="L68">
        <f t="shared" si="8"/>
        <v>43.072307692307696</v>
      </c>
      <c r="M68">
        <f t="shared" si="5"/>
        <v>23.486153846153847</v>
      </c>
    </row>
    <row r="69" spans="1:13" x14ac:dyDescent="0.25">
      <c r="A69" s="1">
        <v>43313</v>
      </c>
      <c r="B69">
        <v>257.54000000000002</v>
      </c>
      <c r="C69">
        <v>283.38</v>
      </c>
      <c r="D69">
        <v>152.74</v>
      </c>
      <c r="E69">
        <v>13.65</v>
      </c>
      <c r="F69">
        <v>8.59</v>
      </c>
      <c r="G69">
        <v>9.16</v>
      </c>
      <c r="I69">
        <v>6.5</v>
      </c>
      <c r="J69">
        <f t="shared" si="6"/>
        <v>1.4092307692307693</v>
      </c>
      <c r="K69">
        <f t="shared" si="7"/>
        <v>39.621538461538464</v>
      </c>
      <c r="L69">
        <f t="shared" si="8"/>
        <v>43.596923076923076</v>
      </c>
      <c r="M69">
        <f t="shared" si="5"/>
        <v>23.498461538461541</v>
      </c>
    </row>
    <row r="70" spans="1:13" x14ac:dyDescent="0.25">
      <c r="A70" s="1">
        <v>43344</v>
      </c>
      <c r="B70">
        <v>255.45</v>
      </c>
      <c r="C70">
        <v>284.22000000000003</v>
      </c>
      <c r="D70">
        <v>152.44</v>
      </c>
      <c r="E70">
        <v>13.59</v>
      </c>
      <c r="F70">
        <v>8.58</v>
      </c>
      <c r="G70">
        <v>9.15</v>
      </c>
      <c r="I70">
        <v>6.5</v>
      </c>
      <c r="J70">
        <f t="shared" si="6"/>
        <v>1.4076923076923078</v>
      </c>
      <c r="K70">
        <f t="shared" si="7"/>
        <v>39.299999999999997</v>
      </c>
      <c r="L70">
        <f t="shared" si="8"/>
        <v>43.726153846153849</v>
      </c>
      <c r="M70">
        <f t="shared" si="5"/>
        <v>23.452307692307691</v>
      </c>
    </row>
    <row r="71" spans="1:13" x14ac:dyDescent="0.25">
      <c r="A71" s="1">
        <v>43374</v>
      </c>
      <c r="B71">
        <v>257.37</v>
      </c>
      <c r="C71">
        <v>282.56</v>
      </c>
      <c r="D71">
        <v>152.37</v>
      </c>
      <c r="E71">
        <v>13.53</v>
      </c>
      <c r="F71">
        <v>8.56</v>
      </c>
      <c r="G71">
        <v>9.1199999999999992</v>
      </c>
      <c r="I71">
        <v>6.5</v>
      </c>
      <c r="J71">
        <f t="shared" si="6"/>
        <v>1.4030769230769229</v>
      </c>
      <c r="K71">
        <f t="shared" si="7"/>
        <v>39.595384615384617</v>
      </c>
      <c r="L71">
        <f t="shared" si="8"/>
        <v>43.470769230769228</v>
      </c>
      <c r="M71">
        <f t="shared" si="5"/>
        <v>23.441538461538464</v>
      </c>
    </row>
    <row r="72" spans="1:13" x14ac:dyDescent="0.25">
      <c r="A72" s="1">
        <v>43405</v>
      </c>
      <c r="B72">
        <v>261.27999999999997</v>
      </c>
      <c r="C72">
        <v>288.37</v>
      </c>
      <c r="D72">
        <v>152.01</v>
      </c>
      <c r="E72">
        <v>13.49</v>
      </c>
      <c r="F72">
        <v>8.5500000000000007</v>
      </c>
      <c r="G72">
        <v>9.1</v>
      </c>
      <c r="I72">
        <v>6.5</v>
      </c>
      <c r="J72">
        <f t="shared" si="6"/>
        <v>1.4</v>
      </c>
      <c r="K72">
        <f t="shared" si="7"/>
        <v>40.196923076923071</v>
      </c>
      <c r="L72">
        <f t="shared" si="8"/>
        <v>44.364615384615384</v>
      </c>
      <c r="M72">
        <f t="shared" si="5"/>
        <v>23.386153846153846</v>
      </c>
    </row>
    <row r="73" spans="1:13" x14ac:dyDescent="0.25">
      <c r="A73" s="1">
        <v>43435</v>
      </c>
      <c r="B73">
        <v>261.83</v>
      </c>
      <c r="C73">
        <v>292.86</v>
      </c>
      <c r="D73">
        <v>151.93</v>
      </c>
      <c r="E73">
        <v>13.45</v>
      </c>
      <c r="F73">
        <v>8.5299999999999994</v>
      </c>
      <c r="G73">
        <v>9.07</v>
      </c>
      <c r="I73">
        <v>6.5</v>
      </c>
      <c r="J73">
        <f t="shared" si="6"/>
        <v>1.3953846153846154</v>
      </c>
      <c r="K73">
        <f t="shared" si="7"/>
        <v>40.28153846153846</v>
      </c>
      <c r="L73">
        <f t="shared" si="8"/>
        <v>45.055384615384618</v>
      </c>
      <c r="M73">
        <f t="shared" si="5"/>
        <v>23.373846153846156</v>
      </c>
    </row>
    <row r="74" spans="1:13" x14ac:dyDescent="0.25">
      <c r="A74" s="1">
        <v>43466</v>
      </c>
      <c r="B74">
        <v>267.25</v>
      </c>
      <c r="C74">
        <v>288.58</v>
      </c>
      <c r="D74">
        <v>152.16999999999999</v>
      </c>
      <c r="E74">
        <v>13.42</v>
      </c>
      <c r="F74">
        <v>8.5299999999999994</v>
      </c>
      <c r="G74">
        <v>9.06</v>
      </c>
      <c r="I74">
        <v>6.5</v>
      </c>
      <c r="J74">
        <f t="shared" si="6"/>
        <v>1.393846153846154</v>
      </c>
      <c r="K74">
        <f t="shared" si="7"/>
        <v>41.115384615384613</v>
      </c>
      <c r="L74">
        <f t="shared" si="8"/>
        <v>44.396923076923073</v>
      </c>
      <c r="M74">
        <f t="shared" si="5"/>
        <v>23.41076923076923</v>
      </c>
    </row>
    <row r="75" spans="1:13" x14ac:dyDescent="0.25">
      <c r="A75" s="1">
        <v>43497</v>
      </c>
      <c r="B75">
        <v>265.57</v>
      </c>
      <c r="C75">
        <v>297.11</v>
      </c>
      <c r="D75">
        <v>152.80000000000001</v>
      </c>
      <c r="E75">
        <v>13.38</v>
      </c>
      <c r="F75">
        <v>8.51</v>
      </c>
      <c r="G75">
        <v>9.0399999999999991</v>
      </c>
      <c r="I75">
        <v>6.5</v>
      </c>
      <c r="J75">
        <f t="shared" si="6"/>
        <v>1.3907692307692305</v>
      </c>
      <c r="K75">
        <f t="shared" si="7"/>
        <v>40.856923076923074</v>
      </c>
      <c r="L75">
        <f t="shared" si="8"/>
        <v>45.709230769230771</v>
      </c>
      <c r="M75">
        <f t="shared" si="5"/>
        <v>23.507692307692309</v>
      </c>
    </row>
    <row r="76" spans="1:13" x14ac:dyDescent="0.25">
      <c r="A76" s="1">
        <v>43525</v>
      </c>
      <c r="B76">
        <v>271.74</v>
      </c>
      <c r="C76">
        <v>301.08</v>
      </c>
      <c r="D76">
        <v>153.99</v>
      </c>
      <c r="E76">
        <v>13.35</v>
      </c>
      <c r="F76">
        <v>8.5</v>
      </c>
      <c r="G76">
        <v>9.02</v>
      </c>
      <c r="I76">
        <v>6.5</v>
      </c>
      <c r="J76">
        <f t="shared" si="6"/>
        <v>1.3876923076923076</v>
      </c>
      <c r="K76">
        <f t="shared" si="7"/>
        <v>41.806153846153848</v>
      </c>
      <c r="L76">
        <f t="shared" si="8"/>
        <v>46.32</v>
      </c>
      <c r="M76">
        <f t="shared" si="5"/>
        <v>23.690769230769231</v>
      </c>
    </row>
    <row r="77" spans="1:13" x14ac:dyDescent="0.25">
      <c r="A77" s="1">
        <v>43556</v>
      </c>
      <c r="B77">
        <v>275.14999999999998</v>
      </c>
      <c r="C77">
        <v>298.17</v>
      </c>
      <c r="D77">
        <v>154.31</v>
      </c>
      <c r="E77">
        <v>13.32</v>
      </c>
      <c r="F77">
        <v>8.49</v>
      </c>
      <c r="G77">
        <v>9</v>
      </c>
      <c r="I77">
        <v>6.5</v>
      </c>
      <c r="J77">
        <f t="shared" si="6"/>
        <v>1.3846153846153846</v>
      </c>
      <c r="K77">
        <f t="shared" si="7"/>
        <v>42.330769230769228</v>
      </c>
      <c r="L77">
        <f t="shared" si="8"/>
        <v>45.872307692307693</v>
      </c>
      <c r="M77">
        <f t="shared" si="5"/>
        <v>23.740000000000002</v>
      </c>
    </row>
    <row r="78" spans="1:13" x14ac:dyDescent="0.25">
      <c r="A78" s="1">
        <v>43586</v>
      </c>
      <c r="B78">
        <v>272.64999999999998</v>
      </c>
      <c r="C78">
        <v>299.81</v>
      </c>
      <c r="D78">
        <v>155.16999999999999</v>
      </c>
      <c r="E78">
        <v>13.27</v>
      </c>
      <c r="F78">
        <v>8.4700000000000006</v>
      </c>
      <c r="G78">
        <v>8.9700000000000006</v>
      </c>
      <c r="I78">
        <v>6.5</v>
      </c>
      <c r="J78">
        <f t="shared" si="6"/>
        <v>1.3800000000000001</v>
      </c>
      <c r="K78">
        <f t="shared" si="7"/>
        <v>41.946153846153841</v>
      </c>
      <c r="L78">
        <f t="shared" si="8"/>
        <v>46.124615384615382</v>
      </c>
      <c r="M78">
        <f t="shared" si="5"/>
        <v>23.87230769230769</v>
      </c>
    </row>
    <row r="79" spans="1:13" x14ac:dyDescent="0.25">
      <c r="A79" s="1">
        <v>43617</v>
      </c>
      <c r="B79">
        <v>272.51</v>
      </c>
      <c r="C79">
        <v>300.56</v>
      </c>
      <c r="D79">
        <v>155.99</v>
      </c>
      <c r="E79">
        <v>13.23</v>
      </c>
      <c r="F79">
        <v>8.4600000000000009</v>
      </c>
      <c r="G79">
        <v>8.9499999999999993</v>
      </c>
      <c r="I79">
        <v>6.5</v>
      </c>
      <c r="J79">
        <f t="shared" si="6"/>
        <v>1.3769230769230769</v>
      </c>
      <c r="K79">
        <f t="shared" si="7"/>
        <v>41.924615384615386</v>
      </c>
      <c r="L79">
        <f t="shared" si="8"/>
        <v>46.24</v>
      </c>
      <c r="M79">
        <f t="shared" si="5"/>
        <v>23.998461538461541</v>
      </c>
    </row>
    <row r="80" spans="1:13" x14ac:dyDescent="0.25">
      <c r="A80" s="1">
        <v>43647</v>
      </c>
      <c r="B80">
        <v>269.56</v>
      </c>
      <c r="C80">
        <v>300.41000000000003</v>
      </c>
      <c r="D80">
        <v>156.71</v>
      </c>
      <c r="E80">
        <v>13.18</v>
      </c>
      <c r="F80">
        <v>8.4499999999999993</v>
      </c>
      <c r="G80">
        <v>8.93</v>
      </c>
      <c r="I80">
        <v>6.5</v>
      </c>
      <c r="J80">
        <f t="shared" si="6"/>
        <v>1.3738461538461537</v>
      </c>
      <c r="K80">
        <f t="shared" si="7"/>
        <v>41.470769230769228</v>
      </c>
      <c r="L80">
        <f t="shared" si="8"/>
        <v>46.216923076923081</v>
      </c>
      <c r="M80">
        <f t="shared" si="5"/>
        <v>24.10923076923077</v>
      </c>
    </row>
    <row r="81" spans="1:13" x14ac:dyDescent="0.25">
      <c r="A81" s="1">
        <v>43678</v>
      </c>
      <c r="B81">
        <v>255.42</v>
      </c>
      <c r="C81">
        <v>306.20999999999998</v>
      </c>
      <c r="D81">
        <v>159.02000000000001</v>
      </c>
      <c r="E81">
        <v>13.14</v>
      </c>
      <c r="F81">
        <v>8.44</v>
      </c>
      <c r="G81">
        <v>8.91</v>
      </c>
      <c r="I81">
        <v>6</v>
      </c>
      <c r="J81">
        <f t="shared" si="6"/>
        <v>1.4850000000000001</v>
      </c>
      <c r="K81">
        <f t="shared" si="7"/>
        <v>42.57</v>
      </c>
      <c r="L81">
        <f t="shared" si="8"/>
        <v>51.034999999999997</v>
      </c>
      <c r="M81">
        <f t="shared" si="5"/>
        <v>26.503333333333334</v>
      </c>
    </row>
    <row r="82" spans="1:13" x14ac:dyDescent="0.25">
      <c r="A82" s="1">
        <v>43709</v>
      </c>
      <c r="B82">
        <v>245.65</v>
      </c>
      <c r="C82">
        <v>306.99</v>
      </c>
      <c r="D82">
        <v>158.46</v>
      </c>
      <c r="E82">
        <v>13.08</v>
      </c>
      <c r="F82">
        <v>8.43</v>
      </c>
      <c r="G82">
        <v>8.89</v>
      </c>
      <c r="I82">
        <v>5.8</v>
      </c>
      <c r="J82">
        <f t="shared" si="6"/>
        <v>1.5327586206896553</v>
      </c>
      <c r="K82">
        <f t="shared" si="7"/>
        <v>42.353448275862071</v>
      </c>
      <c r="L82">
        <f t="shared" si="8"/>
        <v>52.929310344827591</v>
      </c>
      <c r="M82">
        <f t="shared" si="5"/>
        <v>27.320689655172416</v>
      </c>
    </row>
    <row r="83" spans="1:13" x14ac:dyDescent="0.25">
      <c r="A83" s="1">
        <v>43739</v>
      </c>
      <c r="B83">
        <v>260.41000000000003</v>
      </c>
      <c r="C83">
        <v>315.48</v>
      </c>
      <c r="D83">
        <v>158.74</v>
      </c>
      <c r="E83">
        <v>13.01</v>
      </c>
      <c r="F83">
        <v>8.41</v>
      </c>
      <c r="G83">
        <v>8.86</v>
      </c>
      <c r="I83">
        <v>5.4838709677419351</v>
      </c>
      <c r="J83">
        <f t="shared" si="6"/>
        <v>1.6156470588235294</v>
      </c>
      <c r="K83">
        <f t="shared" si="7"/>
        <v>47.486529411764714</v>
      </c>
      <c r="L83">
        <f t="shared" si="8"/>
        <v>57.528705882352952</v>
      </c>
      <c r="M83">
        <f t="shared" si="5"/>
        <v>28.946705882352944</v>
      </c>
    </row>
    <row r="84" spans="1:13" x14ac:dyDescent="0.25">
      <c r="A84" s="1">
        <v>43770</v>
      </c>
      <c r="B84">
        <v>263.98</v>
      </c>
      <c r="C84">
        <v>315.93</v>
      </c>
      <c r="D84">
        <v>159.53</v>
      </c>
      <c r="E84">
        <v>12.92</v>
      </c>
      <c r="F84">
        <v>8.39</v>
      </c>
      <c r="G84">
        <v>8.82</v>
      </c>
      <c r="I84">
        <v>5</v>
      </c>
      <c r="J84">
        <f t="shared" si="6"/>
        <v>1.764</v>
      </c>
      <c r="K84">
        <f t="shared" si="7"/>
        <v>52.796000000000006</v>
      </c>
      <c r="L84">
        <f t="shared" si="8"/>
        <v>63.186</v>
      </c>
      <c r="M84">
        <f t="shared" si="5"/>
        <v>31.905999999999999</v>
      </c>
    </row>
    <row r="85" spans="1:13" x14ac:dyDescent="0.25">
      <c r="A85" s="1">
        <v>43800</v>
      </c>
      <c r="B85">
        <v>247.56</v>
      </c>
      <c r="C85">
        <v>316.91000000000003</v>
      </c>
      <c r="D85">
        <v>159.76</v>
      </c>
      <c r="E85">
        <v>12.9</v>
      </c>
      <c r="F85">
        <v>8.3699999999999992</v>
      </c>
      <c r="G85">
        <v>8.8000000000000007</v>
      </c>
      <c r="I85">
        <v>4.67741935483871</v>
      </c>
      <c r="J85">
        <f t="shared" si="6"/>
        <v>1.8813793103448275</v>
      </c>
      <c r="K85">
        <f t="shared" si="7"/>
        <v>52.926620689655167</v>
      </c>
      <c r="L85">
        <f t="shared" si="8"/>
        <v>67.753172413793109</v>
      </c>
      <c r="M85">
        <f t="shared" si="5"/>
        <v>34.155586206896551</v>
      </c>
    </row>
    <row r="86" spans="1:13" x14ac:dyDescent="0.25">
      <c r="A86" s="1">
        <v>43831</v>
      </c>
      <c r="B86">
        <v>140.82</v>
      </c>
      <c r="C86">
        <v>314.58999999999997</v>
      </c>
      <c r="D86">
        <v>161.76</v>
      </c>
      <c r="E86">
        <v>12.84</v>
      </c>
      <c r="F86">
        <v>8.35</v>
      </c>
      <c r="G86">
        <v>8.77</v>
      </c>
      <c r="I86">
        <v>4.5</v>
      </c>
      <c r="J86">
        <f t="shared" si="6"/>
        <v>1.9488888888888889</v>
      </c>
      <c r="K86">
        <f t="shared" si="7"/>
        <v>31.293333333333333</v>
      </c>
      <c r="L86">
        <f t="shared" si="8"/>
        <v>69.908888888888882</v>
      </c>
      <c r="M86">
        <f t="shared" si="5"/>
        <v>35.946666666666665</v>
      </c>
    </row>
    <row r="87" spans="1:13" x14ac:dyDescent="0.25">
      <c r="A87" s="1">
        <v>43862</v>
      </c>
      <c r="B87">
        <v>130.6</v>
      </c>
      <c r="C87">
        <v>321.67</v>
      </c>
      <c r="D87">
        <v>163.01</v>
      </c>
      <c r="E87">
        <v>12.78</v>
      </c>
      <c r="F87">
        <v>8.34</v>
      </c>
      <c r="G87">
        <v>8.75</v>
      </c>
      <c r="I87">
        <v>4.2931034482758621</v>
      </c>
      <c r="J87">
        <f t="shared" si="6"/>
        <v>2.0381526104417671</v>
      </c>
      <c r="K87">
        <f t="shared" si="7"/>
        <v>30.420883534136543</v>
      </c>
      <c r="L87">
        <f t="shared" si="8"/>
        <v>74.927148594377513</v>
      </c>
      <c r="M87">
        <f t="shared" si="5"/>
        <v>37.970200803212848</v>
      </c>
    </row>
    <row r="88" spans="1:13" x14ac:dyDescent="0.25">
      <c r="A88" s="1">
        <v>43891</v>
      </c>
      <c r="B88">
        <v>130.61000000000001</v>
      </c>
      <c r="C88">
        <v>327.26</v>
      </c>
      <c r="D88">
        <v>167.96</v>
      </c>
      <c r="E88">
        <v>12.72</v>
      </c>
      <c r="F88">
        <v>8.32</v>
      </c>
      <c r="G88">
        <v>8.7200000000000006</v>
      </c>
      <c r="I88">
        <v>4.040322580645161</v>
      </c>
      <c r="J88">
        <f t="shared" si="6"/>
        <v>2.1582435129740523</v>
      </c>
      <c r="K88">
        <f t="shared" si="7"/>
        <v>32.326626746506989</v>
      </c>
      <c r="L88">
        <f t="shared" si="8"/>
        <v>80.998483033932132</v>
      </c>
      <c r="M88">
        <f t="shared" si="5"/>
        <v>41.570938123752498</v>
      </c>
    </row>
    <row r="89" spans="1:13" x14ac:dyDescent="0.25">
      <c r="A89" s="1">
        <v>43922</v>
      </c>
      <c r="B89">
        <v>119.56</v>
      </c>
      <c r="C89">
        <v>313.45999999999998</v>
      </c>
      <c r="D89">
        <v>159.36000000000001</v>
      </c>
      <c r="E89">
        <v>12.66</v>
      </c>
      <c r="F89">
        <v>8.3000000000000007</v>
      </c>
      <c r="G89">
        <v>8.69</v>
      </c>
      <c r="I89">
        <v>3.75</v>
      </c>
      <c r="J89">
        <f t="shared" si="6"/>
        <v>2.317333333333333</v>
      </c>
      <c r="K89">
        <f t="shared" si="7"/>
        <v>31.882666666666669</v>
      </c>
      <c r="L89">
        <f t="shared" si="8"/>
        <v>83.589333333333329</v>
      </c>
      <c r="M89">
        <f t="shared" si="5"/>
        <v>42.496000000000002</v>
      </c>
    </row>
    <row r="90" spans="1:13" x14ac:dyDescent="0.25">
      <c r="A90" s="1">
        <v>43952</v>
      </c>
      <c r="B90">
        <v>116.22</v>
      </c>
      <c r="C90">
        <v>302.5</v>
      </c>
      <c r="D90">
        <v>155.06</v>
      </c>
      <c r="E90">
        <v>12.61</v>
      </c>
      <c r="F90">
        <v>8.2799999999999994</v>
      </c>
      <c r="G90">
        <v>8.67</v>
      </c>
      <c r="I90">
        <v>3.1451612903225805</v>
      </c>
      <c r="J90">
        <f t="shared" si="6"/>
        <v>2.7566153846153849</v>
      </c>
      <c r="K90">
        <f t="shared" si="7"/>
        <v>36.951999999999998</v>
      </c>
      <c r="L90">
        <f t="shared" si="8"/>
        <v>96.179487179487182</v>
      </c>
      <c r="M90">
        <f t="shared" si="5"/>
        <v>49.301128205128208</v>
      </c>
    </row>
    <row r="91" spans="1:13" x14ac:dyDescent="0.25">
      <c r="A91" s="1">
        <v>43983</v>
      </c>
      <c r="B91">
        <v>112.64</v>
      </c>
      <c r="C91">
        <v>288.19</v>
      </c>
      <c r="D91">
        <v>147.25</v>
      </c>
      <c r="E91">
        <v>12.54</v>
      </c>
      <c r="F91">
        <v>8.26</v>
      </c>
      <c r="G91">
        <v>8.64</v>
      </c>
      <c r="I91">
        <v>2.6749999999999998</v>
      </c>
      <c r="J91">
        <f t="shared" si="6"/>
        <v>3.2299065420560753</v>
      </c>
      <c r="K91">
        <f t="shared" si="7"/>
        <v>42.108411214953271</v>
      </c>
      <c r="L91">
        <f t="shared" si="8"/>
        <v>107.73457943925234</v>
      </c>
      <c r="M91">
        <f t="shared" si="5"/>
        <v>55.046728971962622</v>
      </c>
    </row>
    <row r="92" spans="1:13" x14ac:dyDescent="0.25">
      <c r="A92" s="1">
        <v>44013</v>
      </c>
      <c r="B92">
        <v>111.73</v>
      </c>
      <c r="C92">
        <v>307.94</v>
      </c>
      <c r="D92">
        <v>147.27000000000001</v>
      </c>
      <c r="E92">
        <v>12.46</v>
      </c>
      <c r="F92">
        <v>8.24</v>
      </c>
      <c r="G92">
        <v>8.61</v>
      </c>
      <c r="I92">
        <v>2.25</v>
      </c>
      <c r="J92">
        <f t="shared" si="6"/>
        <v>3.8266666666666662</v>
      </c>
      <c r="K92">
        <f t="shared" si="7"/>
        <v>49.657777777777781</v>
      </c>
      <c r="L92">
        <f t="shared" si="8"/>
        <v>136.86222222222221</v>
      </c>
      <c r="M92">
        <f t="shared" si="5"/>
        <v>65.453333333333333</v>
      </c>
    </row>
    <row r="93" spans="1:13" x14ac:dyDescent="0.25">
      <c r="A93" s="1">
        <v>44044</v>
      </c>
      <c r="B93">
        <v>112.17</v>
      </c>
      <c r="C93">
        <v>305.64999999999998</v>
      </c>
      <c r="D93">
        <v>147.58000000000001</v>
      </c>
      <c r="E93">
        <v>12.35</v>
      </c>
      <c r="F93">
        <v>8.2100000000000009</v>
      </c>
      <c r="G93">
        <v>8.57</v>
      </c>
      <c r="I93">
        <v>2.0403225806451615</v>
      </c>
      <c r="J93">
        <f t="shared" si="6"/>
        <v>4.2003162055335963</v>
      </c>
      <c r="K93">
        <f t="shared" si="7"/>
        <v>54.976600790513828</v>
      </c>
      <c r="L93">
        <f t="shared" si="8"/>
        <v>149.80474308300393</v>
      </c>
      <c r="M93">
        <f t="shared" si="5"/>
        <v>72.331699604743079</v>
      </c>
    </row>
    <row r="94" spans="1:13" x14ac:dyDescent="0.25">
      <c r="A94" s="1">
        <v>44075</v>
      </c>
      <c r="B94">
        <v>114.04</v>
      </c>
      <c r="C94">
        <v>306.98</v>
      </c>
      <c r="D94">
        <v>147.75</v>
      </c>
      <c r="E94">
        <v>12.21</v>
      </c>
      <c r="F94">
        <v>8.19</v>
      </c>
      <c r="G94">
        <v>8.5299999999999994</v>
      </c>
      <c r="I94">
        <v>2</v>
      </c>
      <c r="J94">
        <f t="shared" si="6"/>
        <v>4.2649999999999997</v>
      </c>
      <c r="K94">
        <f t="shared" si="7"/>
        <v>57.02</v>
      </c>
      <c r="L94">
        <f t="shared" si="8"/>
        <v>153.49</v>
      </c>
      <c r="M94">
        <f t="shared" si="5"/>
        <v>73.875</v>
      </c>
    </row>
    <row r="95" spans="1:13" x14ac:dyDescent="0.25">
      <c r="A95" s="1">
        <v>44105</v>
      </c>
      <c r="B95">
        <v>112.28</v>
      </c>
      <c r="C95">
        <v>314.92</v>
      </c>
      <c r="D95">
        <v>149.01</v>
      </c>
      <c r="E95">
        <v>12.08</v>
      </c>
      <c r="F95">
        <v>8.17</v>
      </c>
      <c r="G95">
        <v>8.5</v>
      </c>
      <c r="I95">
        <v>2</v>
      </c>
      <c r="J95">
        <f t="shared" si="6"/>
        <v>4.25</v>
      </c>
      <c r="K95">
        <f t="shared" si="7"/>
        <v>56.14</v>
      </c>
      <c r="L95">
        <f t="shared" si="8"/>
        <v>157.46</v>
      </c>
      <c r="M95">
        <f t="shared" si="5"/>
        <v>74.504999999999995</v>
      </c>
    </row>
    <row r="96" spans="1:13" x14ac:dyDescent="0.25">
      <c r="A96" s="1">
        <v>44136</v>
      </c>
      <c r="B96">
        <v>113.48</v>
      </c>
      <c r="C96">
        <v>320.75</v>
      </c>
      <c r="D96">
        <v>148.38999999999999</v>
      </c>
      <c r="E96">
        <v>11.94</v>
      </c>
      <c r="F96">
        <v>8.14</v>
      </c>
      <c r="G96">
        <v>8.4600000000000009</v>
      </c>
      <c r="I96">
        <v>2</v>
      </c>
      <c r="J96">
        <f t="shared" si="6"/>
        <v>4.2300000000000004</v>
      </c>
      <c r="K96">
        <f t="shared" si="7"/>
        <v>56.74</v>
      </c>
      <c r="L96">
        <f t="shared" si="8"/>
        <v>160.375</v>
      </c>
      <c r="M96">
        <f t="shared" si="5"/>
        <v>74.194999999999993</v>
      </c>
    </row>
    <row r="97" spans="1:13" x14ac:dyDescent="0.25">
      <c r="A97" s="1">
        <v>44166</v>
      </c>
      <c r="B97">
        <v>115.59</v>
      </c>
      <c r="C97">
        <v>328.18</v>
      </c>
      <c r="D97">
        <v>149.63</v>
      </c>
      <c r="E97">
        <v>11.79</v>
      </c>
      <c r="F97">
        <v>8.11</v>
      </c>
      <c r="G97">
        <v>8.42</v>
      </c>
      <c r="I97">
        <v>2</v>
      </c>
      <c r="J97">
        <f t="shared" si="6"/>
        <v>4.21</v>
      </c>
      <c r="K97">
        <f t="shared" si="7"/>
        <v>57.795000000000002</v>
      </c>
      <c r="L97">
        <f t="shared" si="8"/>
        <v>164.09</v>
      </c>
      <c r="M97">
        <f t="shared" si="5"/>
        <v>74.814999999999998</v>
      </c>
    </row>
    <row r="98" spans="1:13" x14ac:dyDescent="0.25">
      <c r="A98" s="1">
        <v>44197</v>
      </c>
      <c r="B98">
        <v>120.29</v>
      </c>
      <c r="C98">
        <v>329.71</v>
      </c>
      <c r="D98">
        <v>151.44</v>
      </c>
      <c r="E98">
        <v>11.66</v>
      </c>
      <c r="F98">
        <v>8.09</v>
      </c>
      <c r="G98">
        <v>8.39</v>
      </c>
      <c r="I98">
        <v>2</v>
      </c>
      <c r="J98">
        <f t="shared" si="6"/>
        <v>4.1950000000000003</v>
      </c>
      <c r="K98">
        <f t="shared" si="7"/>
        <v>60.145000000000003</v>
      </c>
      <c r="L98">
        <f t="shared" si="8"/>
        <v>164.85499999999999</v>
      </c>
      <c r="M98">
        <f t="shared" si="5"/>
        <v>75.72</v>
      </c>
    </row>
    <row r="99" spans="1:13" x14ac:dyDescent="0.25">
      <c r="A99" s="1">
        <v>44228</v>
      </c>
      <c r="B99">
        <v>125.52</v>
      </c>
      <c r="C99">
        <v>327.04000000000002</v>
      </c>
      <c r="D99">
        <v>153.35</v>
      </c>
      <c r="E99">
        <v>11.53</v>
      </c>
      <c r="F99">
        <v>8.07</v>
      </c>
      <c r="G99">
        <v>8.36</v>
      </c>
      <c r="I99">
        <v>2</v>
      </c>
      <c r="J99">
        <f t="shared" si="6"/>
        <v>4.18</v>
      </c>
      <c r="K99">
        <f t="shared" si="7"/>
        <v>62.76</v>
      </c>
      <c r="L99">
        <f t="shared" si="8"/>
        <v>163.52000000000001</v>
      </c>
      <c r="M99">
        <f t="shared" si="5"/>
        <v>76.674999999999997</v>
      </c>
    </row>
    <row r="100" spans="1:13" x14ac:dyDescent="0.25">
      <c r="A100" s="1">
        <v>44256</v>
      </c>
      <c r="B100">
        <v>122.28</v>
      </c>
      <c r="C100">
        <v>335.85</v>
      </c>
      <c r="D100">
        <v>154.65</v>
      </c>
      <c r="E100">
        <v>11.4</v>
      </c>
      <c r="F100">
        <v>8.0399999999999991</v>
      </c>
      <c r="G100">
        <v>8.32</v>
      </c>
      <c r="I100">
        <v>2.338709677419355</v>
      </c>
      <c r="J100">
        <f t="shared" si="6"/>
        <v>3.5575172413793101</v>
      </c>
      <c r="K100">
        <f t="shared" si="7"/>
        <v>52.285241379310342</v>
      </c>
      <c r="L100">
        <f t="shared" si="8"/>
        <v>143.60482758620691</v>
      </c>
      <c r="M100">
        <f t="shared" si="5"/>
        <v>66.126206896551722</v>
      </c>
    </row>
    <row r="101" spans="1:13" x14ac:dyDescent="0.25">
      <c r="A101" s="1">
        <v>44287</v>
      </c>
      <c r="B101">
        <v>124.34</v>
      </c>
      <c r="C101">
        <v>336.42</v>
      </c>
      <c r="D101">
        <v>154.84</v>
      </c>
      <c r="E101">
        <v>11.26</v>
      </c>
      <c r="F101">
        <v>8</v>
      </c>
      <c r="G101">
        <v>8.27</v>
      </c>
      <c r="I101">
        <v>2.75</v>
      </c>
      <c r="J101">
        <f t="shared" si="6"/>
        <v>3.0072727272727273</v>
      </c>
      <c r="K101">
        <f t="shared" si="7"/>
        <v>45.214545454545458</v>
      </c>
      <c r="L101">
        <f t="shared" si="8"/>
        <v>122.33454545454546</v>
      </c>
      <c r="M101">
        <f t="shared" si="5"/>
        <v>56.305454545454545</v>
      </c>
    </row>
    <row r="102" spans="1:13" x14ac:dyDescent="0.25">
      <c r="A102" s="1">
        <v>44317</v>
      </c>
      <c r="B102">
        <v>123.02</v>
      </c>
      <c r="C102">
        <v>329.92</v>
      </c>
      <c r="D102">
        <v>155.22</v>
      </c>
      <c r="E102">
        <v>11.12</v>
      </c>
      <c r="F102">
        <v>7.97</v>
      </c>
      <c r="G102">
        <v>8.23</v>
      </c>
      <c r="I102">
        <v>3.379032258064516</v>
      </c>
      <c r="J102">
        <f t="shared" si="6"/>
        <v>2.4356085918854418</v>
      </c>
      <c r="K102">
        <f t="shared" si="7"/>
        <v>36.406873508353222</v>
      </c>
      <c r="L102">
        <f t="shared" si="8"/>
        <v>97.637422434367551</v>
      </c>
      <c r="M102">
        <f t="shared" si="5"/>
        <v>45.936229116945107</v>
      </c>
    </row>
    <row r="103" spans="1:13" x14ac:dyDescent="0.25">
      <c r="A103" s="1">
        <v>44348</v>
      </c>
      <c r="B103">
        <v>125.61</v>
      </c>
      <c r="C103">
        <v>329.1</v>
      </c>
      <c r="D103">
        <v>155.76</v>
      </c>
      <c r="E103">
        <v>10.98</v>
      </c>
      <c r="F103">
        <v>7.94</v>
      </c>
      <c r="G103">
        <v>8.19</v>
      </c>
      <c r="I103">
        <v>3.85</v>
      </c>
      <c r="J103">
        <f t="shared" si="6"/>
        <v>2.127272727272727</v>
      </c>
      <c r="K103">
        <f t="shared" si="7"/>
        <v>32.625974025974024</v>
      </c>
      <c r="L103">
        <f t="shared" si="8"/>
        <v>85.48051948051949</v>
      </c>
      <c r="M103">
        <f t="shared" si="5"/>
        <v>40.457142857142856</v>
      </c>
    </row>
    <row r="104" spans="1:13" x14ac:dyDescent="0.25">
      <c r="A104" s="1">
        <v>44378</v>
      </c>
      <c r="B104">
        <v>124.02</v>
      </c>
      <c r="C104">
        <v>331.17</v>
      </c>
      <c r="D104">
        <v>156.12</v>
      </c>
      <c r="E104">
        <v>10.88</v>
      </c>
      <c r="F104">
        <v>7.91</v>
      </c>
      <c r="G104">
        <v>8.16</v>
      </c>
      <c r="I104">
        <v>4.25</v>
      </c>
      <c r="J104">
        <f t="shared" si="6"/>
        <v>1.92</v>
      </c>
      <c r="K104">
        <f t="shared" si="7"/>
        <v>29.181176470588234</v>
      </c>
      <c r="L104">
        <f t="shared" si="8"/>
        <v>77.92235294117647</v>
      </c>
      <c r="M104">
        <f t="shared" si="5"/>
        <v>36.734117647058824</v>
      </c>
    </row>
    <row r="105" spans="1:13" x14ac:dyDescent="0.25">
      <c r="A105" s="1">
        <v>44409</v>
      </c>
      <c r="B105">
        <v>125.1</v>
      </c>
      <c r="C105">
        <v>335.46</v>
      </c>
      <c r="D105">
        <v>156.46</v>
      </c>
      <c r="E105">
        <v>10.74</v>
      </c>
      <c r="F105">
        <v>7.89</v>
      </c>
      <c r="G105">
        <v>8.1300000000000008</v>
      </c>
      <c r="I105">
        <v>5.120967741935484</v>
      </c>
      <c r="J105">
        <f t="shared" si="6"/>
        <v>1.5875905511811024</v>
      </c>
      <c r="K105">
        <f t="shared" si="7"/>
        <v>24.428976377952754</v>
      </c>
      <c r="L105">
        <f t="shared" si="8"/>
        <v>65.507149606299208</v>
      </c>
      <c r="M105">
        <f t="shared" si="5"/>
        <v>30.552818897637795</v>
      </c>
    </row>
    <row r="106" spans="1:13" x14ac:dyDescent="0.25">
      <c r="A106" s="1">
        <v>44440</v>
      </c>
      <c r="B106">
        <v>129.62</v>
      </c>
      <c r="C106">
        <v>338.68</v>
      </c>
      <c r="D106">
        <v>157.93</v>
      </c>
      <c r="E106">
        <v>10.64</v>
      </c>
      <c r="F106">
        <v>7.87</v>
      </c>
      <c r="G106">
        <v>8.1</v>
      </c>
      <c r="I106">
        <v>5.5166666666666666</v>
      </c>
      <c r="J106">
        <f t="shared" si="6"/>
        <v>1.4682779456193353</v>
      </c>
      <c r="K106">
        <f t="shared" si="7"/>
        <v>23.496072507552871</v>
      </c>
      <c r="L106">
        <f t="shared" si="8"/>
        <v>61.39214501510574</v>
      </c>
      <c r="M106">
        <f t="shared" si="5"/>
        <v>28.627794561933538</v>
      </c>
    </row>
    <row r="107" spans="1:13" x14ac:dyDescent="0.25">
      <c r="A107" s="1">
        <v>44470</v>
      </c>
      <c r="B107">
        <v>128.19</v>
      </c>
      <c r="C107">
        <v>342.22</v>
      </c>
      <c r="D107">
        <v>159.43</v>
      </c>
      <c r="E107">
        <v>10.55</v>
      </c>
      <c r="F107">
        <v>7.86</v>
      </c>
      <c r="G107">
        <v>8.09</v>
      </c>
      <c r="I107">
        <v>6.443548387096774</v>
      </c>
      <c r="J107">
        <f t="shared" si="6"/>
        <v>1.2555193992490614</v>
      </c>
      <c r="K107">
        <f t="shared" si="7"/>
        <v>19.894317897371714</v>
      </c>
      <c r="L107">
        <f t="shared" si="8"/>
        <v>53.11048811013768</v>
      </c>
      <c r="M107">
        <f t="shared" si="5"/>
        <v>24.742578222778477</v>
      </c>
    </row>
    <row r="108" spans="1:13" x14ac:dyDescent="0.25">
      <c r="A108" s="1">
        <v>44501</v>
      </c>
      <c r="B108">
        <v>129.66999999999999</v>
      </c>
      <c r="C108">
        <v>343.71</v>
      </c>
      <c r="D108">
        <v>158.94999999999999</v>
      </c>
      <c r="E108">
        <v>10.48</v>
      </c>
      <c r="F108">
        <v>7.85</v>
      </c>
      <c r="G108">
        <v>8.08</v>
      </c>
      <c r="I108">
        <v>7.75</v>
      </c>
      <c r="J108">
        <f t="shared" si="6"/>
        <v>1.0425806451612902</v>
      </c>
      <c r="K108">
        <f t="shared" si="7"/>
        <v>16.731612903225805</v>
      </c>
      <c r="L108">
        <f t="shared" si="8"/>
        <v>44.349677419354833</v>
      </c>
      <c r="M108">
        <f t="shared" si="5"/>
        <v>20.509677419354837</v>
      </c>
    </row>
    <row r="109" spans="1:13" x14ac:dyDescent="0.25">
      <c r="A109" s="1">
        <v>44531</v>
      </c>
      <c r="B109">
        <v>127.94</v>
      </c>
      <c r="C109">
        <v>347.38</v>
      </c>
      <c r="D109">
        <v>159.41999999999999</v>
      </c>
      <c r="E109">
        <v>10.44</v>
      </c>
      <c r="F109">
        <v>7.86</v>
      </c>
      <c r="G109">
        <v>8.08</v>
      </c>
      <c r="I109">
        <v>8.862903225806452</v>
      </c>
      <c r="J109">
        <f t="shared" si="6"/>
        <v>0.91166515013648763</v>
      </c>
      <c r="K109">
        <f t="shared" si="7"/>
        <v>14.435450409463147</v>
      </c>
      <c r="L109">
        <f t="shared" si="8"/>
        <v>39.194831665150133</v>
      </c>
      <c r="M109">
        <f t="shared" si="5"/>
        <v>17.987333939945401</v>
      </c>
    </row>
    <row r="110" spans="1:13" x14ac:dyDescent="0.25">
      <c r="A110" s="1">
        <v>44562</v>
      </c>
      <c r="B110">
        <v>125.65</v>
      </c>
      <c r="C110">
        <v>346.28</v>
      </c>
      <c r="D110">
        <v>160.77000000000001</v>
      </c>
      <c r="E110">
        <v>10.4</v>
      </c>
      <c r="F110">
        <v>7.87</v>
      </c>
      <c r="G110">
        <v>8.08</v>
      </c>
      <c r="I110">
        <v>9.25</v>
      </c>
      <c r="J110">
        <f t="shared" si="6"/>
        <v>0.87351351351351347</v>
      </c>
      <c r="K110">
        <f t="shared" si="7"/>
        <v>13.583783783783785</v>
      </c>
      <c r="L110">
        <f t="shared" si="8"/>
        <v>37.435675675675675</v>
      </c>
      <c r="M110">
        <f t="shared" si="5"/>
        <v>17.38054054054054</v>
      </c>
    </row>
    <row r="111" spans="1:13" x14ac:dyDescent="0.25">
      <c r="A111" s="1">
        <v>44593</v>
      </c>
      <c r="B111">
        <v>132.49</v>
      </c>
      <c r="C111">
        <v>355.19</v>
      </c>
      <c r="D111">
        <v>161.82</v>
      </c>
      <c r="E111">
        <v>10.37</v>
      </c>
      <c r="F111">
        <v>7.88</v>
      </c>
      <c r="G111">
        <v>8.09</v>
      </c>
      <c r="I111">
        <v>10.642857142857142</v>
      </c>
      <c r="J111">
        <f t="shared" si="6"/>
        <v>0.76013422818791954</v>
      </c>
      <c r="K111">
        <f t="shared" si="7"/>
        <v>12.448724832214767</v>
      </c>
      <c r="L111">
        <f t="shared" si="8"/>
        <v>33.373557046979869</v>
      </c>
      <c r="M111">
        <f t="shared" si="5"/>
        <v>15.204563758389261</v>
      </c>
    </row>
    <row r="112" spans="1:13" x14ac:dyDescent="0.25">
      <c r="A112" s="1">
        <v>44621</v>
      </c>
      <c r="B112">
        <v>127.84</v>
      </c>
      <c r="C112">
        <v>359.07</v>
      </c>
      <c r="D112">
        <v>162.18</v>
      </c>
      <c r="E112">
        <v>10.36</v>
      </c>
      <c r="F112">
        <v>7.89</v>
      </c>
      <c r="G112">
        <v>8.1</v>
      </c>
      <c r="I112">
        <v>11.233870967741936</v>
      </c>
      <c r="J112">
        <f t="shared" si="6"/>
        <v>0.7210337401292175</v>
      </c>
      <c r="K112">
        <f t="shared" si="7"/>
        <v>11.379870782483847</v>
      </c>
      <c r="L112">
        <f t="shared" si="8"/>
        <v>31.963158650394828</v>
      </c>
      <c r="M112">
        <f t="shared" si="5"/>
        <v>14.436697774587222</v>
      </c>
    </row>
    <row r="113" spans="1:13" x14ac:dyDescent="0.25">
      <c r="A113" s="1">
        <v>44652</v>
      </c>
      <c r="B113">
        <v>132.69</v>
      </c>
      <c r="C113">
        <v>363.97</v>
      </c>
      <c r="D113">
        <v>163.29</v>
      </c>
      <c r="E113">
        <v>10.33</v>
      </c>
      <c r="F113">
        <v>7.91</v>
      </c>
      <c r="G113">
        <v>8.1199999999999992</v>
      </c>
      <c r="I113">
        <v>11.75</v>
      </c>
      <c r="J113">
        <f t="shared" si="6"/>
        <v>0.69106382978723402</v>
      </c>
      <c r="K113">
        <f t="shared" si="7"/>
        <v>11.292765957446809</v>
      </c>
      <c r="L113">
        <f t="shared" si="8"/>
        <v>30.976170212765961</v>
      </c>
      <c r="M113">
        <f t="shared" si="5"/>
        <v>13.897021276595744</v>
      </c>
    </row>
    <row r="114" spans="1:13" x14ac:dyDescent="0.25">
      <c r="A114" s="1">
        <v>44682</v>
      </c>
      <c r="B114">
        <v>127.85</v>
      </c>
      <c r="C114">
        <v>368.84</v>
      </c>
      <c r="D114">
        <v>163.47</v>
      </c>
      <c r="E114">
        <v>10.33</v>
      </c>
      <c r="F114">
        <v>7.93</v>
      </c>
      <c r="G114">
        <v>8.14</v>
      </c>
      <c r="I114">
        <v>12.620967741935484</v>
      </c>
      <c r="J114">
        <f t="shared" si="6"/>
        <v>0.64495846645367416</v>
      </c>
      <c r="K114">
        <f t="shared" si="7"/>
        <v>10.12996805111821</v>
      </c>
      <c r="L114">
        <f t="shared" si="8"/>
        <v>29.224383386581469</v>
      </c>
      <c r="M114">
        <f t="shared" si="5"/>
        <v>12.952255591054312</v>
      </c>
    </row>
    <row r="115" spans="1:13" x14ac:dyDescent="0.25">
      <c r="A115" s="1">
        <v>44713</v>
      </c>
      <c r="B115">
        <v>129.16</v>
      </c>
      <c r="C115">
        <v>370.35</v>
      </c>
      <c r="D115">
        <v>163.96</v>
      </c>
      <c r="E115">
        <v>10.34</v>
      </c>
      <c r="F115">
        <v>7.96</v>
      </c>
      <c r="G115">
        <v>8.17</v>
      </c>
      <c r="I115">
        <v>13</v>
      </c>
      <c r="J115">
        <f t="shared" si="6"/>
        <v>0.6284615384615384</v>
      </c>
      <c r="K115">
        <f t="shared" si="7"/>
        <v>9.9353846153846153</v>
      </c>
      <c r="L115">
        <f t="shared" si="8"/>
        <v>28.488461538461539</v>
      </c>
      <c r="M115">
        <f t="shared" si="5"/>
        <v>12.612307692307693</v>
      </c>
    </row>
    <row r="116" spans="1:13" x14ac:dyDescent="0.25">
      <c r="A116" s="1">
        <v>44743</v>
      </c>
      <c r="B116">
        <v>127.42</v>
      </c>
      <c r="C116">
        <v>394.93</v>
      </c>
      <c r="D116">
        <v>166.09</v>
      </c>
      <c r="E116">
        <v>10.37</v>
      </c>
      <c r="F116">
        <v>8</v>
      </c>
      <c r="G116">
        <v>8.2100000000000009</v>
      </c>
      <c r="I116">
        <v>13.25</v>
      </c>
      <c r="J116">
        <f t="shared" si="6"/>
        <v>0.61962264150943402</v>
      </c>
      <c r="K116">
        <f t="shared" si="7"/>
        <v>9.6166037735849059</v>
      </c>
      <c r="L116">
        <f t="shared" si="8"/>
        <v>29.806037735849056</v>
      </c>
      <c r="M116">
        <f t="shared" si="5"/>
        <v>12.535094339622642</v>
      </c>
    </row>
    <row r="117" spans="1:13" x14ac:dyDescent="0.25">
      <c r="A117" s="1">
        <v>44774</v>
      </c>
      <c r="B117">
        <v>128.44</v>
      </c>
      <c r="C117">
        <v>399.61</v>
      </c>
      <c r="D117">
        <v>167.73</v>
      </c>
      <c r="E117">
        <v>10.39</v>
      </c>
      <c r="F117">
        <v>8.0399999999999991</v>
      </c>
      <c r="G117">
        <v>8.25</v>
      </c>
      <c r="I117">
        <v>13.701612903225806</v>
      </c>
      <c r="J117">
        <f t="shared" si="6"/>
        <v>0.60211889346674519</v>
      </c>
      <c r="K117">
        <f t="shared" si="7"/>
        <v>9.3740788699234852</v>
      </c>
      <c r="L117">
        <f t="shared" si="8"/>
        <v>29.165179517363157</v>
      </c>
      <c r="M117">
        <f t="shared" si="5"/>
        <v>12.241624484991171</v>
      </c>
    </row>
    <row r="118" spans="1:13" x14ac:dyDescent="0.25">
      <c r="A118" s="1">
        <v>44805</v>
      </c>
      <c r="B118">
        <v>134.30000000000001</v>
      </c>
      <c r="C118">
        <v>390.87</v>
      </c>
      <c r="D118">
        <v>169.43</v>
      </c>
      <c r="E118">
        <v>10.4</v>
      </c>
      <c r="F118">
        <v>8.07</v>
      </c>
      <c r="G118">
        <v>8.2799999999999994</v>
      </c>
      <c r="I118">
        <v>13.75</v>
      </c>
      <c r="J118">
        <f t="shared" si="6"/>
        <v>0.60218181818181815</v>
      </c>
      <c r="K118">
        <f t="shared" si="7"/>
        <v>9.7672727272727276</v>
      </c>
      <c r="L118">
        <f t="shared" si="8"/>
        <v>28.426909090909092</v>
      </c>
      <c r="M118">
        <f t="shared" si="5"/>
        <v>12.322181818181818</v>
      </c>
    </row>
    <row r="119" spans="1:13" x14ac:dyDescent="0.25">
      <c r="A119" s="1">
        <v>44835</v>
      </c>
      <c r="B119">
        <v>133.38</v>
      </c>
      <c r="C119">
        <v>409.49</v>
      </c>
      <c r="D119">
        <v>170.78</v>
      </c>
      <c r="E119">
        <v>10.41</v>
      </c>
      <c r="F119">
        <v>8.09</v>
      </c>
      <c r="G119">
        <v>8.3000000000000007</v>
      </c>
      <c r="I119">
        <v>13.75</v>
      </c>
      <c r="J119">
        <f t="shared" si="6"/>
        <v>0.60363636363636364</v>
      </c>
      <c r="K119">
        <f t="shared" si="7"/>
        <v>9.7003636363636367</v>
      </c>
      <c r="L119">
        <f t="shared" si="8"/>
        <v>29.78109090909091</v>
      </c>
      <c r="M119">
        <f t="shared" si="5"/>
        <v>12.420363636363636</v>
      </c>
    </row>
    <row r="120" spans="1:13" x14ac:dyDescent="0.25">
      <c r="A120" s="1">
        <v>44866</v>
      </c>
      <c r="B120">
        <v>133.75</v>
      </c>
      <c r="C120">
        <v>396.3</v>
      </c>
      <c r="D120">
        <v>170.44</v>
      </c>
      <c r="E120">
        <v>10.43</v>
      </c>
      <c r="F120">
        <v>8.1199999999999992</v>
      </c>
      <c r="G120">
        <v>8.33</v>
      </c>
      <c r="I120">
        <v>13.75</v>
      </c>
      <c r="J120">
        <f t="shared" si="6"/>
        <v>0.60581818181818181</v>
      </c>
      <c r="K120">
        <f t="shared" si="7"/>
        <v>9.7272727272727266</v>
      </c>
      <c r="L120">
        <f t="shared" si="8"/>
        <v>28.821818181818184</v>
      </c>
      <c r="M120">
        <f t="shared" si="5"/>
        <v>12.395636363636363</v>
      </c>
    </row>
    <row r="121" spans="1:13" x14ac:dyDescent="0.25">
      <c r="A121" s="1">
        <v>44896</v>
      </c>
      <c r="B121">
        <v>132.12</v>
      </c>
      <c r="C121">
        <v>411.93</v>
      </c>
      <c r="D121">
        <v>170.8</v>
      </c>
      <c r="E121">
        <v>10.45</v>
      </c>
      <c r="F121">
        <v>8.15</v>
      </c>
      <c r="G121">
        <v>8.36</v>
      </c>
      <c r="I121">
        <v>13.75</v>
      </c>
      <c r="J121">
        <f t="shared" si="6"/>
        <v>0.60799999999999998</v>
      </c>
      <c r="K121">
        <f t="shared" si="7"/>
        <v>9.6087272727272737</v>
      </c>
      <c r="L121">
        <f t="shared" si="8"/>
        <v>29.958545454545455</v>
      </c>
      <c r="M121">
        <f t="shared" si="5"/>
        <v>12.421818181818182</v>
      </c>
    </row>
    <row r="122" spans="1:13" x14ac:dyDescent="0.25">
      <c r="A122" s="1">
        <v>44927</v>
      </c>
      <c r="B122">
        <v>131.1</v>
      </c>
      <c r="C122">
        <v>415.69</v>
      </c>
      <c r="D122">
        <v>171.76</v>
      </c>
      <c r="E122">
        <v>10.47</v>
      </c>
      <c r="F122">
        <v>8.18</v>
      </c>
      <c r="G122">
        <v>8.39</v>
      </c>
      <c r="I122">
        <v>13.75</v>
      </c>
      <c r="J122">
        <f t="shared" si="6"/>
        <v>0.61018181818181827</v>
      </c>
      <c r="K122">
        <f t="shared" si="7"/>
        <v>9.5345454545454533</v>
      </c>
      <c r="L122">
        <f t="shared" si="8"/>
        <v>30.231999999999999</v>
      </c>
      <c r="M122">
        <f t="shared" si="5"/>
        <v>12.491636363636363</v>
      </c>
    </row>
    <row r="123" spans="1:13" x14ac:dyDescent="0.25">
      <c r="A123" s="1">
        <v>44958</v>
      </c>
      <c r="B123">
        <v>134.66</v>
      </c>
      <c r="C123">
        <v>420.42</v>
      </c>
      <c r="D123">
        <v>174.09</v>
      </c>
      <c r="E123">
        <v>10.47</v>
      </c>
      <c r="F123">
        <v>8.1999999999999993</v>
      </c>
      <c r="G123">
        <v>8.41</v>
      </c>
      <c r="I123">
        <v>13.75</v>
      </c>
      <c r="J123">
        <f t="shared" si="6"/>
        <v>0.61163636363636364</v>
      </c>
      <c r="K123">
        <f t="shared" si="7"/>
        <v>9.7934545454545461</v>
      </c>
      <c r="L123">
        <f t="shared" si="8"/>
        <v>30.576000000000001</v>
      </c>
      <c r="M123">
        <f t="shared" si="5"/>
        <v>12.661090909090909</v>
      </c>
    </row>
    <row r="124" spans="1:13" x14ac:dyDescent="0.25">
      <c r="A124" s="1">
        <v>44986</v>
      </c>
      <c r="B124">
        <v>130.35</v>
      </c>
      <c r="C124">
        <v>433.33</v>
      </c>
      <c r="D124">
        <v>177.21</v>
      </c>
      <c r="E124">
        <v>10.51</v>
      </c>
      <c r="F124">
        <v>8.23</v>
      </c>
      <c r="G124">
        <v>8.44</v>
      </c>
      <c r="I124">
        <v>13.75</v>
      </c>
      <c r="J124">
        <f t="shared" si="6"/>
        <v>0.61381818181818182</v>
      </c>
      <c r="K124">
        <f t="shared" si="7"/>
        <v>9.48</v>
      </c>
      <c r="L124">
        <f t="shared" si="8"/>
        <v>31.514909090909089</v>
      </c>
      <c r="M124">
        <f t="shared" si="5"/>
        <v>12.888</v>
      </c>
    </row>
    <row r="125" spans="1:13" x14ac:dyDescent="0.25">
      <c r="A125" s="1">
        <v>45017</v>
      </c>
      <c r="B125">
        <v>133.5</v>
      </c>
      <c r="C125">
        <v>447.33</v>
      </c>
      <c r="D125">
        <v>179.8</v>
      </c>
      <c r="E125">
        <v>10.53</v>
      </c>
      <c r="F125">
        <v>8.26</v>
      </c>
      <c r="G125">
        <v>8.4700000000000006</v>
      </c>
      <c r="I125">
        <v>13.75</v>
      </c>
      <c r="J125">
        <f t="shared" si="6"/>
        <v>0.61599999999999999</v>
      </c>
      <c r="K125">
        <f t="shared" si="7"/>
        <v>9.709090909090909</v>
      </c>
      <c r="L125">
        <f t="shared" si="8"/>
        <v>32.533090909090909</v>
      </c>
      <c r="M125">
        <f t="shared" si="5"/>
        <v>13.076363636363638</v>
      </c>
    </row>
    <row r="126" spans="1:13" x14ac:dyDescent="0.25">
      <c r="A126" s="1">
        <v>45047</v>
      </c>
      <c r="B126">
        <v>130.75</v>
      </c>
      <c r="C126">
        <v>453.97</v>
      </c>
      <c r="D126">
        <v>179.87</v>
      </c>
      <c r="E126">
        <v>10.59</v>
      </c>
      <c r="F126">
        <v>8.3000000000000007</v>
      </c>
      <c r="G126">
        <v>8.52</v>
      </c>
      <c r="I126">
        <v>13.75</v>
      </c>
      <c r="J126">
        <f t="shared" si="6"/>
        <v>0.61963636363636365</v>
      </c>
      <c r="K126">
        <f t="shared" si="7"/>
        <v>9.5090909090909097</v>
      </c>
      <c r="L126">
        <f t="shared" si="8"/>
        <v>33.016000000000005</v>
      </c>
      <c r="M126">
        <f t="shared" si="5"/>
        <v>13.081454545454546</v>
      </c>
    </row>
    <row r="127" spans="1:13" x14ac:dyDescent="0.25">
      <c r="A127" s="1">
        <v>45078</v>
      </c>
      <c r="B127">
        <v>134.56</v>
      </c>
      <c r="C127">
        <v>435.84</v>
      </c>
      <c r="D127">
        <v>181.14</v>
      </c>
      <c r="E127">
        <v>10.63</v>
      </c>
      <c r="F127">
        <v>8.33</v>
      </c>
      <c r="G127">
        <v>8.5500000000000007</v>
      </c>
      <c r="I127">
        <v>13.75</v>
      </c>
      <c r="J127">
        <f t="shared" si="6"/>
        <v>0.62181818181818183</v>
      </c>
      <c r="K127">
        <f t="shared" si="7"/>
        <v>9.7861818181818183</v>
      </c>
      <c r="L127">
        <f t="shared" si="8"/>
        <v>31.697454545454544</v>
      </c>
      <c r="M127">
        <f t="shared" si="5"/>
        <v>13.173818181818181</v>
      </c>
    </row>
    <row r="128" spans="1:13" x14ac:dyDescent="0.25">
      <c r="A128" s="1">
        <v>45108</v>
      </c>
      <c r="B128">
        <v>132.04</v>
      </c>
      <c r="C128">
        <v>441.33</v>
      </c>
      <c r="D128">
        <v>182.63</v>
      </c>
      <c r="E128">
        <v>10.68</v>
      </c>
      <c r="F128">
        <v>8.3699999999999992</v>
      </c>
      <c r="G128">
        <v>8.59</v>
      </c>
      <c r="I128">
        <v>13.75</v>
      </c>
      <c r="J128">
        <f t="shared" si="6"/>
        <v>0.62472727272727269</v>
      </c>
      <c r="K128">
        <f t="shared" si="7"/>
        <v>9.6029090909090904</v>
      </c>
      <c r="L128">
        <f t="shared" si="8"/>
        <v>32.096727272727271</v>
      </c>
      <c r="M128">
        <f t="shared" si="5"/>
        <v>13.282181818181817</v>
      </c>
    </row>
    <row r="129" spans="1:13" x14ac:dyDescent="0.25">
      <c r="A129" s="1">
        <v>45139</v>
      </c>
      <c r="B129">
        <v>131.88999999999999</v>
      </c>
      <c r="C129">
        <v>445.51</v>
      </c>
      <c r="D129">
        <v>182.82</v>
      </c>
      <c r="E129">
        <v>10.71</v>
      </c>
      <c r="F129">
        <v>8.41</v>
      </c>
      <c r="G129">
        <v>8.6300000000000008</v>
      </c>
      <c r="I129">
        <v>13.28225806451613</v>
      </c>
      <c r="J129">
        <f t="shared" si="6"/>
        <v>0.64973891924711602</v>
      </c>
      <c r="K129">
        <f t="shared" si="7"/>
        <v>9.9297874924104423</v>
      </c>
      <c r="L129">
        <f t="shared" si="8"/>
        <v>33.541736490588946</v>
      </c>
      <c r="M129">
        <f t="shared" si="5"/>
        <v>13.76422586520947</v>
      </c>
    </row>
    <row r="130" spans="1:13" x14ac:dyDescent="0.25">
      <c r="A130" s="1">
        <v>45170</v>
      </c>
      <c r="B130">
        <v>133.94</v>
      </c>
      <c r="C130">
        <v>441.11</v>
      </c>
      <c r="D130">
        <v>183.4</v>
      </c>
      <c r="E130">
        <v>10.74</v>
      </c>
      <c r="F130">
        <v>8.43</v>
      </c>
      <c r="G130">
        <v>8.65</v>
      </c>
      <c r="I130">
        <v>13.083333333333334</v>
      </c>
      <c r="J130">
        <f t="shared" si="6"/>
        <v>0.66114649681528659</v>
      </c>
      <c r="K130">
        <f t="shared" si="7"/>
        <v>10.237452229299363</v>
      </c>
      <c r="L130">
        <f t="shared" si="8"/>
        <v>33.715414012738854</v>
      </c>
      <c r="M130">
        <f t="shared" ref="M130:M163" si="9">D130/I130</f>
        <v>14.017834394904458</v>
      </c>
    </row>
    <row r="131" spans="1:13" x14ac:dyDescent="0.25">
      <c r="A131" s="1">
        <v>45200</v>
      </c>
      <c r="B131">
        <v>131.57</v>
      </c>
      <c r="C131">
        <v>444.92</v>
      </c>
      <c r="D131">
        <v>184.61</v>
      </c>
      <c r="E131">
        <v>10.76</v>
      </c>
      <c r="F131">
        <v>8.4600000000000009</v>
      </c>
      <c r="G131">
        <v>8.68</v>
      </c>
      <c r="I131">
        <v>12.75</v>
      </c>
      <c r="J131">
        <f t="shared" ref="J131:J164" si="10">G131/I131</f>
        <v>0.6807843137254902</v>
      </c>
      <c r="K131">
        <f t="shared" ref="K131:K164" si="11">B131/I131</f>
        <v>10.319215686274509</v>
      </c>
      <c r="L131">
        <f t="shared" ref="L131:L164" si="12">C131/I131</f>
        <v>34.895686274509806</v>
      </c>
      <c r="M131">
        <f t="shared" si="9"/>
        <v>14.479215686274511</v>
      </c>
    </row>
    <row r="132" spans="1:13" x14ac:dyDescent="0.25">
      <c r="A132" s="1">
        <v>45231</v>
      </c>
      <c r="B132">
        <v>132.49</v>
      </c>
      <c r="C132">
        <v>434.84</v>
      </c>
      <c r="D132">
        <v>188.62</v>
      </c>
      <c r="E132">
        <v>10.78</v>
      </c>
      <c r="F132">
        <v>8.48</v>
      </c>
      <c r="G132">
        <v>8.6999999999999993</v>
      </c>
      <c r="I132">
        <v>12.266666666666667</v>
      </c>
      <c r="J132">
        <f t="shared" si="10"/>
        <v>0.70923913043478248</v>
      </c>
      <c r="K132">
        <f t="shared" si="11"/>
        <v>10.800815217391305</v>
      </c>
      <c r="L132">
        <f t="shared" si="12"/>
        <v>35.448913043478257</v>
      </c>
      <c r="M132">
        <f t="shared" si="9"/>
        <v>15.376630434782609</v>
      </c>
    </row>
    <row r="133" spans="1:13" x14ac:dyDescent="0.25">
      <c r="A133" s="1">
        <v>45261</v>
      </c>
      <c r="B133">
        <v>128.11000000000001</v>
      </c>
      <c r="C133">
        <v>442.1</v>
      </c>
      <c r="D133">
        <v>188.83</v>
      </c>
      <c r="E133">
        <v>10.8</v>
      </c>
      <c r="F133">
        <v>8.49</v>
      </c>
      <c r="G133">
        <v>8.7100000000000009</v>
      </c>
      <c r="I133">
        <v>11.959677419354838</v>
      </c>
      <c r="J133">
        <f t="shared" si="10"/>
        <v>0.72828051247471348</v>
      </c>
      <c r="K133">
        <f t="shared" si="11"/>
        <v>10.71182737693864</v>
      </c>
      <c r="L133">
        <f t="shared" si="12"/>
        <v>36.965879973027647</v>
      </c>
      <c r="M133">
        <f t="shared" si="9"/>
        <v>15.788887390424817</v>
      </c>
    </row>
    <row r="134" spans="1:13" x14ac:dyDescent="0.25">
      <c r="A134" s="1">
        <v>45292</v>
      </c>
      <c r="B134">
        <v>125.76</v>
      </c>
      <c r="C134">
        <v>419.18</v>
      </c>
      <c r="D134">
        <v>187.55</v>
      </c>
      <c r="E134">
        <v>10.81</v>
      </c>
      <c r="F134">
        <v>8.5</v>
      </c>
      <c r="G134">
        <v>8.7200000000000006</v>
      </c>
      <c r="I134">
        <v>11.75</v>
      </c>
      <c r="J134">
        <f t="shared" si="10"/>
        <v>0.74212765957446813</v>
      </c>
      <c r="K134">
        <f t="shared" si="11"/>
        <v>10.702978723404255</v>
      </c>
      <c r="L134">
        <f t="shared" si="12"/>
        <v>35.674893617021276</v>
      </c>
      <c r="M134">
        <f t="shared" si="9"/>
        <v>15.961702127659576</v>
      </c>
    </row>
    <row r="135" spans="1:13" x14ac:dyDescent="0.25">
      <c r="A135" s="1">
        <v>45323</v>
      </c>
      <c r="B135">
        <v>132.09</v>
      </c>
      <c r="C135">
        <v>412.05</v>
      </c>
      <c r="D135">
        <v>187.6</v>
      </c>
      <c r="E135">
        <v>10.81</v>
      </c>
      <c r="F135">
        <v>8.51</v>
      </c>
      <c r="G135">
        <v>8.73</v>
      </c>
      <c r="I135">
        <v>11.25</v>
      </c>
      <c r="J135">
        <f t="shared" si="10"/>
        <v>0.77600000000000002</v>
      </c>
      <c r="K135">
        <f t="shared" si="11"/>
        <v>11.741333333333333</v>
      </c>
      <c r="L135">
        <f t="shared" si="12"/>
        <v>36.626666666666665</v>
      </c>
      <c r="M135">
        <f t="shared" si="9"/>
        <v>16.675555555555555</v>
      </c>
    </row>
    <row r="136" spans="1:13" x14ac:dyDescent="0.25">
      <c r="A136" s="1">
        <v>45352</v>
      </c>
      <c r="B136">
        <v>128.12</v>
      </c>
      <c r="C136">
        <v>421.27</v>
      </c>
      <c r="D136">
        <v>187.54</v>
      </c>
      <c r="E136">
        <v>10.83</v>
      </c>
      <c r="F136">
        <v>8.52</v>
      </c>
      <c r="G136">
        <v>8.74</v>
      </c>
      <c r="I136">
        <v>11.07258064516129</v>
      </c>
      <c r="J136">
        <f t="shared" si="10"/>
        <v>0.78933721777130372</v>
      </c>
      <c r="K136">
        <f t="shared" si="11"/>
        <v>11.570924981791698</v>
      </c>
      <c r="L136">
        <f t="shared" si="12"/>
        <v>38.046234522942463</v>
      </c>
      <c r="M136">
        <f t="shared" si="9"/>
        <v>16.937334304442825</v>
      </c>
    </row>
    <row r="137" spans="1:13" x14ac:dyDescent="0.25">
      <c r="A137" s="1">
        <v>45383</v>
      </c>
      <c r="B137">
        <v>130.63999999999999</v>
      </c>
      <c r="C137">
        <v>423.44</v>
      </c>
      <c r="D137">
        <v>185.89</v>
      </c>
      <c r="E137">
        <v>10.84</v>
      </c>
      <c r="F137">
        <v>8.5299999999999994</v>
      </c>
      <c r="G137">
        <v>8.76</v>
      </c>
      <c r="I137">
        <v>10.75</v>
      </c>
      <c r="J137">
        <f t="shared" si="10"/>
        <v>0.81488372093023254</v>
      </c>
      <c r="K137">
        <f t="shared" si="11"/>
        <v>12.152558139534882</v>
      </c>
      <c r="L137">
        <f t="shared" si="12"/>
        <v>39.389767441860464</v>
      </c>
      <c r="M137">
        <f t="shared" si="9"/>
        <v>17.292093023255813</v>
      </c>
    </row>
    <row r="138" spans="1:13" x14ac:dyDescent="0.25">
      <c r="A138" s="1">
        <v>45413</v>
      </c>
      <c r="B138">
        <v>131.88</v>
      </c>
      <c r="C138">
        <v>422.41</v>
      </c>
      <c r="D138">
        <v>185.43</v>
      </c>
      <c r="E138">
        <v>10.86</v>
      </c>
      <c r="F138">
        <v>8.5500000000000007</v>
      </c>
      <c r="G138">
        <v>8.7799999999999994</v>
      </c>
      <c r="I138">
        <v>10.564516129032258</v>
      </c>
      <c r="J138">
        <f t="shared" si="10"/>
        <v>0.83108396946564878</v>
      </c>
      <c r="K138">
        <f t="shared" si="11"/>
        <v>12.483297709923663</v>
      </c>
      <c r="L138">
        <f t="shared" si="12"/>
        <v>39.983847328244281</v>
      </c>
      <c r="M138">
        <f t="shared" si="9"/>
        <v>17.552152671755724</v>
      </c>
    </row>
    <row r="139" spans="1:13" x14ac:dyDescent="0.25">
      <c r="A139" s="1">
        <v>45444</v>
      </c>
      <c r="B139">
        <v>131.28</v>
      </c>
      <c r="C139">
        <v>428.68</v>
      </c>
      <c r="D139">
        <v>184.52</v>
      </c>
      <c r="E139">
        <v>10.88</v>
      </c>
      <c r="F139">
        <v>8.56</v>
      </c>
      <c r="G139">
        <v>8.7899999999999991</v>
      </c>
      <c r="I139">
        <v>10.5</v>
      </c>
      <c r="J139">
        <f t="shared" si="10"/>
        <v>0.83714285714285708</v>
      </c>
      <c r="K139">
        <f t="shared" si="11"/>
        <v>12.502857142857144</v>
      </c>
      <c r="L139">
        <f t="shared" si="12"/>
        <v>40.826666666666668</v>
      </c>
      <c r="M139">
        <f t="shared" si="9"/>
        <v>17.573333333333334</v>
      </c>
    </row>
    <row r="140" spans="1:13" x14ac:dyDescent="0.25">
      <c r="A140" s="1">
        <v>45474</v>
      </c>
      <c r="B140">
        <v>131.59</v>
      </c>
      <c r="C140">
        <v>432.19</v>
      </c>
      <c r="D140">
        <v>182.98</v>
      </c>
      <c r="E140">
        <v>10.89</v>
      </c>
      <c r="F140">
        <v>8.58</v>
      </c>
      <c r="G140">
        <v>8.81</v>
      </c>
      <c r="I140">
        <v>10.5</v>
      </c>
      <c r="J140">
        <f t="shared" si="10"/>
        <v>0.83904761904761904</v>
      </c>
      <c r="K140">
        <f t="shared" si="11"/>
        <v>12.532380952380953</v>
      </c>
      <c r="L140">
        <f t="shared" si="12"/>
        <v>41.160952380952381</v>
      </c>
      <c r="M140">
        <f t="shared" si="9"/>
        <v>17.426666666666666</v>
      </c>
    </row>
    <row r="141" spans="1:13" x14ac:dyDescent="0.25">
      <c r="A141" s="1">
        <v>45505</v>
      </c>
      <c r="B141">
        <v>132.91999999999999</v>
      </c>
      <c r="C141">
        <v>426.9</v>
      </c>
      <c r="D141">
        <v>182.74</v>
      </c>
      <c r="E141">
        <v>10.9</v>
      </c>
      <c r="F141">
        <v>8.59</v>
      </c>
      <c r="G141">
        <v>8.82</v>
      </c>
      <c r="I141">
        <v>10.5</v>
      </c>
      <c r="J141">
        <f t="shared" si="10"/>
        <v>0.84000000000000008</v>
      </c>
      <c r="K141">
        <f t="shared" si="11"/>
        <v>12.659047619047618</v>
      </c>
      <c r="L141">
        <f t="shared" si="12"/>
        <v>40.657142857142858</v>
      </c>
      <c r="M141">
        <f t="shared" si="9"/>
        <v>17.403809523809525</v>
      </c>
    </row>
    <row r="142" spans="1:13" x14ac:dyDescent="0.25">
      <c r="A142" s="1">
        <v>45536</v>
      </c>
      <c r="B142">
        <v>136.29</v>
      </c>
      <c r="C142">
        <v>438.42</v>
      </c>
      <c r="D142">
        <v>182.91</v>
      </c>
      <c r="E142">
        <v>10.91</v>
      </c>
      <c r="F142">
        <v>8.61</v>
      </c>
      <c r="G142">
        <v>8.84</v>
      </c>
      <c r="I142">
        <v>10.6</v>
      </c>
      <c r="J142">
        <f t="shared" si="10"/>
        <v>0.83396226415094343</v>
      </c>
      <c r="K142">
        <f t="shared" si="11"/>
        <v>12.857547169811321</v>
      </c>
      <c r="L142">
        <f t="shared" si="12"/>
        <v>41.360377358490567</v>
      </c>
      <c r="M142">
        <f t="shared" si="9"/>
        <v>17.255660377358492</v>
      </c>
    </row>
    <row r="143" spans="1:13" x14ac:dyDescent="0.25">
      <c r="A143" s="1">
        <v>45566</v>
      </c>
      <c r="B143">
        <v>135.46</v>
      </c>
      <c r="C143">
        <v>438.92</v>
      </c>
      <c r="D143">
        <v>182.04</v>
      </c>
      <c r="E143">
        <v>10.93</v>
      </c>
      <c r="F143">
        <v>8.6199999999999992</v>
      </c>
      <c r="G143">
        <v>8.85</v>
      </c>
      <c r="I143">
        <v>10.75</v>
      </c>
      <c r="J143">
        <f t="shared" si="10"/>
        <v>0.82325581395348835</v>
      </c>
      <c r="K143">
        <f t="shared" si="11"/>
        <v>12.60093023255814</v>
      </c>
      <c r="L143">
        <f t="shared" si="12"/>
        <v>40.829767441860469</v>
      </c>
      <c r="M143">
        <f t="shared" si="9"/>
        <v>16.933953488372094</v>
      </c>
    </row>
    <row r="144" spans="1:13" x14ac:dyDescent="0.25">
      <c r="A144" s="1">
        <v>45597</v>
      </c>
      <c r="B144">
        <v>138.16</v>
      </c>
      <c r="C144">
        <v>445.9</v>
      </c>
      <c r="D144">
        <v>181.99</v>
      </c>
      <c r="E144">
        <v>10.95</v>
      </c>
      <c r="F144">
        <v>8.6300000000000008</v>
      </c>
      <c r="G144">
        <v>8.86</v>
      </c>
      <c r="I144">
        <v>11.15</v>
      </c>
      <c r="J144">
        <f t="shared" si="10"/>
        <v>0.79461883408071743</v>
      </c>
      <c r="K144">
        <f t="shared" si="11"/>
        <v>12.391031390134529</v>
      </c>
      <c r="L144">
        <f t="shared" si="12"/>
        <v>39.991031390134523</v>
      </c>
      <c r="M144">
        <f t="shared" si="9"/>
        <v>16.321973094170403</v>
      </c>
    </row>
    <row r="145" spans="1:13" x14ac:dyDescent="0.25">
      <c r="A145" s="1">
        <v>45627</v>
      </c>
      <c r="B145">
        <v>134.83000000000001</v>
      </c>
      <c r="C145">
        <v>451.6</v>
      </c>
      <c r="D145">
        <v>179.75</v>
      </c>
      <c r="E145">
        <v>10.98</v>
      </c>
      <c r="F145">
        <v>8.65</v>
      </c>
      <c r="G145">
        <v>8.89</v>
      </c>
      <c r="I145">
        <v>11.89516129032258</v>
      </c>
      <c r="J145">
        <f t="shared" si="10"/>
        <v>0.74736271186440684</v>
      </c>
      <c r="K145">
        <f t="shared" si="11"/>
        <v>11.334861016949153</v>
      </c>
      <c r="L145">
        <f t="shared" si="12"/>
        <v>37.965016949152549</v>
      </c>
      <c r="M145">
        <f t="shared" si="9"/>
        <v>15.111186440677967</v>
      </c>
    </row>
    <row r="146" spans="1:13" x14ac:dyDescent="0.25">
      <c r="A146" s="1">
        <v>45658</v>
      </c>
      <c r="B146">
        <v>135.54</v>
      </c>
      <c r="C146">
        <v>450.74</v>
      </c>
      <c r="D146">
        <v>178.91</v>
      </c>
      <c r="E146">
        <v>11.03</v>
      </c>
      <c r="F146">
        <v>8.67</v>
      </c>
      <c r="G146">
        <v>8.91</v>
      </c>
      <c r="I146">
        <v>12.314516129032258</v>
      </c>
      <c r="J146">
        <f t="shared" si="10"/>
        <v>0.72353634577603143</v>
      </c>
      <c r="K146">
        <f t="shared" si="11"/>
        <v>11.006522593320236</v>
      </c>
      <c r="L146">
        <f t="shared" si="12"/>
        <v>36.602331368696795</v>
      </c>
      <c r="M146">
        <f t="shared" si="9"/>
        <v>14.528382449246889</v>
      </c>
    </row>
    <row r="147" spans="1:13" x14ac:dyDescent="0.25">
      <c r="A147" s="1">
        <v>45689</v>
      </c>
      <c r="B147">
        <v>142.18</v>
      </c>
      <c r="C147">
        <v>455.66</v>
      </c>
      <c r="D147">
        <v>180.5</v>
      </c>
      <c r="E147">
        <v>11.07</v>
      </c>
      <c r="F147">
        <v>8.69</v>
      </c>
      <c r="G147">
        <v>8.94</v>
      </c>
      <c r="I147">
        <v>13.25</v>
      </c>
      <c r="J147">
        <f t="shared" si="10"/>
        <v>0.67471698113207546</v>
      </c>
      <c r="K147">
        <f t="shared" si="11"/>
        <v>10.73056603773585</v>
      </c>
      <c r="L147">
        <f t="shared" si="12"/>
        <v>34.38943396226415</v>
      </c>
      <c r="M147">
        <f t="shared" si="9"/>
        <v>13.622641509433961</v>
      </c>
    </row>
    <row r="148" spans="1:13" x14ac:dyDescent="0.25">
      <c r="A148" s="1">
        <v>45717</v>
      </c>
      <c r="B148">
        <v>132.21</v>
      </c>
      <c r="C148">
        <v>457.48</v>
      </c>
      <c r="D148">
        <v>181.64</v>
      </c>
      <c r="E148">
        <v>11.16</v>
      </c>
      <c r="F148">
        <v>8.7100000000000009</v>
      </c>
      <c r="G148">
        <v>8.9700000000000006</v>
      </c>
      <c r="I148">
        <v>13.637096774193548</v>
      </c>
      <c r="J148">
        <f t="shared" si="10"/>
        <v>0.65776463630987592</v>
      </c>
      <c r="K148">
        <f t="shared" si="11"/>
        <v>9.6948787699586045</v>
      </c>
      <c r="L148">
        <f t="shared" si="12"/>
        <v>33.546729745712597</v>
      </c>
      <c r="M148">
        <f t="shared" si="9"/>
        <v>13.319550561797753</v>
      </c>
    </row>
    <row r="149" spans="1:13" x14ac:dyDescent="0.25">
      <c r="A149" s="1">
        <v>45748</v>
      </c>
      <c r="B149">
        <v>137.36000000000001</v>
      </c>
      <c r="C149">
        <v>456.94</v>
      </c>
      <c r="D149">
        <v>181.86</v>
      </c>
      <c r="E149">
        <v>11.25</v>
      </c>
      <c r="F149">
        <v>8.73</v>
      </c>
      <c r="G149">
        <v>9</v>
      </c>
      <c r="I149">
        <v>14.25</v>
      </c>
      <c r="J149">
        <f t="shared" si="10"/>
        <v>0.63157894736842102</v>
      </c>
      <c r="K149">
        <f t="shared" si="11"/>
        <v>9.6392982456140359</v>
      </c>
      <c r="L149">
        <f t="shared" si="12"/>
        <v>32.065964912280698</v>
      </c>
      <c r="M149">
        <f t="shared" si="9"/>
        <v>12.762105263157896</v>
      </c>
    </row>
    <row r="150" spans="1:13" x14ac:dyDescent="0.25">
      <c r="A150" s="1">
        <v>45778</v>
      </c>
      <c r="B150">
        <v>134.9</v>
      </c>
      <c r="C150">
        <v>459.84</v>
      </c>
      <c r="D150">
        <v>182.36</v>
      </c>
      <c r="E150">
        <v>11.32</v>
      </c>
      <c r="F150">
        <v>8.75</v>
      </c>
      <c r="G150">
        <v>9.0299999999999994</v>
      </c>
      <c r="I150">
        <v>14.637096774193548</v>
      </c>
      <c r="J150">
        <f t="shared" si="10"/>
        <v>0.61692561983471073</v>
      </c>
      <c r="K150">
        <f t="shared" si="11"/>
        <v>9.2163085399449045</v>
      </c>
      <c r="L150">
        <f t="shared" si="12"/>
        <v>31.416066115702478</v>
      </c>
      <c r="M150">
        <f t="shared" si="9"/>
        <v>12.45875482093664</v>
      </c>
    </row>
    <row r="151" spans="1:13" x14ac:dyDescent="0.25">
      <c r="A151" s="1">
        <v>45809</v>
      </c>
      <c r="B151">
        <v>135.74</v>
      </c>
      <c r="C151">
        <v>454.19</v>
      </c>
      <c r="D151">
        <v>182.99</v>
      </c>
      <c r="E151">
        <v>11.41</v>
      </c>
      <c r="F151">
        <v>8.77</v>
      </c>
      <c r="G151">
        <v>9.06</v>
      </c>
      <c r="I151">
        <v>14.85</v>
      </c>
      <c r="J151">
        <f t="shared" si="10"/>
        <v>0.61010101010101014</v>
      </c>
      <c r="K151">
        <f t="shared" si="11"/>
        <v>9.1407407407407408</v>
      </c>
      <c r="L151">
        <f t="shared" si="12"/>
        <v>30.585185185185185</v>
      </c>
      <c r="M151">
        <f t="shared" si="9"/>
        <v>12.322558922558924</v>
      </c>
    </row>
    <row r="152" spans="1:13" x14ac:dyDescent="0.25">
      <c r="A152" s="1">
        <v>45839</v>
      </c>
      <c r="B152">
        <v>138.19</v>
      </c>
      <c r="C152">
        <v>452.67</v>
      </c>
      <c r="D152">
        <v>183.36</v>
      </c>
      <c r="E152">
        <v>11.5</v>
      </c>
      <c r="F152">
        <v>8.7899999999999991</v>
      </c>
      <c r="G152">
        <v>9.09</v>
      </c>
      <c r="I152">
        <v>15</v>
      </c>
      <c r="J152">
        <f t="shared" si="10"/>
        <v>0.60599999999999998</v>
      </c>
      <c r="K152">
        <f t="shared" si="11"/>
        <v>9.2126666666666672</v>
      </c>
      <c r="L152">
        <f t="shared" si="12"/>
        <v>30.178000000000001</v>
      </c>
      <c r="M152">
        <f t="shared" si="9"/>
        <v>12.224</v>
      </c>
    </row>
    <row r="153" spans="1:13" x14ac:dyDescent="0.25">
      <c r="A153" s="1">
        <v>45870</v>
      </c>
      <c r="B153">
        <v>138.19</v>
      </c>
      <c r="C153">
        <v>453.64</v>
      </c>
      <c r="D153">
        <v>183.1</v>
      </c>
      <c r="E153">
        <v>11.66</v>
      </c>
      <c r="F153">
        <v>8.8000000000000007</v>
      </c>
      <c r="G153">
        <v>9.1199999999999992</v>
      </c>
      <c r="I153">
        <v>15</v>
      </c>
      <c r="J153">
        <f t="shared" si="10"/>
        <v>0.60799999999999998</v>
      </c>
      <c r="K153">
        <f t="shared" si="11"/>
        <v>9.2126666666666672</v>
      </c>
      <c r="L153">
        <f t="shared" si="12"/>
        <v>30.242666666666665</v>
      </c>
      <c r="M153">
        <f t="shared" si="9"/>
        <v>12.206666666666667</v>
      </c>
    </row>
    <row r="154" spans="1:13" x14ac:dyDescent="0.25">
      <c r="A154" s="1">
        <v>45901</v>
      </c>
      <c r="B154">
        <v>140.72999999999999</v>
      </c>
      <c r="C154">
        <v>448.06</v>
      </c>
      <c r="D154">
        <v>182.56</v>
      </c>
      <c r="E154">
        <v>11.75</v>
      </c>
      <c r="F154">
        <v>8.82</v>
      </c>
      <c r="G154">
        <v>9.15</v>
      </c>
      <c r="I154">
        <v>15</v>
      </c>
      <c r="J154">
        <f t="shared" si="10"/>
        <v>0.61</v>
      </c>
      <c r="K154">
        <f t="shared" si="11"/>
        <v>9.3819999999999997</v>
      </c>
      <c r="L154">
        <f t="shared" si="12"/>
        <v>29.870666666666668</v>
      </c>
      <c r="M154">
        <f t="shared" si="9"/>
        <v>12.170666666666667</v>
      </c>
    </row>
    <row r="155" spans="1:13" x14ac:dyDescent="0.25">
      <c r="A155" s="1">
        <v>45931</v>
      </c>
      <c r="B155">
        <v>139.11000000000001</v>
      </c>
      <c r="C155">
        <v>447.09</v>
      </c>
      <c r="D155">
        <v>183.11</v>
      </c>
      <c r="E155">
        <v>11.85</v>
      </c>
      <c r="F155">
        <v>8.83</v>
      </c>
      <c r="G155">
        <v>9.18</v>
      </c>
      <c r="I155">
        <v>15</v>
      </c>
      <c r="J155">
        <f t="shared" si="10"/>
        <v>0.61199999999999999</v>
      </c>
      <c r="K155">
        <f t="shared" si="11"/>
        <v>9.2740000000000009</v>
      </c>
      <c r="L155">
        <f t="shared" si="12"/>
        <v>29.805999999999997</v>
      </c>
      <c r="M155">
        <f t="shared" si="9"/>
        <v>12.207333333333334</v>
      </c>
    </row>
    <row r="156" spans="1:13" x14ac:dyDescent="0.25">
      <c r="A156" s="1">
        <v>45962</v>
      </c>
      <c r="B156">
        <v>140.58000000000001</v>
      </c>
      <c r="C156">
        <v>448.37</v>
      </c>
      <c r="D156">
        <v>184.06</v>
      </c>
      <c r="E156">
        <v>11.93</v>
      </c>
      <c r="F156">
        <v>8.85</v>
      </c>
      <c r="G156">
        <v>9.2100000000000009</v>
      </c>
      <c r="I156">
        <v>15</v>
      </c>
      <c r="J156">
        <f t="shared" si="10"/>
        <v>0.6140000000000001</v>
      </c>
      <c r="K156">
        <f t="shared" si="11"/>
        <v>9.3720000000000017</v>
      </c>
      <c r="L156">
        <f t="shared" si="12"/>
        <v>29.891333333333332</v>
      </c>
      <c r="M156">
        <f t="shared" si="9"/>
        <v>12.270666666666667</v>
      </c>
    </row>
    <row r="157" spans="1:13" x14ac:dyDescent="0.25">
      <c r="A157" s="1">
        <v>45992</v>
      </c>
      <c r="B157">
        <v>138.88999999999999</v>
      </c>
      <c r="C157">
        <v>442.41</v>
      </c>
      <c r="D157">
        <v>184.72</v>
      </c>
      <c r="E157">
        <v>11.98</v>
      </c>
      <c r="F157">
        <v>8.8699999999999992</v>
      </c>
      <c r="G157">
        <v>9.24</v>
      </c>
      <c r="I157">
        <v>15</v>
      </c>
      <c r="J157">
        <f t="shared" si="10"/>
        <v>0.61599999999999999</v>
      </c>
      <c r="K157">
        <f t="shared" si="11"/>
        <v>9.2593333333333323</v>
      </c>
      <c r="L157">
        <f t="shared" si="12"/>
        <v>29.494000000000003</v>
      </c>
      <c r="M157">
        <f t="shared" si="9"/>
        <v>12.314666666666666</v>
      </c>
    </row>
    <row r="158" spans="1:13" x14ac:dyDescent="0.25">
      <c r="A158" s="1">
        <v>46023</v>
      </c>
      <c r="B158">
        <v>137.44</v>
      </c>
      <c r="C158">
        <v>429.42</v>
      </c>
      <c r="D158">
        <v>186.01</v>
      </c>
      <c r="E158">
        <v>12.03</v>
      </c>
      <c r="F158">
        <v>8.89</v>
      </c>
      <c r="G158">
        <v>9.26</v>
      </c>
      <c r="I158">
        <v>15</v>
      </c>
      <c r="J158">
        <f t="shared" si="10"/>
        <v>0.61733333333333329</v>
      </c>
      <c r="K158">
        <f t="shared" si="11"/>
        <v>9.1626666666666665</v>
      </c>
      <c r="L158">
        <f t="shared" si="12"/>
        <v>28.628</v>
      </c>
      <c r="M158">
        <f t="shared" si="9"/>
        <v>12.400666666666666</v>
      </c>
    </row>
    <row r="159" spans="1:13" x14ac:dyDescent="0.25">
      <c r="A159" s="1">
        <v>46054</v>
      </c>
      <c r="B159">
        <v>146.30000000000001</v>
      </c>
      <c r="C159">
        <v>442.26</v>
      </c>
      <c r="D159">
        <v>187.11</v>
      </c>
      <c r="E159">
        <v>12.12</v>
      </c>
      <c r="F159">
        <v>8.9</v>
      </c>
      <c r="G159">
        <v>9.2799999999999994</v>
      </c>
      <c r="I159">
        <v>15</v>
      </c>
      <c r="J159">
        <f t="shared" si="10"/>
        <v>0.61866666666666659</v>
      </c>
      <c r="K159">
        <f t="shared" si="11"/>
        <v>9.7533333333333339</v>
      </c>
      <c r="L159">
        <f t="shared" si="12"/>
        <v>29.483999999999998</v>
      </c>
      <c r="M159">
        <f t="shared" si="9"/>
        <v>12.474</v>
      </c>
    </row>
    <row r="160" spans="1:13" x14ac:dyDescent="0.25">
      <c r="A160" s="1">
        <v>46082</v>
      </c>
      <c r="B160">
        <v>138.9</v>
      </c>
      <c r="C160">
        <v>433.06</v>
      </c>
      <c r="D160">
        <v>187.1</v>
      </c>
      <c r="E160">
        <v>12.16</v>
      </c>
      <c r="F160">
        <v>8.94</v>
      </c>
      <c r="G160">
        <v>9.32</v>
      </c>
      <c r="I160">
        <v>14.89516129032258</v>
      </c>
      <c r="J160">
        <f t="shared" si="10"/>
        <v>0.62570655116404983</v>
      </c>
      <c r="K160">
        <f t="shared" si="11"/>
        <v>9.3251759610178677</v>
      </c>
      <c r="L160">
        <f t="shared" si="12"/>
        <v>29.07387114239307</v>
      </c>
      <c r="M160">
        <f t="shared" si="9"/>
        <v>12.561126150514347</v>
      </c>
    </row>
    <row r="161" spans="1:13" x14ac:dyDescent="0.25">
      <c r="A161" s="1">
        <v>46113</v>
      </c>
      <c r="B161">
        <v>140.93</v>
      </c>
      <c r="C161">
        <v>431.97</v>
      </c>
      <c r="D161">
        <v>186.47</v>
      </c>
      <c r="E161">
        <v>12.2</v>
      </c>
      <c r="F161">
        <v>8.9600000000000009</v>
      </c>
      <c r="G161">
        <v>9.34</v>
      </c>
      <c r="I161">
        <v>14.741666666666667</v>
      </c>
      <c r="J161">
        <f t="shared" si="10"/>
        <v>0.63357829282080269</v>
      </c>
      <c r="K161">
        <f t="shared" si="11"/>
        <v>9.5599773883550032</v>
      </c>
      <c r="L161">
        <f t="shared" si="12"/>
        <v>29.302656868287169</v>
      </c>
      <c r="M161">
        <f t="shared" si="9"/>
        <v>12.649180327868851</v>
      </c>
    </row>
    <row r="162" spans="1:13" x14ac:dyDescent="0.25">
      <c r="A162" s="1">
        <v>46143</v>
      </c>
      <c r="B162">
        <v>137.25</v>
      </c>
      <c r="C162">
        <v>440.38</v>
      </c>
      <c r="D162">
        <v>186.34</v>
      </c>
      <c r="E162">
        <v>12.24</v>
      </c>
      <c r="F162">
        <v>8.99</v>
      </c>
      <c r="G162">
        <v>9.3699999999999992</v>
      </c>
      <c r="I162">
        <v>14.5</v>
      </c>
      <c r="J162">
        <f t="shared" si="10"/>
        <v>0.64620689655172403</v>
      </c>
      <c r="K162">
        <f t="shared" si="11"/>
        <v>9.4655172413793096</v>
      </c>
      <c r="L162">
        <f t="shared" si="12"/>
        <v>30.37103448275862</v>
      </c>
      <c r="M162">
        <f t="shared" si="9"/>
        <v>12.851034482758621</v>
      </c>
    </row>
    <row r="163" spans="1:13" x14ac:dyDescent="0.25">
      <c r="A163" s="1">
        <v>46174</v>
      </c>
      <c r="B163">
        <v>139.9</v>
      </c>
      <c r="C163">
        <v>442.44</v>
      </c>
      <c r="D163">
        <v>186.62</v>
      </c>
      <c r="E163">
        <v>12.28</v>
      </c>
      <c r="F163">
        <v>9.0299999999999994</v>
      </c>
      <c r="G163">
        <v>9.41</v>
      </c>
      <c r="I163">
        <v>14.391666666666667</v>
      </c>
      <c r="J163">
        <f t="shared" si="10"/>
        <v>0.65385060799073536</v>
      </c>
      <c r="K163">
        <f t="shared" si="11"/>
        <v>9.7209033005211349</v>
      </c>
      <c r="L163">
        <f t="shared" si="12"/>
        <v>30.742790966994786</v>
      </c>
      <c r="M163">
        <f t="shared" si="9"/>
        <v>12.967226404169079</v>
      </c>
    </row>
    <row r="164" spans="1:13" x14ac:dyDescent="0.25">
      <c r="A164" s="1">
        <v>46204</v>
      </c>
      <c r="B164">
        <v>137.30000000000001</v>
      </c>
      <c r="C164">
        <v>436.15</v>
      </c>
      <c r="D164">
        <v>186.21</v>
      </c>
      <c r="E164">
        <v>12.32</v>
      </c>
      <c r="F164">
        <v>9.06</v>
      </c>
      <c r="G164">
        <v>9.44</v>
      </c>
      <c r="I164">
        <v>14.25</v>
      </c>
      <c r="J164">
        <f t="shared" si="10"/>
        <v>0.66245614035087719</v>
      </c>
      <c r="K164">
        <f t="shared" si="11"/>
        <v>9.6350877192982463</v>
      </c>
      <c r="L164">
        <f t="shared" si="12"/>
        <v>30.607017543859648</v>
      </c>
      <c r="M164">
        <f>D164/I164</f>
        <v>13.067368421052633</v>
      </c>
    </row>
    <row r="166" spans="1:13" x14ac:dyDescent="0.25">
      <c r="B166">
        <f>AVERAGE(B2:B157)</f>
        <v>180.52621794871794</v>
      </c>
      <c r="C166">
        <f t="shared" ref="C166:D166" si="13">AVERAGE(C2:C157)</f>
        <v>367.42673076923074</v>
      </c>
      <c r="D166">
        <f t="shared" si="13"/>
        <v>148.46102564102569</v>
      </c>
      <c r="G166">
        <f t="shared" ref="G166" si="14">AVERAGE(G2:G157)</f>
        <v>8.8332051282051314</v>
      </c>
      <c r="J166">
        <f>AVERAGE(J2:J158)</f>
        <v>1.1812246875549972</v>
      </c>
      <c r="K166">
        <f t="shared" ref="K166:M166" si="15">AVERAGE(K2:K158)</f>
        <v>22.886993580996609</v>
      </c>
      <c r="L166">
        <f t="shared" si="15"/>
        <v>46.527935121908129</v>
      </c>
      <c r="M166">
        <f t="shared" si="15"/>
        <v>20.152111009530799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STP-20260916142656941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2026-09-16T19:35:04Z</dcterms:created>
  <dcterms:modified xsi:type="dcterms:W3CDTF">2026-09-22T21:29:49Z</dcterms:modified>
</cp:coreProperties>
</file>