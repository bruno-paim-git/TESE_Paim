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41" documentId="8_{22A37820-E8A2-4365-BE85-8BFFE46DF8F6}" xr6:coauthVersionLast="47" xr6:coauthVersionMax="47" xr10:uidLastSave="{66A737F4-809A-40BA-B61F-2E6F7EDA0259}"/>
  <bookViews>
    <workbookView xWindow="-20610" yWindow="-120" windowWidth="20730" windowHeight="11040" activeTab="2" xr2:uid="{B60644BF-7CD4-495C-882C-DF8841645553}"/>
  </bookViews>
  <sheets>
    <sheet name="DESPESAS 1.1.1" sheetId="2" r:id="rId1"/>
    <sheet name="RENDIMENTO Tabela2.1.1 " sheetId="3" r:id="rId2"/>
    <sheet name="Planilha1" sheetId="1" r:id="rId3"/>
  </sheets>
  <definedNames>
    <definedName name="CODTERRITORIO">#REF!</definedName>
    <definedName name="DICNOMEBL_BLC_UNIC">#REF!</definedName>
    <definedName name="FILTROBL_BLC_UNIC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ORDEMTERRITORIO">#REF!</definedName>
    <definedName name="TOTORDEMBLC_UNI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H20" i="1"/>
  <c r="I20" i="1"/>
  <c r="B20" i="1"/>
  <c r="F18" i="1"/>
  <c r="G18" i="1"/>
  <c r="H18" i="1"/>
  <c r="I18" i="1"/>
  <c r="B18" i="1"/>
  <c r="C14" i="1"/>
  <c r="C18" i="1" s="1"/>
  <c r="D14" i="1"/>
  <c r="D18" i="1" s="1"/>
  <c r="E14" i="1"/>
  <c r="E18" i="1" s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<sst xmlns="http://schemas.openxmlformats.org/spreadsheetml/2006/main" count="189" uniqueCount="150">
  <si>
    <t xml:space="preserve">Tabela 1.1.1 - Despesas monetária e não monetária média mensal familiar, por classes de rendimento total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</si>
  <si>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variação patrimonial mensal familiar, segundo os tipos de despesa, com indicação do número e </t>
  </si>
  <si>
    <t>tamanho médio das famílias - Brasil - período 2008-2009</t>
  </si>
  <si>
    <t>(continua)</t>
  </si>
  <si>
    <t>Tipos de despesa,
número e tamanho médio
 das famílias</t>
  </si>
  <si>
    <t xml:space="preserve">Despesas monetária e não monetária média mensal familiar (R$)                    </t>
  </si>
  <si>
    <t xml:space="preserve">Total                                                                           </t>
  </si>
  <si>
    <t xml:space="preserve">Classes de rendimento total e variação patrimonial mensal familiar (1)      </t>
  </si>
  <si>
    <t xml:space="preserve">Até 830
(2)                                                                    </t>
  </si>
  <si>
    <t xml:space="preserve">Mais de
830
a
1 245                                                          </t>
  </si>
  <si>
    <t xml:space="preserve">Mais de
1 245
a
2 490                                                          </t>
  </si>
  <si>
    <t xml:space="preserve">Mais de
2 490 
a
4 150                                                       </t>
  </si>
  <si>
    <t xml:space="preserve">Mais de
4 150 
a
6 225                                                       </t>
  </si>
  <si>
    <t xml:space="preserve">Mais de
6 225 
a
10 375                                                       </t>
  </si>
  <si>
    <t xml:space="preserve">Mais de
10 375                                                                  </t>
  </si>
  <si>
    <t>Despesa total</t>
  </si>
  <si>
    <t xml:space="preserve"> Despesas correntes</t>
  </si>
  <si>
    <t xml:space="preserve">  Despesas de consumo</t>
  </si>
  <si>
    <t xml:space="preserve">   Alimentação</t>
  </si>
  <si>
    <t xml:space="preserve">   Habitação</t>
  </si>
  <si>
    <t xml:space="preserve">    Aluguel</t>
  </si>
  <si>
    <t xml:space="preserve">     Aluguel monetário</t>
  </si>
  <si>
    <t xml:space="preserve">     Aluguel não monetário</t>
  </si>
  <si>
    <t xml:space="preserve">    Condomínio</t>
  </si>
  <si>
    <t xml:space="preserve">    Serviços e taxas</t>
  </si>
  <si>
    <t xml:space="preserve">     Energia elétrica</t>
  </si>
  <si>
    <t xml:space="preserve">     Telefone fixo</t>
  </si>
  <si>
    <t xml:space="preserve">     Telefone celular</t>
  </si>
  <si>
    <t xml:space="preserve">     Pacote de telefone, TV e Internet</t>
  </si>
  <si>
    <t xml:space="preserve">     Gás doméstico</t>
  </si>
  <si>
    <t xml:space="preserve">     Água e esgoto</t>
  </si>
  <si>
    <t xml:space="preserve">     Outros</t>
  </si>
  <si>
    <t xml:space="preserve">    Manutenção do lar</t>
  </si>
  <si>
    <t xml:space="preserve">    Artigos de limpeza</t>
  </si>
  <si>
    <t xml:space="preserve">    Mobiliários e artigos do lar</t>
  </si>
  <si>
    <t xml:space="preserve">    Eletrodomésticos</t>
  </si>
  <si>
    <t xml:space="preserve">    Consertos de artigos do lar</t>
  </si>
  <si>
    <t xml:space="preserve">   Vestuário</t>
  </si>
  <si>
    <t xml:space="preserve">    Roupa de homem</t>
  </si>
  <si>
    <t xml:space="preserve">    Roupa de mulher</t>
  </si>
  <si>
    <t xml:space="preserve">    Roupa de criança</t>
  </si>
  <si>
    <t xml:space="preserve">    Calçados e apetrechos</t>
  </si>
  <si>
    <t xml:space="preserve">    Joias e bijuterias</t>
  </si>
  <si>
    <t xml:space="preserve">    Tecidos e armarinhos</t>
  </si>
  <si>
    <t xml:space="preserve">   Transporte</t>
  </si>
  <si>
    <t xml:space="preserve">    Urbano</t>
  </si>
  <si>
    <t xml:space="preserve">    Gasolina - veículo próprio</t>
  </si>
  <si>
    <t xml:space="preserve">    Álcool - veículo próprio</t>
  </si>
  <si>
    <t xml:space="preserve">    Manutenção e acessórios</t>
  </si>
  <si>
    <t xml:space="preserve">    Aquisição de veículos</t>
  </si>
  <si>
    <t xml:space="preserve">    Viagens esporádicas</t>
  </si>
  <si>
    <t xml:space="preserve">    Outras</t>
  </si>
  <si>
    <t xml:space="preserve">   Higiene e cuidados pessoais</t>
  </si>
  <si>
    <t xml:space="preserve">    Perfume</t>
  </si>
  <si>
    <t xml:space="preserve">    Produtos para cabelo</t>
  </si>
  <si>
    <t xml:space="preserve">    Sabonete</t>
  </si>
  <si>
    <t xml:space="preserve">    Instrumentos e produtos de uso pessoal</t>
  </si>
  <si>
    <t xml:space="preserve">   Assistência à saúde</t>
  </si>
  <si>
    <t xml:space="preserve">    Remédios</t>
  </si>
  <si>
    <t xml:space="preserve">    Plano/seguro-saúde</t>
  </si>
  <si>
    <t xml:space="preserve">    Consulta e tratamento dentário  </t>
  </si>
  <si>
    <t xml:space="preserve">    Consulta médica</t>
  </si>
  <si>
    <t xml:space="preserve">    Tratamento médico e ambulatorial</t>
  </si>
  <si>
    <t xml:space="preserve">    Serviços de cirurgia</t>
  </si>
  <si>
    <t xml:space="preserve">    Hospitalização</t>
  </si>
  <si>
    <t xml:space="preserve">    Exames diversos</t>
  </si>
  <si>
    <t xml:space="preserve">    Material de tratamento</t>
  </si>
  <si>
    <r>
      <t>Tabela 1.1.1 - Despesa</t>
    </r>
    <r>
      <rPr>
        <b/>
        <sz val="9"/>
        <rFont val="Univers 45 Light"/>
      </rPr>
      <t>s</t>
    </r>
    <r>
      <rPr>
        <b/>
        <sz val="9"/>
        <rFont val="Univers 45 Light"/>
        <family val="2"/>
      </rPr>
      <t xml:space="preserve"> monetária e não monetária média mensal familiar, por classes de rendimento total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</si>
  <si>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variação patrimonial mensal familiar, segundo os tipos de despesas, com indicação do número e </t>
  </si>
  <si>
    <t>(conclusão)</t>
  </si>
  <si>
    <r>
      <t>Despesa</t>
    </r>
    <r>
      <rPr>
        <sz val="7"/>
        <rFont val="Univers 55"/>
      </rPr>
      <t>s</t>
    </r>
    <r>
      <rPr>
        <sz val="7"/>
        <rFont val="Univers 55"/>
        <family val="2"/>
      </rPr>
      <t xml:space="preserve"> monetária e não monetária média mensal familiar (R$)                    </t>
    </r>
  </si>
  <si>
    <t xml:space="preserve">Classes de rendimento total e variação patrimonial mensal familiar (1)             </t>
  </si>
  <si>
    <t xml:space="preserve">   Educação</t>
  </si>
  <si>
    <t xml:space="preserve">    Cursos regulares</t>
  </si>
  <si>
    <t xml:space="preserve">    Cursos superiores</t>
  </si>
  <si>
    <t xml:space="preserve">    Outros cursos e atividades</t>
  </si>
  <si>
    <t xml:space="preserve">    Livros didáticos e revistas técnicas</t>
  </si>
  <si>
    <t xml:space="preserve">    Artigos escolares</t>
  </si>
  <si>
    <t xml:space="preserve">   Recreação e cultura</t>
  </si>
  <si>
    <t xml:space="preserve">    Brinquedos e jogos</t>
  </si>
  <si>
    <t xml:space="preserve">    Celular e acessórios</t>
  </si>
  <si>
    <t xml:space="preserve">    Periódicos, livros e revistas não didáticos</t>
  </si>
  <si>
    <t xml:space="preserve">    Recreações e esportes</t>
  </si>
  <si>
    <t xml:space="preserve">   Fumo</t>
  </si>
  <si>
    <t xml:space="preserve">   Serviços pessoais</t>
  </si>
  <si>
    <t xml:space="preserve">    Cabeleireiro</t>
  </si>
  <si>
    <t xml:space="preserve">    Manicuro e pedicuro</t>
  </si>
  <si>
    <t xml:space="preserve">    Consertos de artigos pessoais </t>
  </si>
  <si>
    <t xml:space="preserve">   Despesas diversas</t>
  </si>
  <si>
    <t xml:space="preserve">    Jogos e apostas</t>
  </si>
  <si>
    <t xml:space="preserve">    Comunicação</t>
  </si>
  <si>
    <t xml:space="preserve">    Cerimônias e festas</t>
  </si>
  <si>
    <t xml:space="preserve">    Serviços profissionais</t>
  </si>
  <si>
    <t xml:space="preserve">    Imóveis de uso ocasional</t>
  </si>
  <si>
    <t xml:space="preserve">  Outras despesas correntes</t>
  </si>
  <si>
    <t xml:space="preserve">    Impostos</t>
  </si>
  <si>
    <t xml:space="preserve">    Contribuições trabalhistas</t>
  </si>
  <si>
    <t xml:space="preserve">    Serviços bancários</t>
  </si>
  <si>
    <t xml:space="preserve">    Pensões, mesadas e doações</t>
  </si>
  <si>
    <t xml:space="preserve">    Previdência privada</t>
  </si>
  <si>
    <t xml:space="preserve"> Aumento do ativo</t>
  </si>
  <si>
    <t xml:space="preserve">   Imóvel (aquisição)</t>
  </si>
  <si>
    <t xml:space="preserve">   Imóvel (reforma)</t>
  </si>
  <si>
    <t xml:space="preserve">  Outros investimentos</t>
  </si>
  <si>
    <t xml:space="preserve"> Diminuição do passivo</t>
  </si>
  <si>
    <t xml:space="preserve">   Empréstimo</t>
  </si>
  <si>
    <t xml:space="preserve">   Prestação de imóvel</t>
  </si>
  <si>
    <t>Número de famílias</t>
  </si>
  <si>
    <t>Tamanho médio da família (pessoas)</t>
  </si>
  <si>
    <t>Fonte: IBGE, Diretoria de Pesquisas, Coordenação de Trabalho e Rendimento, Pesquisa de Orçamentos Familiares 2008-2009.</t>
  </si>
  <si>
    <r>
      <t xml:space="preserve">Nota: O </t>
    </r>
    <r>
      <rPr>
        <sz val="6.8"/>
        <rFont val="Univers 55"/>
        <family val="2"/>
      </rPr>
      <t xml:space="preserve">termo família está sendo utilizado para indicar a unidade de investigação da pesquisa, unidade de consumo, conforme descrito na Introdução da </t>
    </r>
  </si>
  <si>
    <t>publicação.</t>
  </si>
  <si>
    <t>(1) Inclui os rendimentos monetário e não monetário e a variação patrimonial. (2) inclusive sem rendimento.</t>
  </si>
  <si>
    <t>Tabela 2.1.1 - Rendimento total e variação patrimonial médio mensal familiar, por classes de rendimento</t>
  </si>
  <si>
    <t xml:space="preserve"> total e variação patrimonial mensal familiar, segundo os tipos de origem do rendimento, com indicação</t>
  </si>
  <si>
    <t xml:space="preserve"> do número e tamanho médio das famílias - Brasil - período 2008-2009</t>
  </si>
  <si>
    <t>Origem do rendimento,
número e tamanho médio
das famílias</t>
  </si>
  <si>
    <t>Rendimento total e variação patrimonial médio mensal familiar (R$)</t>
  </si>
  <si>
    <t>Total</t>
  </si>
  <si>
    <t>Classes de rendimento total e variação patrimonial mensal familiar (1)</t>
  </si>
  <si>
    <t>Até 830
(2)</t>
  </si>
  <si>
    <t>Mais de
830
a
1 245</t>
  </si>
  <si>
    <t>Mais de
1 245
a
2 490</t>
  </si>
  <si>
    <t>Mais de
2 490
a
4 150</t>
  </si>
  <si>
    <t>Mais de
4 150
a
6 225</t>
  </si>
  <si>
    <t>Mais de
6 225
a
10 375</t>
  </si>
  <si>
    <t>Mais de
10 375</t>
  </si>
  <si>
    <t>Rendimento total e variação patrimonial</t>
  </si>
  <si>
    <t xml:space="preserve">    Rendimento total </t>
  </si>
  <si>
    <t xml:space="preserve">        Rendimento do trabalho</t>
  </si>
  <si>
    <t xml:space="preserve">           Empregado</t>
  </si>
  <si>
    <t xml:space="preserve">           Empregador</t>
  </si>
  <si>
    <t xml:space="preserve">           Conta própria</t>
  </si>
  <si>
    <t xml:space="preserve">        Transferência</t>
  </si>
  <si>
    <t xml:space="preserve">           Aposentadoria e pensão do INSS</t>
  </si>
  <si>
    <t xml:space="preserve">           Aposentadoria, pensão da previdência pública</t>
  </si>
  <si>
    <t xml:space="preserve">           Aposentadoria, pensão da previdência privada</t>
  </si>
  <si>
    <t xml:space="preserve">           Programas sociais federais</t>
  </si>
  <si>
    <t xml:space="preserve">           Pensão alimentícia, mesada ou doação</t>
  </si>
  <si>
    <t xml:space="preserve">           Outras transferências</t>
  </si>
  <si>
    <t xml:space="preserve">        Rendimento de aluguel </t>
  </si>
  <si>
    <t xml:space="preserve">        Outras rendas</t>
  </si>
  <si>
    <t xml:space="preserve">        Rendimento não monetário</t>
  </si>
  <si>
    <t xml:space="preserve">    Variação patrimonial</t>
  </si>
  <si>
    <t xml:space="preserve"> </t>
  </si>
  <si>
    <r>
      <t xml:space="preserve">Notas: 1. </t>
    </r>
    <r>
      <rPr>
        <sz val="6.8"/>
        <rFont val="Univers 55"/>
        <family val="2"/>
      </rPr>
      <t xml:space="preserve">O termo família está sendo utilizado para indicar a unidade de investigação da pesquisa, unidade de consumo, conforme descrito na Introdução </t>
    </r>
  </si>
  <si>
    <t xml:space="preserve">da publicação. </t>
  </si>
  <si>
    <t xml:space="preserve">            2. Médias obtidas segundo o somatótio do valor correspondente a cada célula em relação número de famílias da coluna considerada.  </t>
  </si>
  <si>
    <t>(1) Inclui os rendimentos monetário e não monetário e a variação patrimonial. (2) Inclusive sem rendimento.</t>
  </si>
  <si>
    <t xml:space="preserve"> Despesas correntes - serviços bancários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</si>
</sst>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0.00;\-###\ ###\ ##0.00;&quot;-&quot;"/>
    <numFmt numFmtId="165" formatCode="###\ ###\ ##0;\-###\ ###\ ##0;&quot;-&quot;"/>
    <numFmt numFmtId="166" formatCode="0.00_ ;\-0.00\ "/>
    <numFmt numFmtId="167" formatCode="##\ ###\ ##0.00;\-##\ ###\ ##0.00;&quot;-&quot;"/>
    <numFmt numFmtId="168" formatCode="##\ ###\ ##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name val="Arial"/>
    </font>
    <font>
      <b/>
      <sz val="9"/>
      <name val="Univers 45 Light"/>
      <family val="2"/>
    </font>
    <font>
      <sz val="6"/>
      <name val="Univers 55"/>
      <family val="2"/>
    </font>
    <font>
      <sz val="7"/>
      <name val="Univers 55"/>
      <family val="2"/>
    </font>
    <font>
      <b/>
      <sz val="9"/>
      <name val="Univers 45 Light"/>
    </font>
    <font>
      <sz val="7"/>
      <name val="Univers 55"/>
    </font>
    <font>
      <b/>
      <sz val="7"/>
      <name val="Univers 45 Light"/>
      <family val="2"/>
    </font>
    <font>
      <sz val="6.8"/>
      <name val="Univers 55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0" fillId="0" borderId="0"/>
    <xf numFmtId="9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2" applyFont="1" applyAlignment="1">
      <alignment horizontal="center" vertical="center" wrapText="1"/>
    </xf>
    <xf numFmtId="0" fontId="4" fillId="0" borderId="0" xfId="2" applyFont="1"/>
    <xf numFmtId="0" fontId="5" fillId="0" borderId="1" xfId="2" applyFont="1" applyBorder="1" applyAlignment="1">
      <alignment horizontal="right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49" fontId="5" fillId="0" borderId="0" xfId="2" applyNumberFormat="1" applyFont="1" applyAlignment="1">
      <alignment horizontal="left"/>
    </xf>
    <xf numFmtId="164" fontId="5" fillId="0" borderId="0" xfId="2" applyNumberFormat="1" applyFont="1"/>
    <xf numFmtId="0" fontId="5" fillId="0" borderId="0" xfId="2" applyFont="1"/>
    <xf numFmtId="49" fontId="8" fillId="0" borderId="0" xfId="2" applyNumberFormat="1" applyFont="1" applyAlignment="1">
      <alignment horizontal="left"/>
    </xf>
    <xf numFmtId="165" fontId="8" fillId="0" borderId="0" xfId="2" applyNumberFormat="1" applyFont="1"/>
    <xf numFmtId="0" fontId="8" fillId="0" borderId="0" xfId="2" applyFont="1"/>
    <xf numFmtId="164" fontId="8" fillId="0" borderId="0" xfId="2" applyNumberFormat="1" applyFont="1"/>
    <xf numFmtId="0" fontId="4" fillId="0" borderId="1" xfId="2" applyFont="1" applyBorder="1"/>
    <xf numFmtId="0" fontId="5" fillId="0" borderId="5" xfId="2" applyFont="1" applyBorder="1"/>
    <xf numFmtId="0" fontId="5" fillId="0" borderId="0" xfId="2" applyFont="1" applyAlignment="1">
      <alignment horizontal="left"/>
    </xf>
    <xf numFmtId="0" fontId="3" fillId="0" borderId="0" xfId="3" applyFont="1" applyAlignment="1">
      <alignment vertical="center"/>
    </xf>
    <xf numFmtId="0" fontId="5" fillId="0" borderId="0" xfId="3" applyFont="1"/>
    <xf numFmtId="0" fontId="5" fillId="0" borderId="3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8" fillId="0" borderId="0" xfId="3" applyFont="1"/>
    <xf numFmtId="164" fontId="8" fillId="0" borderId="0" xfId="3" applyNumberFormat="1" applyFont="1"/>
    <xf numFmtId="49" fontId="8" fillId="0" borderId="0" xfId="3" applyNumberFormat="1" applyFont="1" applyAlignment="1">
      <alignment horizontal="left"/>
    </xf>
    <xf numFmtId="167" fontId="8" fillId="0" borderId="0" xfId="3" applyNumberFormat="1" applyFont="1"/>
    <xf numFmtId="49" fontId="5" fillId="0" borderId="0" xfId="3" applyNumberFormat="1" applyFont="1" applyAlignment="1">
      <alignment horizontal="left"/>
    </xf>
    <xf numFmtId="164" fontId="5" fillId="0" borderId="0" xfId="3" applyNumberFormat="1" applyFont="1"/>
    <xf numFmtId="168" fontId="8" fillId="0" borderId="0" xfId="3" applyNumberFormat="1" applyFont="1"/>
    <xf numFmtId="165" fontId="8" fillId="0" borderId="0" xfId="3" applyNumberFormat="1" applyFont="1"/>
    <xf numFmtId="0" fontId="5" fillId="0" borderId="1" xfId="3" applyFont="1" applyBorder="1"/>
    <xf numFmtId="0" fontId="5" fillId="0" borderId="0" xfId="5" applyFont="1"/>
    <xf numFmtId="0" fontId="10" fillId="0" borderId="0" xfId="3"/>
    <xf numFmtId="166" fontId="0" fillId="0" borderId="0" xfId="0" applyNumberFormat="1"/>
    <xf numFmtId="10" fontId="0" fillId="0" borderId="0" xfId="1" applyNumberFormat="1" applyFont="1"/>
    <xf numFmtId="0" fontId="3" fillId="0" borderId="0" xfId="2" applyFont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/>
    </xf>
  </cellXfs>
  <cellStyles count="6">
    <cellStyle name="Normal" xfId="0" builtinId="0"/>
    <cellStyle name="Normal 2" xfId="2" xr:uid="{C08AFEF0-0EAB-4EA4-B1FB-173F4966FBCA}"/>
    <cellStyle name="Normal 3" xfId="3" xr:uid="{74D04AD7-BD96-44A7-BA21-2893B715879B}"/>
    <cellStyle name="Normal_Tab 2.1.1 a 2.1.6" xfId="5" xr:uid="{D5670E93-39C2-44AB-B79E-E6393F2C48E5}"/>
    <cellStyle name="Porcentagem" xfId="1" builtinId="5"/>
    <cellStyle name="Porcentagem 2" xfId="4" xr:uid="{49D68D0E-99C3-44FC-9F64-8AF9EF38D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A69811FA-F138-4DF7-BEB2-6140F8765A27}"/>
            </a:ext>
          </a:extLst>
        </xdr:cNvPr>
        <xdr:cNvSpPr txBox="1">
          <a:spLocks noChangeArrowheads="1"/>
        </xdr:cNvSpPr>
      </xdr:nvSpPr>
      <xdr:spPr bwMode="auto">
        <a:xfrm>
          <a:off x="7191375" y="109061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2E82-E598-477D-8C05-E5EE2DA3392D}">
  <dimension ref="A1:I114"/>
  <sheetViews>
    <sheetView showGridLines="0" zoomScaleNormal="100" workbookViewId="0">
      <selection activeCell="A94" sqref="A94:XFD100"/>
    </sheetView>
  </sheetViews>
  <sheetFormatPr defaultColWidth="6.7109375" defaultRowHeight="8.25"/>
  <cols>
    <col min="1" max="1" width="31.28515625" style="2" customWidth="1"/>
    <col min="2" max="9" width="9.5703125" style="2" customWidth="1"/>
    <col min="10" max="256" width="6.7109375" style="2"/>
    <col min="257" max="257" width="31.28515625" style="2" customWidth="1"/>
    <col min="258" max="265" width="9.5703125" style="2" customWidth="1"/>
    <col min="266" max="512" width="6.7109375" style="2"/>
    <col min="513" max="513" width="31.28515625" style="2" customWidth="1"/>
    <col min="514" max="521" width="9.5703125" style="2" customWidth="1"/>
    <col min="522" max="768" width="6.7109375" style="2"/>
    <col min="769" max="769" width="31.28515625" style="2" customWidth="1"/>
    <col min="770" max="777" width="9.5703125" style="2" customWidth="1"/>
    <col min="778" max="1024" width="6.7109375" style="2"/>
    <col min="1025" max="1025" width="31.28515625" style="2" customWidth="1"/>
    <col min="1026" max="1033" width="9.5703125" style="2" customWidth="1"/>
    <col min="1034" max="1280" width="6.7109375" style="2"/>
    <col min="1281" max="1281" width="31.28515625" style="2" customWidth="1"/>
    <col min="1282" max="1289" width="9.5703125" style="2" customWidth="1"/>
    <col min="1290" max="1536" width="6.7109375" style="2"/>
    <col min="1537" max="1537" width="31.28515625" style="2" customWidth="1"/>
    <col min="1538" max="1545" width="9.5703125" style="2" customWidth="1"/>
    <col min="1546" max="1792" width="6.7109375" style="2"/>
    <col min="1793" max="1793" width="31.28515625" style="2" customWidth="1"/>
    <col min="1794" max="1801" width="9.5703125" style="2" customWidth="1"/>
    <col min="1802" max="2048" width="6.7109375" style="2"/>
    <col min="2049" max="2049" width="31.28515625" style="2" customWidth="1"/>
    <col min="2050" max="2057" width="9.5703125" style="2" customWidth="1"/>
    <col min="2058" max="2304" width="6.7109375" style="2"/>
    <col min="2305" max="2305" width="31.28515625" style="2" customWidth="1"/>
    <col min="2306" max="2313" width="9.5703125" style="2" customWidth="1"/>
    <col min="2314" max="2560" width="6.7109375" style="2"/>
    <col min="2561" max="2561" width="31.28515625" style="2" customWidth="1"/>
    <col min="2562" max="2569" width="9.5703125" style="2" customWidth="1"/>
    <col min="2570" max="2816" width="6.7109375" style="2"/>
    <col min="2817" max="2817" width="31.28515625" style="2" customWidth="1"/>
    <col min="2818" max="2825" width="9.5703125" style="2" customWidth="1"/>
    <col min="2826" max="3072" width="6.7109375" style="2"/>
    <col min="3073" max="3073" width="31.28515625" style="2" customWidth="1"/>
    <col min="3074" max="3081" width="9.5703125" style="2" customWidth="1"/>
    <col min="3082" max="3328" width="6.7109375" style="2"/>
    <col min="3329" max="3329" width="31.28515625" style="2" customWidth="1"/>
    <col min="3330" max="3337" width="9.5703125" style="2" customWidth="1"/>
    <col min="3338" max="3584" width="6.7109375" style="2"/>
    <col min="3585" max="3585" width="31.28515625" style="2" customWidth="1"/>
    <col min="3586" max="3593" width="9.5703125" style="2" customWidth="1"/>
    <col min="3594" max="3840" width="6.7109375" style="2"/>
    <col min="3841" max="3841" width="31.28515625" style="2" customWidth="1"/>
    <col min="3842" max="3849" width="9.5703125" style="2" customWidth="1"/>
    <col min="3850" max="4096" width="6.7109375" style="2"/>
    <col min="4097" max="4097" width="31.28515625" style="2" customWidth="1"/>
    <col min="4098" max="4105" width="9.5703125" style="2" customWidth="1"/>
    <col min="4106" max="4352" width="6.7109375" style="2"/>
    <col min="4353" max="4353" width="31.28515625" style="2" customWidth="1"/>
    <col min="4354" max="4361" width="9.5703125" style="2" customWidth="1"/>
    <col min="4362" max="4608" width="6.7109375" style="2"/>
    <col min="4609" max="4609" width="31.28515625" style="2" customWidth="1"/>
    <col min="4610" max="4617" width="9.5703125" style="2" customWidth="1"/>
    <col min="4618" max="4864" width="6.7109375" style="2"/>
    <col min="4865" max="4865" width="31.28515625" style="2" customWidth="1"/>
    <col min="4866" max="4873" width="9.5703125" style="2" customWidth="1"/>
    <col min="4874" max="5120" width="6.7109375" style="2"/>
    <col min="5121" max="5121" width="31.28515625" style="2" customWidth="1"/>
    <col min="5122" max="5129" width="9.5703125" style="2" customWidth="1"/>
    <col min="5130" max="5376" width="6.7109375" style="2"/>
    <col min="5377" max="5377" width="31.28515625" style="2" customWidth="1"/>
    <col min="5378" max="5385" width="9.5703125" style="2" customWidth="1"/>
    <col min="5386" max="5632" width="6.7109375" style="2"/>
    <col min="5633" max="5633" width="31.28515625" style="2" customWidth="1"/>
    <col min="5634" max="5641" width="9.5703125" style="2" customWidth="1"/>
    <col min="5642" max="5888" width="6.7109375" style="2"/>
    <col min="5889" max="5889" width="31.28515625" style="2" customWidth="1"/>
    <col min="5890" max="5897" width="9.5703125" style="2" customWidth="1"/>
    <col min="5898" max="6144" width="6.7109375" style="2"/>
    <col min="6145" max="6145" width="31.28515625" style="2" customWidth="1"/>
    <col min="6146" max="6153" width="9.5703125" style="2" customWidth="1"/>
    <col min="6154" max="6400" width="6.7109375" style="2"/>
    <col min="6401" max="6401" width="31.28515625" style="2" customWidth="1"/>
    <col min="6402" max="6409" width="9.5703125" style="2" customWidth="1"/>
    <col min="6410" max="6656" width="6.7109375" style="2"/>
    <col min="6657" max="6657" width="31.28515625" style="2" customWidth="1"/>
    <col min="6658" max="6665" width="9.5703125" style="2" customWidth="1"/>
    <col min="6666" max="6912" width="6.7109375" style="2"/>
    <col min="6913" max="6913" width="31.28515625" style="2" customWidth="1"/>
    <col min="6914" max="6921" width="9.5703125" style="2" customWidth="1"/>
    <col min="6922" max="7168" width="6.7109375" style="2"/>
    <col min="7169" max="7169" width="31.28515625" style="2" customWidth="1"/>
    <col min="7170" max="7177" width="9.5703125" style="2" customWidth="1"/>
    <col min="7178" max="7424" width="6.7109375" style="2"/>
    <col min="7425" max="7425" width="31.28515625" style="2" customWidth="1"/>
    <col min="7426" max="7433" width="9.5703125" style="2" customWidth="1"/>
    <col min="7434" max="7680" width="6.7109375" style="2"/>
    <col min="7681" max="7681" width="31.28515625" style="2" customWidth="1"/>
    <col min="7682" max="7689" width="9.5703125" style="2" customWidth="1"/>
    <col min="7690" max="7936" width="6.7109375" style="2"/>
    <col min="7937" max="7937" width="31.28515625" style="2" customWidth="1"/>
    <col min="7938" max="7945" width="9.5703125" style="2" customWidth="1"/>
    <col min="7946" max="8192" width="6.7109375" style="2"/>
    <col min="8193" max="8193" width="31.28515625" style="2" customWidth="1"/>
    <col min="8194" max="8201" width="9.5703125" style="2" customWidth="1"/>
    <col min="8202" max="8448" width="6.7109375" style="2"/>
    <col min="8449" max="8449" width="31.28515625" style="2" customWidth="1"/>
    <col min="8450" max="8457" width="9.5703125" style="2" customWidth="1"/>
    <col min="8458" max="8704" width="6.7109375" style="2"/>
    <col min="8705" max="8705" width="31.28515625" style="2" customWidth="1"/>
    <col min="8706" max="8713" width="9.5703125" style="2" customWidth="1"/>
    <col min="8714" max="8960" width="6.7109375" style="2"/>
    <col min="8961" max="8961" width="31.28515625" style="2" customWidth="1"/>
    <col min="8962" max="8969" width="9.5703125" style="2" customWidth="1"/>
    <col min="8970" max="9216" width="6.7109375" style="2"/>
    <col min="9217" max="9217" width="31.28515625" style="2" customWidth="1"/>
    <col min="9218" max="9225" width="9.5703125" style="2" customWidth="1"/>
    <col min="9226" max="9472" width="6.7109375" style="2"/>
    <col min="9473" max="9473" width="31.28515625" style="2" customWidth="1"/>
    <col min="9474" max="9481" width="9.5703125" style="2" customWidth="1"/>
    <col min="9482" max="9728" width="6.7109375" style="2"/>
    <col min="9729" max="9729" width="31.28515625" style="2" customWidth="1"/>
    <col min="9730" max="9737" width="9.5703125" style="2" customWidth="1"/>
    <col min="9738" max="9984" width="6.7109375" style="2"/>
    <col min="9985" max="9985" width="31.28515625" style="2" customWidth="1"/>
    <col min="9986" max="9993" width="9.5703125" style="2" customWidth="1"/>
    <col min="9994" max="10240" width="6.7109375" style="2"/>
    <col min="10241" max="10241" width="31.28515625" style="2" customWidth="1"/>
    <col min="10242" max="10249" width="9.5703125" style="2" customWidth="1"/>
    <col min="10250" max="10496" width="6.7109375" style="2"/>
    <col min="10497" max="10497" width="31.28515625" style="2" customWidth="1"/>
    <col min="10498" max="10505" width="9.5703125" style="2" customWidth="1"/>
    <col min="10506" max="10752" width="6.7109375" style="2"/>
    <col min="10753" max="10753" width="31.28515625" style="2" customWidth="1"/>
    <col min="10754" max="10761" width="9.5703125" style="2" customWidth="1"/>
    <col min="10762" max="11008" width="6.7109375" style="2"/>
    <col min="11009" max="11009" width="31.28515625" style="2" customWidth="1"/>
    <col min="11010" max="11017" width="9.5703125" style="2" customWidth="1"/>
    <col min="11018" max="11264" width="6.7109375" style="2"/>
    <col min="11265" max="11265" width="31.28515625" style="2" customWidth="1"/>
    <col min="11266" max="11273" width="9.5703125" style="2" customWidth="1"/>
    <col min="11274" max="11520" width="6.7109375" style="2"/>
    <col min="11521" max="11521" width="31.28515625" style="2" customWidth="1"/>
    <col min="11522" max="11529" width="9.5703125" style="2" customWidth="1"/>
    <col min="11530" max="11776" width="6.7109375" style="2"/>
    <col min="11777" max="11777" width="31.28515625" style="2" customWidth="1"/>
    <col min="11778" max="11785" width="9.5703125" style="2" customWidth="1"/>
    <col min="11786" max="12032" width="6.7109375" style="2"/>
    <col min="12033" max="12033" width="31.28515625" style="2" customWidth="1"/>
    <col min="12034" max="12041" width="9.5703125" style="2" customWidth="1"/>
    <col min="12042" max="12288" width="6.7109375" style="2"/>
    <col min="12289" max="12289" width="31.28515625" style="2" customWidth="1"/>
    <col min="12290" max="12297" width="9.5703125" style="2" customWidth="1"/>
    <col min="12298" max="12544" width="6.7109375" style="2"/>
    <col min="12545" max="12545" width="31.28515625" style="2" customWidth="1"/>
    <col min="12546" max="12553" width="9.5703125" style="2" customWidth="1"/>
    <col min="12554" max="12800" width="6.7109375" style="2"/>
    <col min="12801" max="12801" width="31.28515625" style="2" customWidth="1"/>
    <col min="12802" max="12809" width="9.5703125" style="2" customWidth="1"/>
    <col min="12810" max="13056" width="6.7109375" style="2"/>
    <col min="13057" max="13057" width="31.28515625" style="2" customWidth="1"/>
    <col min="13058" max="13065" width="9.5703125" style="2" customWidth="1"/>
    <col min="13066" max="13312" width="6.7109375" style="2"/>
    <col min="13313" max="13313" width="31.28515625" style="2" customWidth="1"/>
    <col min="13314" max="13321" width="9.5703125" style="2" customWidth="1"/>
    <col min="13322" max="13568" width="6.7109375" style="2"/>
    <col min="13569" max="13569" width="31.28515625" style="2" customWidth="1"/>
    <col min="13570" max="13577" width="9.5703125" style="2" customWidth="1"/>
    <col min="13578" max="13824" width="6.7109375" style="2"/>
    <col min="13825" max="13825" width="31.28515625" style="2" customWidth="1"/>
    <col min="13826" max="13833" width="9.5703125" style="2" customWidth="1"/>
    <col min="13834" max="14080" width="6.7109375" style="2"/>
    <col min="14081" max="14081" width="31.28515625" style="2" customWidth="1"/>
    <col min="14082" max="14089" width="9.5703125" style="2" customWidth="1"/>
    <col min="14090" max="14336" width="6.7109375" style="2"/>
    <col min="14337" max="14337" width="31.28515625" style="2" customWidth="1"/>
    <col min="14338" max="14345" width="9.5703125" style="2" customWidth="1"/>
    <col min="14346" max="14592" width="6.7109375" style="2"/>
    <col min="14593" max="14593" width="31.28515625" style="2" customWidth="1"/>
    <col min="14594" max="14601" width="9.5703125" style="2" customWidth="1"/>
    <col min="14602" max="14848" width="6.7109375" style="2"/>
    <col min="14849" max="14849" width="31.28515625" style="2" customWidth="1"/>
    <col min="14850" max="14857" width="9.5703125" style="2" customWidth="1"/>
    <col min="14858" max="15104" width="6.7109375" style="2"/>
    <col min="15105" max="15105" width="31.28515625" style="2" customWidth="1"/>
    <col min="15106" max="15113" width="9.5703125" style="2" customWidth="1"/>
    <col min="15114" max="15360" width="6.7109375" style="2"/>
    <col min="15361" max="15361" width="31.28515625" style="2" customWidth="1"/>
    <col min="15362" max="15369" width="9.5703125" style="2" customWidth="1"/>
    <col min="15370" max="15616" width="6.7109375" style="2"/>
    <col min="15617" max="15617" width="31.28515625" style="2" customWidth="1"/>
    <col min="15618" max="15625" width="9.5703125" style="2" customWidth="1"/>
    <col min="15626" max="15872" width="6.7109375" style="2"/>
    <col min="15873" max="15873" width="31.28515625" style="2" customWidth="1"/>
    <col min="15874" max="15881" width="9.5703125" style="2" customWidth="1"/>
    <col min="15882" max="16128" width="6.7109375" style="2"/>
    <col min="16129" max="16129" width="31.28515625" style="2" customWidth="1"/>
    <col min="16130" max="16137" width="9.5703125" style="2" customWidth="1"/>
    <col min="16138" max="16384" width="6.7109375" style="2"/>
  </cols>
  <sheetData>
    <row r="1" spans="1:9" ht="10.9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0.9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10.9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</row>
    <row r="4" spans="1:9" ht="10.9" customHeight="1">
      <c r="A4" s="1"/>
      <c r="B4" s="1"/>
      <c r="C4" s="1"/>
      <c r="D4" s="1"/>
      <c r="E4" s="1"/>
      <c r="F4" s="1"/>
      <c r="G4" s="1"/>
      <c r="I4" s="3" t="s">
        <v>3</v>
      </c>
    </row>
    <row r="5" spans="1:9" ht="15" customHeight="1">
      <c r="A5" s="35" t="s">
        <v>4</v>
      </c>
      <c r="B5" s="36" t="s">
        <v>5</v>
      </c>
      <c r="C5" s="36"/>
      <c r="D5" s="36"/>
      <c r="E5" s="36"/>
      <c r="F5" s="36"/>
      <c r="G5" s="36"/>
      <c r="H5" s="36"/>
      <c r="I5" s="37"/>
    </row>
    <row r="6" spans="1:9" ht="15" customHeight="1">
      <c r="A6" s="35"/>
      <c r="B6" s="36" t="s">
        <v>6</v>
      </c>
      <c r="C6" s="36" t="s">
        <v>7</v>
      </c>
      <c r="D6" s="36"/>
      <c r="E6" s="36"/>
      <c r="F6" s="36"/>
      <c r="G6" s="36"/>
      <c r="H6" s="36"/>
      <c r="I6" s="37"/>
    </row>
    <row r="7" spans="1:9" ht="45" customHeight="1">
      <c r="A7" s="35"/>
      <c r="B7" s="36"/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5" t="s">
        <v>14</v>
      </c>
    </row>
    <row r="8" spans="1:9" s="8" customFormat="1" ht="15" customHeight="1">
      <c r="A8" s="6" t="s">
        <v>15</v>
      </c>
      <c r="B8" s="7">
        <v>2626.31</v>
      </c>
      <c r="C8" s="7">
        <v>744.98</v>
      </c>
      <c r="D8" s="7">
        <v>1124.99</v>
      </c>
      <c r="E8" s="7">
        <v>1810.69</v>
      </c>
      <c r="F8" s="7">
        <v>3133</v>
      </c>
      <c r="G8" s="7">
        <v>4778.0600000000004</v>
      </c>
      <c r="H8" s="7">
        <v>7196.08</v>
      </c>
      <c r="I8" s="7">
        <v>14098.4</v>
      </c>
    </row>
    <row r="9" spans="1:9" s="8" customFormat="1" ht="10.35" customHeight="1">
      <c r="A9" s="6" t="s">
        <v>16</v>
      </c>
      <c r="B9" s="7">
        <v>2419.77</v>
      </c>
      <c r="C9" s="7">
        <v>722.2</v>
      </c>
      <c r="D9" s="7">
        <v>1084.3399999999999</v>
      </c>
      <c r="E9" s="7">
        <v>1721.04</v>
      </c>
      <c r="F9" s="7">
        <v>2909.57</v>
      </c>
      <c r="G9" s="7">
        <v>4299.38</v>
      </c>
      <c r="H9" s="7">
        <v>6623.38</v>
      </c>
      <c r="I9" s="7">
        <v>12274.04</v>
      </c>
    </row>
    <row r="10" spans="1:9" s="8" customFormat="1" ht="10.35" customHeight="1">
      <c r="A10" s="6" t="s">
        <v>17</v>
      </c>
      <c r="B10" s="7">
        <v>2134.77</v>
      </c>
      <c r="C10" s="7">
        <v>699.24</v>
      </c>
      <c r="D10" s="7">
        <v>1035.23</v>
      </c>
      <c r="E10" s="7">
        <v>1605.79</v>
      </c>
      <c r="F10" s="7">
        <v>2638.02</v>
      </c>
      <c r="G10" s="7">
        <v>3783.68</v>
      </c>
      <c r="H10" s="7">
        <v>5626.3</v>
      </c>
      <c r="I10" s="7">
        <v>9469.57</v>
      </c>
    </row>
    <row r="11" spans="1:9" s="8" customFormat="1" ht="10.15" customHeight="1">
      <c r="A11" s="6" t="s">
        <v>18</v>
      </c>
      <c r="B11" s="7">
        <v>421.72</v>
      </c>
      <c r="C11" s="7">
        <v>207.15</v>
      </c>
      <c r="D11" s="7">
        <v>279.02</v>
      </c>
      <c r="E11" s="7">
        <v>378.83</v>
      </c>
      <c r="F11" s="7">
        <v>522.66</v>
      </c>
      <c r="G11" s="7">
        <v>655.45</v>
      </c>
      <c r="H11" s="7">
        <v>842.79</v>
      </c>
      <c r="I11" s="7">
        <v>1198.1400000000001</v>
      </c>
    </row>
    <row r="12" spans="1:9" s="8" customFormat="1" ht="10.15" customHeight="1">
      <c r="A12" s="6" t="s">
        <v>19</v>
      </c>
      <c r="B12" s="7">
        <v>765.89</v>
      </c>
      <c r="C12" s="7">
        <v>277.45999999999998</v>
      </c>
      <c r="D12" s="7">
        <v>410.65</v>
      </c>
      <c r="E12" s="7">
        <v>602.72</v>
      </c>
      <c r="F12" s="7">
        <v>946.16</v>
      </c>
      <c r="G12" s="7">
        <v>1319.03</v>
      </c>
      <c r="H12" s="7">
        <v>1809.14</v>
      </c>
      <c r="I12" s="7">
        <v>3221.08</v>
      </c>
    </row>
    <row r="13" spans="1:9" s="8" customFormat="1" ht="10.15" customHeight="1">
      <c r="A13" s="6" t="s">
        <v>20</v>
      </c>
      <c r="B13" s="7">
        <v>334.89</v>
      </c>
      <c r="C13" s="7">
        <v>130.6</v>
      </c>
      <c r="D13" s="7">
        <v>198.48</v>
      </c>
      <c r="E13" s="7">
        <v>282.54000000000002</v>
      </c>
      <c r="F13" s="7">
        <v>419.97</v>
      </c>
      <c r="G13" s="7">
        <v>551.64</v>
      </c>
      <c r="H13" s="7">
        <v>718.06</v>
      </c>
      <c r="I13" s="7">
        <v>1244.77</v>
      </c>
    </row>
    <row r="14" spans="1:9" s="8" customFormat="1" ht="10.15" customHeight="1">
      <c r="A14" s="6" t="s">
        <v>21</v>
      </c>
      <c r="B14" s="7">
        <v>47.48</v>
      </c>
      <c r="C14" s="7">
        <v>24.72</v>
      </c>
      <c r="D14" s="7">
        <v>32.82</v>
      </c>
      <c r="E14" s="7">
        <v>39.450000000000003</v>
      </c>
      <c r="F14" s="7">
        <v>56.42</v>
      </c>
      <c r="G14" s="7">
        <v>77.77</v>
      </c>
      <c r="H14" s="7">
        <v>100.16</v>
      </c>
      <c r="I14" s="7">
        <v>140.13999999999999</v>
      </c>
    </row>
    <row r="15" spans="1:9" s="8" customFormat="1" ht="10.15" customHeight="1">
      <c r="A15" s="6" t="s">
        <v>22</v>
      </c>
      <c r="B15" s="7">
        <v>287.41000000000003</v>
      </c>
      <c r="C15" s="7">
        <v>105.87</v>
      </c>
      <c r="D15" s="7">
        <v>165.66</v>
      </c>
      <c r="E15" s="7">
        <v>243.09</v>
      </c>
      <c r="F15" s="7">
        <v>363.55</v>
      </c>
      <c r="G15" s="7">
        <v>473.86</v>
      </c>
      <c r="H15" s="7">
        <v>617.89</v>
      </c>
      <c r="I15" s="7">
        <v>1104.6199999999999</v>
      </c>
    </row>
    <row r="16" spans="1:9" s="8" customFormat="1" ht="10.15" customHeight="1">
      <c r="A16" s="6" t="s">
        <v>23</v>
      </c>
      <c r="B16" s="7">
        <v>22.22</v>
      </c>
      <c r="C16" s="7">
        <v>1.46</v>
      </c>
      <c r="D16" s="7">
        <v>2.65</v>
      </c>
      <c r="E16" s="7">
        <v>5.28</v>
      </c>
      <c r="F16" s="7">
        <v>23.3</v>
      </c>
      <c r="G16" s="7">
        <v>48.48</v>
      </c>
      <c r="H16" s="7">
        <v>91.89</v>
      </c>
      <c r="I16" s="7">
        <v>210.82</v>
      </c>
    </row>
    <row r="17" spans="1:9" s="8" customFormat="1" ht="10.15" customHeight="1">
      <c r="A17" s="6" t="s">
        <v>24</v>
      </c>
      <c r="B17" s="7">
        <v>183.9</v>
      </c>
      <c r="C17" s="7">
        <v>66.19</v>
      </c>
      <c r="D17" s="7">
        <v>101.96</v>
      </c>
      <c r="E17" s="7">
        <v>156.19999999999999</v>
      </c>
      <c r="F17" s="7">
        <v>236.98</v>
      </c>
      <c r="G17" s="7">
        <v>323.8</v>
      </c>
      <c r="H17" s="7">
        <v>422.24</v>
      </c>
      <c r="I17" s="7">
        <v>635.82000000000005</v>
      </c>
    </row>
    <row r="18" spans="1:9" s="8" customFormat="1" ht="10.15" customHeight="1">
      <c r="A18" s="6" t="s">
        <v>25</v>
      </c>
      <c r="B18" s="7">
        <v>60.27</v>
      </c>
      <c r="C18" s="7">
        <v>26.21</v>
      </c>
      <c r="D18" s="7">
        <v>38.57</v>
      </c>
      <c r="E18" s="7">
        <v>56.1</v>
      </c>
      <c r="F18" s="7">
        <v>77.09</v>
      </c>
      <c r="G18" s="7">
        <v>98.44</v>
      </c>
      <c r="H18" s="7">
        <v>115.63</v>
      </c>
      <c r="I18" s="7">
        <v>169.18</v>
      </c>
    </row>
    <row r="19" spans="1:9" s="8" customFormat="1" ht="10.15" customHeight="1">
      <c r="A19" s="6" t="s">
        <v>26</v>
      </c>
      <c r="B19" s="7">
        <v>27.18</v>
      </c>
      <c r="C19" s="7">
        <v>4.91</v>
      </c>
      <c r="D19" s="7">
        <v>14.03</v>
      </c>
      <c r="E19" s="7">
        <v>26.32</v>
      </c>
      <c r="F19" s="7">
        <v>42.9</v>
      </c>
      <c r="G19" s="7">
        <v>51.24</v>
      </c>
      <c r="H19" s="7">
        <v>58.11</v>
      </c>
      <c r="I19" s="7">
        <v>69.02</v>
      </c>
    </row>
    <row r="20" spans="1:9" s="8" customFormat="1" ht="10.15" customHeight="1">
      <c r="A20" s="6" t="s">
        <v>27</v>
      </c>
      <c r="B20" s="7">
        <v>26.19</v>
      </c>
      <c r="C20" s="7">
        <v>5.84</v>
      </c>
      <c r="D20" s="7">
        <v>10.199999999999999</v>
      </c>
      <c r="E20" s="7">
        <v>18.12</v>
      </c>
      <c r="F20" s="7">
        <v>32.6</v>
      </c>
      <c r="G20" s="7">
        <v>51.1</v>
      </c>
      <c r="H20" s="7">
        <v>77.8</v>
      </c>
      <c r="I20" s="7">
        <v>133.47</v>
      </c>
    </row>
    <row r="21" spans="1:9" s="8" customFormat="1" ht="10.15" customHeight="1">
      <c r="A21" s="6" t="s">
        <v>28</v>
      </c>
      <c r="B21" s="7">
        <v>15.05</v>
      </c>
      <c r="C21" s="7">
        <v>0.82</v>
      </c>
      <c r="D21" s="7">
        <v>1.71</v>
      </c>
      <c r="E21" s="7">
        <v>6.7</v>
      </c>
      <c r="F21" s="7">
        <v>20.39</v>
      </c>
      <c r="G21" s="7">
        <v>42.07</v>
      </c>
      <c r="H21" s="7">
        <v>53.75</v>
      </c>
      <c r="I21" s="7">
        <v>95.62</v>
      </c>
    </row>
    <row r="22" spans="1:9" s="8" customFormat="1" ht="10.15" customHeight="1">
      <c r="A22" s="6" t="s">
        <v>29</v>
      </c>
      <c r="B22" s="7">
        <v>20.63</v>
      </c>
      <c r="C22" s="7">
        <v>15.77</v>
      </c>
      <c r="D22" s="7">
        <v>19.37</v>
      </c>
      <c r="E22" s="7">
        <v>21.22</v>
      </c>
      <c r="F22" s="7">
        <v>22.24</v>
      </c>
      <c r="G22" s="7">
        <v>22.41</v>
      </c>
      <c r="H22" s="7">
        <v>27.06</v>
      </c>
      <c r="I22" s="7">
        <v>30.88</v>
      </c>
    </row>
    <row r="23" spans="1:9" s="8" customFormat="1" ht="10.15" customHeight="1">
      <c r="A23" s="6" t="s">
        <v>30</v>
      </c>
      <c r="B23" s="7">
        <v>23.08</v>
      </c>
      <c r="C23" s="7">
        <v>11.71</v>
      </c>
      <c r="D23" s="7">
        <v>16.59</v>
      </c>
      <c r="E23" s="7">
        <v>23.38</v>
      </c>
      <c r="F23" s="7">
        <v>29.49</v>
      </c>
      <c r="G23" s="7">
        <v>32.9</v>
      </c>
      <c r="H23" s="7">
        <v>36.78</v>
      </c>
      <c r="I23" s="7">
        <v>51.69</v>
      </c>
    </row>
    <row r="24" spans="1:9" s="8" customFormat="1" ht="10.15" customHeight="1">
      <c r="A24" s="6" t="s">
        <v>31</v>
      </c>
      <c r="B24" s="7">
        <v>11.52</v>
      </c>
      <c r="C24" s="7">
        <v>0.94</v>
      </c>
      <c r="D24" s="7">
        <v>1.49</v>
      </c>
      <c r="E24" s="7">
        <v>4.37</v>
      </c>
      <c r="F24" s="7">
        <v>12.28</v>
      </c>
      <c r="G24" s="7">
        <v>25.66</v>
      </c>
      <c r="H24" s="7">
        <v>53.11</v>
      </c>
      <c r="I24" s="7">
        <v>85.97</v>
      </c>
    </row>
    <row r="25" spans="1:9" s="8" customFormat="1" ht="10.15" customHeight="1">
      <c r="A25" s="6" t="s">
        <v>32</v>
      </c>
      <c r="B25" s="7">
        <v>102.51</v>
      </c>
      <c r="C25" s="7">
        <v>26.43</v>
      </c>
      <c r="D25" s="7">
        <v>35.979999999999997</v>
      </c>
      <c r="E25" s="7">
        <v>56.18</v>
      </c>
      <c r="F25" s="7">
        <v>114.25</v>
      </c>
      <c r="G25" s="7">
        <v>203.21</v>
      </c>
      <c r="H25" s="7">
        <v>303.95</v>
      </c>
      <c r="I25" s="7">
        <v>682.52</v>
      </c>
    </row>
    <row r="26" spans="1:9" s="8" customFormat="1" ht="10.15" customHeight="1">
      <c r="A26" s="6" t="s">
        <v>33</v>
      </c>
      <c r="B26" s="7">
        <v>15</v>
      </c>
      <c r="C26" s="7">
        <v>8.1999999999999993</v>
      </c>
      <c r="D26" s="7">
        <v>10.59</v>
      </c>
      <c r="E26" s="7">
        <v>13.94</v>
      </c>
      <c r="F26" s="7">
        <v>17.41</v>
      </c>
      <c r="G26" s="7">
        <v>20.65</v>
      </c>
      <c r="H26" s="7">
        <v>30.37</v>
      </c>
      <c r="I26" s="7">
        <v>40.51</v>
      </c>
    </row>
    <row r="27" spans="1:9" s="8" customFormat="1" ht="10.15" customHeight="1">
      <c r="A27" s="6" t="s">
        <v>34</v>
      </c>
      <c r="B27" s="7">
        <v>46.46</v>
      </c>
      <c r="C27" s="7">
        <v>18.329999999999998</v>
      </c>
      <c r="D27" s="7">
        <v>24.98</v>
      </c>
      <c r="E27" s="7">
        <v>36.380000000000003</v>
      </c>
      <c r="F27" s="7">
        <v>56.59</v>
      </c>
      <c r="G27" s="7">
        <v>75.81</v>
      </c>
      <c r="H27" s="7">
        <v>107</v>
      </c>
      <c r="I27" s="7">
        <v>203</v>
      </c>
    </row>
    <row r="28" spans="1:9" s="8" customFormat="1" ht="10.15" customHeight="1">
      <c r="A28" s="6" t="s">
        <v>35</v>
      </c>
      <c r="B28" s="7">
        <v>54.63</v>
      </c>
      <c r="C28" s="7">
        <v>24.1</v>
      </c>
      <c r="D28" s="7">
        <v>32.85</v>
      </c>
      <c r="E28" s="7">
        <v>47.59</v>
      </c>
      <c r="F28" s="7">
        <v>68.61</v>
      </c>
      <c r="G28" s="7">
        <v>84.6</v>
      </c>
      <c r="H28" s="7">
        <v>119.7</v>
      </c>
      <c r="I28" s="7">
        <v>179.8</v>
      </c>
    </row>
    <row r="29" spans="1:9" s="8" customFormat="1" ht="10.15" customHeight="1">
      <c r="A29" s="6" t="s">
        <v>36</v>
      </c>
      <c r="B29" s="7">
        <v>6.28</v>
      </c>
      <c r="C29" s="7">
        <v>2.15</v>
      </c>
      <c r="D29" s="7">
        <v>3.15</v>
      </c>
      <c r="E29" s="7">
        <v>4.6100000000000003</v>
      </c>
      <c r="F29" s="7">
        <v>9.06</v>
      </c>
      <c r="G29" s="7">
        <v>10.83</v>
      </c>
      <c r="H29" s="7">
        <v>15.95</v>
      </c>
      <c r="I29" s="7">
        <v>23.84</v>
      </c>
    </row>
    <row r="30" spans="1:9" s="8" customFormat="1" ht="10.15" customHeight="1">
      <c r="A30" s="6" t="s">
        <v>37</v>
      </c>
      <c r="B30" s="7">
        <v>118.22</v>
      </c>
      <c r="C30" s="7">
        <v>40.43</v>
      </c>
      <c r="D30" s="7">
        <v>58.9</v>
      </c>
      <c r="E30" s="7">
        <v>96.64</v>
      </c>
      <c r="F30" s="7">
        <v>155.38999999999999</v>
      </c>
      <c r="G30" s="7">
        <v>202.01</v>
      </c>
      <c r="H30" s="7">
        <v>289.68</v>
      </c>
      <c r="I30" s="7">
        <v>454.7</v>
      </c>
    </row>
    <row r="31" spans="1:9" s="8" customFormat="1" ht="10.15" customHeight="1">
      <c r="A31" s="6" t="s">
        <v>38</v>
      </c>
      <c r="B31" s="7">
        <v>28.62</v>
      </c>
      <c r="C31" s="7">
        <v>9.85</v>
      </c>
      <c r="D31" s="7">
        <v>13.95</v>
      </c>
      <c r="E31" s="7">
        <v>23.75</v>
      </c>
      <c r="F31" s="7">
        <v>37</v>
      </c>
      <c r="G31" s="7">
        <v>51.11</v>
      </c>
      <c r="H31" s="7">
        <v>69.05</v>
      </c>
      <c r="I31" s="7">
        <v>108.16</v>
      </c>
    </row>
    <row r="32" spans="1:9" s="8" customFormat="1" ht="10.15" customHeight="1">
      <c r="A32" s="6" t="s">
        <v>39</v>
      </c>
      <c r="B32" s="7">
        <v>35.83</v>
      </c>
      <c r="C32" s="7">
        <v>11.48</v>
      </c>
      <c r="D32" s="7">
        <v>17.350000000000001</v>
      </c>
      <c r="E32" s="7">
        <v>28.58</v>
      </c>
      <c r="F32" s="7">
        <v>47.97</v>
      </c>
      <c r="G32" s="7">
        <v>61.72</v>
      </c>
      <c r="H32" s="7">
        <v>94.07</v>
      </c>
      <c r="I32" s="7">
        <v>136.91999999999999</v>
      </c>
    </row>
    <row r="33" spans="1:9" s="8" customFormat="1" ht="10.15" customHeight="1">
      <c r="A33" s="6" t="s">
        <v>40</v>
      </c>
      <c r="B33" s="7">
        <v>13.52</v>
      </c>
      <c r="C33" s="7">
        <v>6.66</v>
      </c>
      <c r="D33" s="7">
        <v>9.01</v>
      </c>
      <c r="E33" s="7">
        <v>12.61</v>
      </c>
      <c r="F33" s="7">
        <v>17.71</v>
      </c>
      <c r="G33" s="7">
        <v>21.23</v>
      </c>
      <c r="H33" s="7">
        <v>24.22</v>
      </c>
      <c r="I33" s="7">
        <v>33.869999999999997</v>
      </c>
    </row>
    <row r="34" spans="1:9" s="8" customFormat="1" ht="10.15" customHeight="1">
      <c r="A34" s="6" t="s">
        <v>41</v>
      </c>
      <c r="B34" s="7">
        <v>33.44</v>
      </c>
      <c r="C34" s="7">
        <v>10.75</v>
      </c>
      <c r="D34" s="7">
        <v>16.12</v>
      </c>
      <c r="E34" s="7">
        <v>27.25</v>
      </c>
      <c r="F34" s="7">
        <v>44.6</v>
      </c>
      <c r="G34" s="7">
        <v>56.28</v>
      </c>
      <c r="H34" s="7">
        <v>83.96</v>
      </c>
      <c r="I34" s="7">
        <v>131.82</v>
      </c>
    </row>
    <row r="35" spans="1:9" s="8" customFormat="1" ht="10.15" customHeight="1">
      <c r="A35" s="6" t="s">
        <v>42</v>
      </c>
      <c r="B35" s="7">
        <v>5.48</v>
      </c>
      <c r="C35" s="7">
        <v>1.27</v>
      </c>
      <c r="D35" s="7">
        <v>1.77</v>
      </c>
      <c r="E35" s="7">
        <v>3.39</v>
      </c>
      <c r="F35" s="7">
        <v>6.37</v>
      </c>
      <c r="G35" s="7">
        <v>9.7799999999999994</v>
      </c>
      <c r="H35" s="7">
        <v>15.5</v>
      </c>
      <c r="I35" s="7">
        <v>36.9</v>
      </c>
    </row>
    <row r="36" spans="1:9" s="8" customFormat="1" ht="10.15" customHeight="1">
      <c r="A36" s="6" t="s">
        <v>43</v>
      </c>
      <c r="B36" s="7">
        <v>1.34</v>
      </c>
      <c r="C36" s="7">
        <v>0.41</v>
      </c>
      <c r="D36" s="7">
        <v>0.7</v>
      </c>
      <c r="E36" s="7">
        <v>1.05</v>
      </c>
      <c r="F36" s="7">
        <v>1.74</v>
      </c>
      <c r="G36" s="7">
        <v>1.88</v>
      </c>
      <c r="H36" s="7">
        <v>2.89</v>
      </c>
      <c r="I36" s="7">
        <v>7.03</v>
      </c>
    </row>
    <row r="37" spans="1:9" s="8" customFormat="1" ht="10.15" customHeight="1">
      <c r="A37" s="6" t="s">
        <v>44</v>
      </c>
      <c r="B37" s="7">
        <v>419.19</v>
      </c>
      <c r="C37" s="7">
        <v>72.069999999999993</v>
      </c>
      <c r="D37" s="7">
        <v>124.41</v>
      </c>
      <c r="E37" s="7">
        <v>247.73</v>
      </c>
      <c r="F37" s="7">
        <v>518.84</v>
      </c>
      <c r="G37" s="7">
        <v>835.58</v>
      </c>
      <c r="H37" s="7">
        <v>1428.28</v>
      </c>
      <c r="I37" s="7">
        <v>2491.54</v>
      </c>
    </row>
    <row r="38" spans="1:9" s="8" customFormat="1" ht="10.15" customHeight="1">
      <c r="A38" s="6" t="s">
        <v>45</v>
      </c>
      <c r="B38" s="7">
        <v>59.06</v>
      </c>
      <c r="C38" s="7">
        <v>28.16</v>
      </c>
      <c r="D38" s="7">
        <v>46.8</v>
      </c>
      <c r="E38" s="7">
        <v>63.12</v>
      </c>
      <c r="F38" s="7">
        <v>83.46</v>
      </c>
      <c r="G38" s="7">
        <v>75.78</v>
      </c>
      <c r="H38" s="7">
        <v>88.24</v>
      </c>
      <c r="I38" s="7">
        <v>89.16</v>
      </c>
    </row>
    <row r="39" spans="1:9" s="8" customFormat="1" ht="10.15" customHeight="1">
      <c r="A39" s="6" t="s">
        <v>46</v>
      </c>
      <c r="B39" s="7">
        <v>69.180000000000007</v>
      </c>
      <c r="C39" s="7">
        <v>10.48</v>
      </c>
      <c r="D39" s="7">
        <v>18.57</v>
      </c>
      <c r="E39" s="7">
        <v>45.26</v>
      </c>
      <c r="F39" s="7">
        <v>99.37</v>
      </c>
      <c r="G39" s="7">
        <v>152.41</v>
      </c>
      <c r="H39" s="7">
        <v>214.59</v>
      </c>
      <c r="I39" s="7">
        <v>340.34</v>
      </c>
    </row>
    <row r="40" spans="1:9" s="8" customFormat="1" ht="10.15" customHeight="1">
      <c r="A40" s="6" t="s">
        <v>47</v>
      </c>
      <c r="B40" s="7">
        <v>12.16</v>
      </c>
      <c r="C40" s="7">
        <v>1.1100000000000001</v>
      </c>
      <c r="D40" s="7">
        <v>1.7</v>
      </c>
      <c r="E40" s="7">
        <v>4.8499999999999996</v>
      </c>
      <c r="F40" s="7">
        <v>16.100000000000001</v>
      </c>
      <c r="G40" s="7">
        <v>32.979999999999997</v>
      </c>
      <c r="H40" s="7">
        <v>52.36</v>
      </c>
      <c r="I40" s="7">
        <v>68.88</v>
      </c>
    </row>
    <row r="41" spans="1:9" s="8" customFormat="1" ht="10.15" customHeight="1">
      <c r="A41" s="6" t="s">
        <v>48</v>
      </c>
      <c r="B41" s="7">
        <v>43.73</v>
      </c>
      <c r="C41" s="7">
        <v>6.37</v>
      </c>
      <c r="D41" s="7">
        <v>11.38</v>
      </c>
      <c r="E41" s="7">
        <v>29.68</v>
      </c>
      <c r="F41" s="7">
        <v>63.22</v>
      </c>
      <c r="G41" s="7">
        <v>93.56</v>
      </c>
      <c r="H41" s="7">
        <v>131.44999999999999</v>
      </c>
      <c r="I41" s="7">
        <v>219.34</v>
      </c>
    </row>
    <row r="42" spans="1:9" s="8" customFormat="1" ht="10.15" customHeight="1">
      <c r="A42" s="6" t="s">
        <v>49</v>
      </c>
      <c r="B42" s="7">
        <v>181.7</v>
      </c>
      <c r="C42" s="7">
        <v>18.010000000000002</v>
      </c>
      <c r="D42" s="7">
        <v>33.340000000000003</v>
      </c>
      <c r="E42" s="7">
        <v>81.44</v>
      </c>
      <c r="F42" s="7">
        <v>203.71</v>
      </c>
      <c r="G42" s="7">
        <v>383.57</v>
      </c>
      <c r="H42" s="7">
        <v>739.98</v>
      </c>
      <c r="I42" s="7">
        <v>1329.38</v>
      </c>
    </row>
    <row r="43" spans="1:9" s="8" customFormat="1" ht="10.15" customHeight="1">
      <c r="A43" s="6" t="s">
        <v>50</v>
      </c>
      <c r="B43" s="7">
        <v>32.43</v>
      </c>
      <c r="C43" s="7">
        <v>5.97</v>
      </c>
      <c r="D43" s="7">
        <v>9.1</v>
      </c>
      <c r="E43" s="7">
        <v>15</v>
      </c>
      <c r="F43" s="7">
        <v>30.3</v>
      </c>
      <c r="G43" s="7">
        <v>52.11</v>
      </c>
      <c r="H43" s="7">
        <v>114.17</v>
      </c>
      <c r="I43" s="7">
        <v>283.58999999999997</v>
      </c>
    </row>
    <row r="44" spans="1:9" s="8" customFormat="1" ht="10.15" customHeight="1">
      <c r="A44" s="6" t="s">
        <v>51</v>
      </c>
      <c r="B44" s="7">
        <v>20.92</v>
      </c>
      <c r="C44" s="7">
        <v>1.97</v>
      </c>
      <c r="D44" s="7">
        <v>3.54</v>
      </c>
      <c r="E44" s="7">
        <v>8.3800000000000008</v>
      </c>
      <c r="F44" s="7">
        <v>22.68</v>
      </c>
      <c r="G44" s="7">
        <v>45.16</v>
      </c>
      <c r="H44" s="7">
        <v>87.49</v>
      </c>
      <c r="I44" s="7">
        <v>160.84</v>
      </c>
    </row>
    <row r="45" spans="1:9" s="8" customFormat="1" ht="10.15" customHeight="1">
      <c r="A45" s="6" t="s">
        <v>52</v>
      </c>
      <c r="B45" s="7">
        <v>51.02</v>
      </c>
      <c r="C45" s="7">
        <v>20.6</v>
      </c>
      <c r="D45" s="7">
        <v>30.17</v>
      </c>
      <c r="E45" s="7">
        <v>46.92</v>
      </c>
      <c r="F45" s="7">
        <v>66.52</v>
      </c>
      <c r="G45" s="7">
        <v>83.96</v>
      </c>
      <c r="H45" s="7">
        <v>109.14</v>
      </c>
      <c r="I45" s="7">
        <v>146.29</v>
      </c>
    </row>
    <row r="46" spans="1:9" s="8" customFormat="1" ht="10.15" customHeight="1">
      <c r="A46" s="6" t="s">
        <v>53</v>
      </c>
      <c r="B46" s="7">
        <v>20.62</v>
      </c>
      <c r="C46" s="7">
        <v>8.6999999999999993</v>
      </c>
      <c r="D46" s="7">
        <v>12.58</v>
      </c>
      <c r="E46" s="7">
        <v>19.559999999999999</v>
      </c>
      <c r="F46" s="7">
        <v>26.83</v>
      </c>
      <c r="G46" s="7">
        <v>32.22</v>
      </c>
      <c r="H46" s="7">
        <v>44.99</v>
      </c>
      <c r="I46" s="7">
        <v>52.96</v>
      </c>
    </row>
    <row r="47" spans="1:9" s="8" customFormat="1" ht="10.15" customHeight="1">
      <c r="A47" s="6" t="s">
        <v>54</v>
      </c>
      <c r="B47" s="7">
        <v>4.3499999999999996</v>
      </c>
      <c r="C47" s="7">
        <v>1.96</v>
      </c>
      <c r="D47" s="7">
        <v>2.78</v>
      </c>
      <c r="E47" s="7">
        <v>4.1500000000000004</v>
      </c>
      <c r="F47" s="7">
        <v>5.92</v>
      </c>
      <c r="G47" s="7">
        <v>7.67</v>
      </c>
      <c r="H47" s="7">
        <v>7.98</v>
      </c>
      <c r="I47" s="7">
        <v>9.0500000000000007</v>
      </c>
    </row>
    <row r="48" spans="1:9" s="8" customFormat="1" ht="10.15" customHeight="1">
      <c r="A48" s="6" t="s">
        <v>55</v>
      </c>
      <c r="B48" s="7">
        <v>2.72</v>
      </c>
      <c r="C48" s="7">
        <v>1.32</v>
      </c>
      <c r="D48" s="7">
        <v>1.87</v>
      </c>
      <c r="E48" s="7">
        <v>2.63</v>
      </c>
      <c r="F48" s="7">
        <v>3.68</v>
      </c>
      <c r="G48" s="7">
        <v>4.18</v>
      </c>
      <c r="H48" s="7">
        <v>5</v>
      </c>
      <c r="I48" s="7">
        <v>5.48</v>
      </c>
    </row>
    <row r="49" spans="1:9" s="8" customFormat="1" ht="9.4" customHeight="1">
      <c r="A49" s="6" t="s">
        <v>56</v>
      </c>
      <c r="B49" s="7">
        <v>23.33</v>
      </c>
      <c r="C49" s="7">
        <v>8.6300000000000008</v>
      </c>
      <c r="D49" s="7">
        <v>12.94</v>
      </c>
      <c r="E49" s="7">
        <v>20.58</v>
      </c>
      <c r="F49" s="7">
        <v>30.09</v>
      </c>
      <c r="G49" s="7">
        <v>39.880000000000003</v>
      </c>
      <c r="H49" s="7">
        <v>51.16</v>
      </c>
      <c r="I49" s="7">
        <v>78.81</v>
      </c>
    </row>
    <row r="50" spans="1:9" s="8" customFormat="1" ht="9.4" customHeight="1">
      <c r="A50" s="6" t="s">
        <v>57</v>
      </c>
      <c r="B50" s="7">
        <v>153.81</v>
      </c>
      <c r="C50" s="7">
        <v>40.799999999999997</v>
      </c>
      <c r="D50" s="7">
        <v>67.709999999999994</v>
      </c>
      <c r="E50" s="7">
        <v>109.8</v>
      </c>
      <c r="F50" s="7">
        <v>185.51</v>
      </c>
      <c r="G50" s="7">
        <v>272.83</v>
      </c>
      <c r="H50" s="7">
        <v>437.9</v>
      </c>
      <c r="I50" s="7">
        <v>787.32</v>
      </c>
    </row>
    <row r="51" spans="1:9" s="8" customFormat="1" ht="9.4" customHeight="1">
      <c r="A51" s="6" t="s">
        <v>58</v>
      </c>
      <c r="B51" s="7">
        <v>74.739999999999995</v>
      </c>
      <c r="C51" s="7">
        <v>31</v>
      </c>
      <c r="D51" s="7">
        <v>49.27</v>
      </c>
      <c r="E51" s="7">
        <v>67.87</v>
      </c>
      <c r="F51" s="7">
        <v>90.53</v>
      </c>
      <c r="G51" s="7">
        <v>111.05</v>
      </c>
      <c r="H51" s="7">
        <v>139.6</v>
      </c>
      <c r="I51" s="7">
        <v>271.32</v>
      </c>
    </row>
    <row r="52" spans="1:9" s="8" customFormat="1" ht="9.4" customHeight="1">
      <c r="A52" s="6" t="s">
        <v>59</v>
      </c>
      <c r="B52" s="7">
        <v>45.86</v>
      </c>
      <c r="C52" s="7">
        <v>2.37</v>
      </c>
      <c r="D52" s="7">
        <v>5.37</v>
      </c>
      <c r="E52" s="7">
        <v>19.59</v>
      </c>
      <c r="F52" s="7">
        <v>57.95</v>
      </c>
      <c r="G52" s="7">
        <v>101.21</v>
      </c>
      <c r="H52" s="7">
        <v>182.83</v>
      </c>
      <c r="I52" s="7">
        <v>339.75</v>
      </c>
    </row>
    <row r="53" spans="1:9" s="8" customFormat="1" ht="9.4" customHeight="1">
      <c r="A53" s="6" t="s">
        <v>60</v>
      </c>
      <c r="B53" s="7">
        <v>7.29</v>
      </c>
      <c r="C53" s="7">
        <v>0.67</v>
      </c>
      <c r="D53" s="7">
        <v>1.25</v>
      </c>
      <c r="E53" s="7">
        <v>3.88</v>
      </c>
      <c r="F53" s="7">
        <v>8.39</v>
      </c>
      <c r="G53" s="7">
        <v>14.5</v>
      </c>
      <c r="H53" s="7">
        <v>29.14</v>
      </c>
      <c r="I53" s="7">
        <v>50.8</v>
      </c>
    </row>
    <row r="54" spans="1:9" s="8" customFormat="1" ht="9.4" customHeight="1">
      <c r="A54" s="6" t="s">
        <v>61</v>
      </c>
      <c r="B54" s="7">
        <v>5.94</v>
      </c>
      <c r="C54" s="7">
        <v>1.62</v>
      </c>
      <c r="D54" s="7">
        <v>3.25</v>
      </c>
      <c r="E54" s="7">
        <v>5.16</v>
      </c>
      <c r="F54" s="7">
        <v>7.91</v>
      </c>
      <c r="G54" s="7">
        <v>8.08</v>
      </c>
      <c r="H54" s="7">
        <v>13.53</v>
      </c>
      <c r="I54" s="7">
        <v>26.38</v>
      </c>
    </row>
    <row r="55" spans="1:9" s="8" customFormat="1" ht="9.4" customHeight="1">
      <c r="A55" s="6" t="s">
        <v>62</v>
      </c>
      <c r="B55" s="7">
        <v>2.86</v>
      </c>
      <c r="C55" s="7">
        <v>0.25</v>
      </c>
      <c r="D55" s="7">
        <v>0.31</v>
      </c>
      <c r="E55" s="7">
        <v>0.41</v>
      </c>
      <c r="F55" s="7">
        <v>1.1499999999999999</v>
      </c>
      <c r="G55" s="7">
        <v>2.86</v>
      </c>
      <c r="H55" s="7">
        <v>10.76</v>
      </c>
      <c r="I55" s="7">
        <v>44.38</v>
      </c>
    </row>
    <row r="56" spans="1:9" s="8" customFormat="1" ht="9.4" customHeight="1">
      <c r="A56" s="6" t="s">
        <v>63</v>
      </c>
      <c r="B56" s="7">
        <v>4.3099999999999996</v>
      </c>
      <c r="C56" s="7">
        <v>0.49</v>
      </c>
      <c r="D56" s="7">
        <v>1.46</v>
      </c>
      <c r="E56" s="7">
        <v>1.76</v>
      </c>
      <c r="F56" s="7">
        <v>4.08</v>
      </c>
      <c r="G56" s="7">
        <v>9.6300000000000008</v>
      </c>
      <c r="H56" s="7">
        <v>34.56</v>
      </c>
      <c r="I56" s="7">
        <v>8.3000000000000007</v>
      </c>
    </row>
    <row r="57" spans="1:9" s="8" customFormat="1" ht="9.4" customHeight="1">
      <c r="A57" s="6" t="s">
        <v>64</v>
      </c>
      <c r="B57" s="7">
        <v>1.03</v>
      </c>
      <c r="C57" s="7">
        <v>0.1</v>
      </c>
      <c r="D57" s="7">
        <v>0.37</v>
      </c>
      <c r="E57" s="7">
        <v>0.65</v>
      </c>
      <c r="F57" s="7">
        <v>1.51</v>
      </c>
      <c r="G57" s="7">
        <v>2.76</v>
      </c>
      <c r="H57" s="7">
        <v>2.3199999999999998</v>
      </c>
      <c r="I57" s="7">
        <v>5.14</v>
      </c>
    </row>
    <row r="58" spans="1:9" s="8" customFormat="1" ht="9.4" customHeight="1">
      <c r="A58" s="6" t="s">
        <v>65</v>
      </c>
      <c r="B58" s="7">
        <v>4.53</v>
      </c>
      <c r="C58" s="7">
        <v>2.2599999999999998</v>
      </c>
      <c r="D58" s="7">
        <v>3.3</v>
      </c>
      <c r="E58" s="7">
        <v>4.6100000000000003</v>
      </c>
      <c r="F58" s="7">
        <v>5.66</v>
      </c>
      <c r="G58" s="7">
        <v>7.07</v>
      </c>
      <c r="H58" s="7">
        <v>8.25</v>
      </c>
      <c r="I58" s="7">
        <v>8.0299999999999994</v>
      </c>
    </row>
    <row r="59" spans="1:9" s="8" customFormat="1" ht="9.4" customHeight="1">
      <c r="A59" s="6" t="s">
        <v>66</v>
      </c>
      <c r="B59" s="7">
        <v>6.08</v>
      </c>
      <c r="C59" s="7">
        <v>1.7</v>
      </c>
      <c r="D59" s="7">
        <v>2.35</v>
      </c>
      <c r="E59" s="7">
        <v>4.95</v>
      </c>
      <c r="F59" s="7">
        <v>6.59</v>
      </c>
      <c r="G59" s="7">
        <v>13.91</v>
      </c>
      <c r="H59" s="7">
        <v>14.3</v>
      </c>
      <c r="I59" s="7">
        <v>28.57</v>
      </c>
    </row>
    <row r="60" spans="1:9" s="8" customFormat="1" ht="9.4" customHeight="1">
      <c r="A60" s="6" t="s">
        <v>51</v>
      </c>
      <c r="B60" s="7">
        <v>1.19</v>
      </c>
      <c r="C60" s="7">
        <v>0.35</v>
      </c>
      <c r="D60" s="7">
        <v>0.77</v>
      </c>
      <c r="E60" s="7">
        <v>0.91</v>
      </c>
      <c r="F60" s="7">
        <v>1.73</v>
      </c>
      <c r="G60" s="7">
        <v>1.78</v>
      </c>
      <c r="H60" s="7">
        <v>2.61</v>
      </c>
      <c r="I60" s="7">
        <v>4.66</v>
      </c>
    </row>
    <row r="61" spans="1:9" ht="10.9" customHeight="1">
      <c r="A61" s="34" t="s">
        <v>67</v>
      </c>
      <c r="B61" s="34"/>
      <c r="C61" s="34"/>
      <c r="D61" s="34"/>
      <c r="E61" s="34"/>
      <c r="F61" s="34"/>
      <c r="G61" s="34"/>
      <c r="H61" s="34"/>
      <c r="I61" s="34"/>
    </row>
    <row r="62" spans="1:9" ht="10.9" customHeight="1">
      <c r="A62" s="34" t="s">
        <v>68</v>
      </c>
      <c r="B62" s="34"/>
      <c r="C62" s="34"/>
      <c r="D62" s="34"/>
      <c r="E62" s="34"/>
      <c r="F62" s="34"/>
      <c r="G62" s="34"/>
      <c r="H62" s="34"/>
      <c r="I62" s="34"/>
    </row>
    <row r="63" spans="1:9" ht="10.9" customHeight="1">
      <c r="A63" s="34" t="s">
        <v>2</v>
      </c>
      <c r="B63" s="34"/>
      <c r="C63" s="34"/>
      <c r="D63" s="34"/>
      <c r="E63" s="34"/>
      <c r="F63" s="34"/>
      <c r="G63" s="34"/>
      <c r="H63" s="34"/>
      <c r="I63" s="34"/>
    </row>
    <row r="64" spans="1:9" ht="10.9" customHeight="1">
      <c r="A64" s="1"/>
      <c r="B64" s="1"/>
      <c r="C64" s="1"/>
      <c r="D64" s="1"/>
      <c r="E64" s="1"/>
      <c r="F64" s="1"/>
      <c r="G64" s="1"/>
      <c r="I64" s="3" t="s">
        <v>69</v>
      </c>
    </row>
    <row r="65" spans="1:9" ht="15" customHeight="1">
      <c r="A65" s="35" t="s">
        <v>4</v>
      </c>
      <c r="B65" s="36" t="s">
        <v>70</v>
      </c>
      <c r="C65" s="36"/>
      <c r="D65" s="36"/>
      <c r="E65" s="36"/>
      <c r="F65" s="36"/>
      <c r="G65" s="36"/>
      <c r="H65" s="36"/>
      <c r="I65" s="37"/>
    </row>
    <row r="66" spans="1:9" ht="15" customHeight="1">
      <c r="A66" s="35"/>
      <c r="B66" s="36" t="s">
        <v>6</v>
      </c>
      <c r="C66" s="36" t="s">
        <v>71</v>
      </c>
      <c r="D66" s="36"/>
      <c r="E66" s="36"/>
      <c r="F66" s="36"/>
      <c r="G66" s="36"/>
      <c r="H66" s="36"/>
      <c r="I66" s="37"/>
    </row>
    <row r="67" spans="1:9" ht="45" customHeight="1">
      <c r="A67" s="35"/>
      <c r="B67" s="36"/>
      <c r="C67" s="4" t="s">
        <v>8</v>
      </c>
      <c r="D67" s="4" t="s">
        <v>9</v>
      </c>
      <c r="E67" s="4" t="s">
        <v>10</v>
      </c>
      <c r="F67" s="4" t="s">
        <v>11</v>
      </c>
      <c r="G67" s="4" t="s">
        <v>12</v>
      </c>
      <c r="H67" s="4" t="s">
        <v>13</v>
      </c>
      <c r="I67" s="5" t="s">
        <v>14</v>
      </c>
    </row>
    <row r="68" spans="1:9" s="8" customFormat="1" ht="15" customHeight="1">
      <c r="A68" s="6" t="s">
        <v>72</v>
      </c>
      <c r="B68" s="7">
        <v>64.81</v>
      </c>
      <c r="C68" s="7">
        <v>6.83</v>
      </c>
      <c r="D68" s="7">
        <v>12.95</v>
      </c>
      <c r="E68" s="7">
        <v>29.01</v>
      </c>
      <c r="F68" s="7">
        <v>74.66</v>
      </c>
      <c r="G68" s="7">
        <v>145.63999999999999</v>
      </c>
      <c r="H68" s="7">
        <v>288.39999999999998</v>
      </c>
      <c r="I68" s="7">
        <v>409.31</v>
      </c>
    </row>
    <row r="69" spans="1:9" s="8" customFormat="1" ht="11.25" customHeight="1">
      <c r="A69" s="6" t="s">
        <v>73</v>
      </c>
      <c r="B69" s="7">
        <v>16.829999999999998</v>
      </c>
      <c r="C69" s="7">
        <v>0.96</v>
      </c>
      <c r="D69" s="7">
        <v>2.2799999999999998</v>
      </c>
      <c r="E69" s="7">
        <v>5.88</v>
      </c>
      <c r="F69" s="7">
        <v>13.81</v>
      </c>
      <c r="G69" s="7">
        <v>37.200000000000003</v>
      </c>
      <c r="H69" s="7">
        <v>89.99</v>
      </c>
      <c r="I69" s="7">
        <v>131.62</v>
      </c>
    </row>
    <row r="70" spans="1:9" s="8" customFormat="1" ht="11.25" customHeight="1">
      <c r="A70" s="6" t="s">
        <v>74</v>
      </c>
      <c r="B70" s="7">
        <v>20.48</v>
      </c>
      <c r="C70" s="7">
        <v>0.65</v>
      </c>
      <c r="D70" s="7">
        <v>2.2599999999999998</v>
      </c>
      <c r="E70" s="7">
        <v>8.1199999999999992</v>
      </c>
      <c r="F70" s="7">
        <v>27.82</v>
      </c>
      <c r="G70" s="7">
        <v>50.1</v>
      </c>
      <c r="H70" s="7">
        <v>94.2</v>
      </c>
      <c r="I70" s="7">
        <v>125.38</v>
      </c>
    </row>
    <row r="71" spans="1:9" s="8" customFormat="1" ht="11.25" customHeight="1">
      <c r="A71" s="6" t="s">
        <v>75</v>
      </c>
      <c r="B71" s="7">
        <v>15.52</v>
      </c>
      <c r="C71" s="7">
        <v>1.1299999999999999</v>
      </c>
      <c r="D71" s="7">
        <v>2.87</v>
      </c>
      <c r="E71" s="7">
        <v>6.6</v>
      </c>
      <c r="F71" s="7">
        <v>17.649999999999999</v>
      </c>
      <c r="G71" s="7">
        <v>34.71</v>
      </c>
      <c r="H71" s="7">
        <v>66.099999999999994</v>
      </c>
      <c r="I71" s="7">
        <v>109.94</v>
      </c>
    </row>
    <row r="72" spans="1:9" s="8" customFormat="1" ht="11.45" customHeight="1">
      <c r="A72" s="6" t="s">
        <v>76</v>
      </c>
      <c r="B72" s="7">
        <v>2.76</v>
      </c>
      <c r="C72" s="7">
        <v>0.59</v>
      </c>
      <c r="D72" s="7">
        <v>0.97</v>
      </c>
      <c r="E72" s="7">
        <v>1.42</v>
      </c>
      <c r="F72" s="7">
        <v>3.32</v>
      </c>
      <c r="G72" s="7">
        <v>5.58</v>
      </c>
      <c r="H72" s="7">
        <v>10.52</v>
      </c>
      <c r="I72" s="7">
        <v>15.47</v>
      </c>
    </row>
    <row r="73" spans="1:9" s="8" customFormat="1" ht="11.45" customHeight="1">
      <c r="A73" s="6" t="s">
        <v>77</v>
      </c>
      <c r="B73" s="7">
        <v>5.31</v>
      </c>
      <c r="C73" s="7">
        <v>2.96</v>
      </c>
      <c r="D73" s="7">
        <v>3.73</v>
      </c>
      <c r="E73" s="7">
        <v>4.8</v>
      </c>
      <c r="F73" s="7">
        <v>6.84</v>
      </c>
      <c r="G73" s="7">
        <v>7.88</v>
      </c>
      <c r="H73" s="7">
        <v>11.05</v>
      </c>
      <c r="I73" s="7">
        <v>10.9</v>
      </c>
    </row>
    <row r="74" spans="1:9" s="8" customFormat="1" ht="11.45" customHeight="1">
      <c r="A74" s="6" t="s">
        <v>51</v>
      </c>
      <c r="B74" s="7">
        <v>3.91</v>
      </c>
      <c r="C74" s="7">
        <v>0.54</v>
      </c>
      <c r="D74" s="7">
        <v>0.85</v>
      </c>
      <c r="E74" s="7">
        <v>2.19</v>
      </c>
      <c r="F74" s="7">
        <v>5.24</v>
      </c>
      <c r="G74" s="7">
        <v>10.18</v>
      </c>
      <c r="H74" s="7">
        <v>16.55</v>
      </c>
      <c r="I74" s="7">
        <v>16.010000000000002</v>
      </c>
    </row>
    <row r="75" spans="1:9" s="8" customFormat="1" ht="11.45" customHeight="1">
      <c r="A75" s="6" t="s">
        <v>78</v>
      </c>
      <c r="B75" s="7">
        <v>42.76</v>
      </c>
      <c r="C75" s="7">
        <v>8.3800000000000008</v>
      </c>
      <c r="D75" s="7">
        <v>14.67</v>
      </c>
      <c r="E75" s="7">
        <v>27.81</v>
      </c>
      <c r="F75" s="7">
        <v>51.53</v>
      </c>
      <c r="G75" s="7">
        <v>86.7</v>
      </c>
      <c r="H75" s="7">
        <v>133.22</v>
      </c>
      <c r="I75" s="7">
        <v>239.57</v>
      </c>
    </row>
    <row r="76" spans="1:9" s="8" customFormat="1" ht="11.45" customHeight="1">
      <c r="A76" s="6" t="s">
        <v>79</v>
      </c>
      <c r="B76" s="7">
        <v>6.44</v>
      </c>
      <c r="C76" s="7">
        <v>1.64</v>
      </c>
      <c r="D76" s="7">
        <v>2.83</v>
      </c>
      <c r="E76" s="7">
        <v>4.75</v>
      </c>
      <c r="F76" s="7">
        <v>8.9700000000000006</v>
      </c>
      <c r="G76" s="7">
        <v>14.48</v>
      </c>
      <c r="H76" s="7">
        <v>15.19</v>
      </c>
      <c r="I76" s="7">
        <v>25.76</v>
      </c>
    </row>
    <row r="77" spans="1:9" s="8" customFormat="1" ht="11.45" customHeight="1">
      <c r="A77" s="6" t="s">
        <v>80</v>
      </c>
      <c r="B77" s="7">
        <v>7.77</v>
      </c>
      <c r="C77" s="7">
        <v>2.69</v>
      </c>
      <c r="D77" s="7">
        <v>4.46</v>
      </c>
      <c r="E77" s="7">
        <v>7.54</v>
      </c>
      <c r="F77" s="7">
        <v>10.61</v>
      </c>
      <c r="G77" s="7">
        <v>13.2</v>
      </c>
      <c r="H77" s="7">
        <v>17.190000000000001</v>
      </c>
      <c r="I77" s="7">
        <v>18.79</v>
      </c>
    </row>
    <row r="78" spans="1:9" s="8" customFormat="1" ht="11.45" customHeight="1">
      <c r="A78" s="6" t="s">
        <v>81</v>
      </c>
      <c r="B78" s="7">
        <v>6.96</v>
      </c>
      <c r="C78" s="7">
        <v>0.96</v>
      </c>
      <c r="D78" s="7">
        <v>1.43</v>
      </c>
      <c r="E78" s="7">
        <v>3.54</v>
      </c>
      <c r="F78" s="7">
        <v>7.14</v>
      </c>
      <c r="G78" s="7">
        <v>13.75</v>
      </c>
      <c r="H78" s="7">
        <v>28.29</v>
      </c>
      <c r="I78" s="7">
        <v>49.83</v>
      </c>
    </row>
    <row r="79" spans="1:9" s="8" customFormat="1" ht="11.45" customHeight="1">
      <c r="A79" s="6" t="s">
        <v>82</v>
      </c>
      <c r="B79" s="7">
        <v>12.06</v>
      </c>
      <c r="C79" s="7">
        <v>1.37</v>
      </c>
      <c r="D79" s="7">
        <v>2.78</v>
      </c>
      <c r="E79" s="7">
        <v>5.73</v>
      </c>
      <c r="F79" s="7">
        <v>13.22</v>
      </c>
      <c r="G79" s="7">
        <v>25.87</v>
      </c>
      <c r="H79" s="7">
        <v>41.47</v>
      </c>
      <c r="I79" s="7">
        <v>93.12</v>
      </c>
    </row>
    <row r="80" spans="1:9" s="8" customFormat="1" ht="11.45" customHeight="1">
      <c r="A80" s="6" t="s">
        <v>51</v>
      </c>
      <c r="B80" s="7">
        <v>9.5399999999999991</v>
      </c>
      <c r="C80" s="7">
        <v>1.72</v>
      </c>
      <c r="D80" s="7">
        <v>3.16</v>
      </c>
      <c r="E80" s="7">
        <v>6.26</v>
      </c>
      <c r="F80" s="7">
        <v>11.58</v>
      </c>
      <c r="G80" s="7">
        <v>19.39</v>
      </c>
      <c r="H80" s="7">
        <v>31.08</v>
      </c>
      <c r="I80" s="7">
        <v>52.07</v>
      </c>
    </row>
    <row r="81" spans="1:9" s="8" customFormat="1" ht="11.45" customHeight="1">
      <c r="A81" s="6" t="s">
        <v>83</v>
      </c>
      <c r="B81" s="7">
        <v>11.62</v>
      </c>
      <c r="C81" s="7">
        <v>6.91</v>
      </c>
      <c r="D81" s="7">
        <v>8.9</v>
      </c>
      <c r="E81" s="7">
        <v>12.32</v>
      </c>
      <c r="F81" s="7">
        <v>14.48</v>
      </c>
      <c r="G81" s="7">
        <v>14.44</v>
      </c>
      <c r="H81" s="7">
        <v>15.17</v>
      </c>
      <c r="I81" s="7">
        <v>23.69</v>
      </c>
    </row>
    <row r="82" spans="1:9" s="8" customFormat="1" ht="11.45" customHeight="1">
      <c r="A82" s="6" t="s">
        <v>84</v>
      </c>
      <c r="B82" s="7">
        <v>23.85</v>
      </c>
      <c r="C82" s="7">
        <v>5.6</v>
      </c>
      <c r="D82" s="7">
        <v>8.99</v>
      </c>
      <c r="E82" s="7">
        <v>17.32</v>
      </c>
      <c r="F82" s="7">
        <v>30.73</v>
      </c>
      <c r="G82" s="7">
        <v>47.76</v>
      </c>
      <c r="H82" s="7">
        <v>70.540000000000006</v>
      </c>
      <c r="I82" s="7">
        <v>108.93</v>
      </c>
    </row>
    <row r="83" spans="1:9" s="8" customFormat="1" ht="11.45" customHeight="1">
      <c r="A83" s="6" t="s">
        <v>85</v>
      </c>
      <c r="B83" s="7">
        <v>15.78</v>
      </c>
      <c r="C83" s="7">
        <v>4.43</v>
      </c>
      <c r="D83" s="7">
        <v>6.94</v>
      </c>
      <c r="E83" s="7">
        <v>12.61</v>
      </c>
      <c r="F83" s="7">
        <v>21.27</v>
      </c>
      <c r="G83" s="7">
        <v>30.99</v>
      </c>
      <c r="H83" s="7">
        <v>41.68</v>
      </c>
      <c r="I83" s="7">
        <v>58.83</v>
      </c>
    </row>
    <row r="84" spans="1:9" s="8" customFormat="1" ht="11.45" customHeight="1">
      <c r="A84" s="6" t="s">
        <v>86</v>
      </c>
      <c r="B84" s="7">
        <v>4.74</v>
      </c>
      <c r="C84" s="7">
        <v>0.7</v>
      </c>
      <c r="D84" s="7">
        <v>1.34</v>
      </c>
      <c r="E84" s="7">
        <v>3.3</v>
      </c>
      <c r="F84" s="7">
        <v>6.27</v>
      </c>
      <c r="G84" s="7">
        <v>10.97</v>
      </c>
      <c r="H84" s="7">
        <v>14.95</v>
      </c>
      <c r="I84" s="7">
        <v>22.28</v>
      </c>
    </row>
    <row r="85" spans="1:9" s="8" customFormat="1" ht="11.45" customHeight="1">
      <c r="A85" s="6" t="s">
        <v>87</v>
      </c>
      <c r="B85" s="7">
        <v>0.44</v>
      </c>
      <c r="C85" s="7">
        <v>0.12</v>
      </c>
      <c r="D85" s="7">
        <v>0.14000000000000001</v>
      </c>
      <c r="E85" s="7">
        <v>0.28000000000000003</v>
      </c>
      <c r="F85" s="7">
        <v>0.47</v>
      </c>
      <c r="G85" s="7">
        <v>1.08</v>
      </c>
      <c r="H85" s="7">
        <v>1.29</v>
      </c>
      <c r="I85" s="7">
        <v>2.39</v>
      </c>
    </row>
    <row r="86" spans="1:9" s="8" customFormat="1" ht="11.45" customHeight="1">
      <c r="A86" s="6" t="s">
        <v>51</v>
      </c>
      <c r="B86" s="7">
        <v>2.89</v>
      </c>
      <c r="C86" s="7">
        <v>0.36</v>
      </c>
      <c r="D86" s="7">
        <v>0.56999999999999995</v>
      </c>
      <c r="E86" s="7">
        <v>1.1299999999999999</v>
      </c>
      <c r="F86" s="7">
        <v>2.72</v>
      </c>
      <c r="G86" s="7">
        <v>4.72</v>
      </c>
      <c r="H86" s="7">
        <v>12.62</v>
      </c>
      <c r="I86" s="7">
        <v>25.44</v>
      </c>
    </row>
    <row r="87" spans="1:9" s="8" customFormat="1" ht="11.45" customHeight="1">
      <c r="A87" s="6" t="s">
        <v>88</v>
      </c>
      <c r="B87" s="7">
        <v>61.87</v>
      </c>
      <c r="C87" s="7">
        <v>13.01</v>
      </c>
      <c r="D87" s="7">
        <v>18.850000000000001</v>
      </c>
      <c r="E87" s="7">
        <v>36.700000000000003</v>
      </c>
      <c r="F87" s="7">
        <v>71.540000000000006</v>
      </c>
      <c r="G87" s="7">
        <v>120.28</v>
      </c>
      <c r="H87" s="7">
        <v>202.05</v>
      </c>
      <c r="I87" s="7">
        <v>389</v>
      </c>
    </row>
    <row r="88" spans="1:9" s="8" customFormat="1" ht="11.45" customHeight="1">
      <c r="A88" s="6" t="s">
        <v>89</v>
      </c>
      <c r="B88" s="7">
        <v>5.8</v>
      </c>
      <c r="C88" s="7">
        <v>1.76</v>
      </c>
      <c r="D88" s="7">
        <v>3.14</v>
      </c>
      <c r="E88" s="7">
        <v>5.32</v>
      </c>
      <c r="F88" s="7">
        <v>7.36</v>
      </c>
      <c r="G88" s="7">
        <v>11.74</v>
      </c>
      <c r="H88" s="7">
        <v>14.34</v>
      </c>
      <c r="I88" s="7">
        <v>15.37</v>
      </c>
    </row>
    <row r="89" spans="1:9" s="8" customFormat="1" ht="11.45" customHeight="1">
      <c r="A89" s="6" t="s">
        <v>90</v>
      </c>
      <c r="B89" s="7">
        <v>5.24</v>
      </c>
      <c r="C89" s="7">
        <v>2.92</v>
      </c>
      <c r="D89" s="7">
        <v>3.99</v>
      </c>
      <c r="E89" s="7">
        <v>5.43</v>
      </c>
      <c r="F89" s="7">
        <v>6.6</v>
      </c>
      <c r="G89" s="7">
        <v>7.59</v>
      </c>
      <c r="H89" s="7">
        <v>8.81</v>
      </c>
      <c r="I89" s="7">
        <v>7.8</v>
      </c>
    </row>
    <row r="90" spans="1:9" s="8" customFormat="1" ht="11.45" customHeight="1">
      <c r="A90" s="6" t="s">
        <v>91</v>
      </c>
      <c r="B90" s="7">
        <v>14.54</v>
      </c>
      <c r="C90" s="7">
        <v>3</v>
      </c>
      <c r="D90" s="7">
        <v>3.84</v>
      </c>
      <c r="E90" s="7">
        <v>8.5399999999999991</v>
      </c>
      <c r="F90" s="7">
        <v>17.809999999999999</v>
      </c>
      <c r="G90" s="7">
        <v>27</v>
      </c>
      <c r="H90" s="7">
        <v>50.41</v>
      </c>
      <c r="I90" s="7">
        <v>89.56</v>
      </c>
    </row>
    <row r="91" spans="1:9" s="8" customFormat="1" ht="11.45" customHeight="1">
      <c r="A91" s="6" t="s">
        <v>92</v>
      </c>
      <c r="B91" s="7">
        <v>13.24</v>
      </c>
      <c r="C91" s="7">
        <v>2.1</v>
      </c>
      <c r="D91" s="7">
        <v>2.84</v>
      </c>
      <c r="E91" s="7">
        <v>6.21</v>
      </c>
      <c r="F91" s="7">
        <v>14.39</v>
      </c>
      <c r="G91" s="7">
        <v>30.87</v>
      </c>
      <c r="H91" s="7">
        <v>44.62</v>
      </c>
      <c r="I91" s="7">
        <v>97.4</v>
      </c>
    </row>
    <row r="92" spans="1:9" s="8" customFormat="1" ht="11.45" customHeight="1">
      <c r="A92" s="6" t="s">
        <v>93</v>
      </c>
      <c r="B92" s="7">
        <v>5.94</v>
      </c>
      <c r="C92" s="7">
        <v>0.37</v>
      </c>
      <c r="D92" s="7">
        <v>1.01</v>
      </c>
      <c r="E92" s="7">
        <v>2.23</v>
      </c>
      <c r="F92" s="7">
        <v>5.0199999999999996</v>
      </c>
      <c r="G92" s="7">
        <v>13.45</v>
      </c>
      <c r="H92" s="7">
        <v>21.64</v>
      </c>
      <c r="I92" s="7">
        <v>56.67</v>
      </c>
    </row>
    <row r="93" spans="1:9" s="8" customFormat="1" ht="11.45" customHeight="1">
      <c r="A93" s="6" t="s">
        <v>51</v>
      </c>
      <c r="B93" s="7">
        <v>17.12</v>
      </c>
      <c r="C93" s="7">
        <v>2.88</v>
      </c>
      <c r="D93" s="7">
        <v>4.03</v>
      </c>
      <c r="E93" s="7">
        <v>8.9700000000000006</v>
      </c>
      <c r="F93" s="7">
        <v>20.36</v>
      </c>
      <c r="G93" s="7">
        <v>29.64</v>
      </c>
      <c r="H93" s="7">
        <v>62.23</v>
      </c>
      <c r="I93" s="7">
        <v>122.21</v>
      </c>
    </row>
    <row r="94" spans="1:9" s="8" customFormat="1" ht="10.9" customHeight="1">
      <c r="A94" s="6" t="s">
        <v>94</v>
      </c>
      <c r="B94" s="7">
        <v>285</v>
      </c>
      <c r="C94" s="7">
        <v>22.96</v>
      </c>
      <c r="D94" s="7">
        <v>49.11</v>
      </c>
      <c r="E94" s="7">
        <v>115.25</v>
      </c>
      <c r="F94" s="7">
        <v>271.54000000000002</v>
      </c>
      <c r="G94" s="7">
        <v>515.71</v>
      </c>
      <c r="H94" s="7">
        <v>997.08</v>
      </c>
      <c r="I94" s="7">
        <v>2804.47</v>
      </c>
    </row>
    <row r="95" spans="1:9" s="8" customFormat="1" ht="10.9" customHeight="1">
      <c r="A95" s="6" t="s">
        <v>95</v>
      </c>
      <c r="B95" s="7">
        <v>121.7</v>
      </c>
      <c r="C95" s="7">
        <v>10.31</v>
      </c>
      <c r="D95" s="7">
        <v>16.149999999999999</v>
      </c>
      <c r="E95" s="7">
        <v>37.61</v>
      </c>
      <c r="F95" s="7">
        <v>93.67</v>
      </c>
      <c r="G95" s="7">
        <v>203.36</v>
      </c>
      <c r="H95" s="7">
        <v>440.53</v>
      </c>
      <c r="I95" s="7">
        <v>1407.82</v>
      </c>
    </row>
    <row r="96" spans="1:9" s="8" customFormat="1" ht="10.9" customHeight="1">
      <c r="A96" s="6" t="s">
        <v>96</v>
      </c>
      <c r="B96" s="7">
        <v>80.11</v>
      </c>
      <c r="C96" s="7">
        <v>5.67</v>
      </c>
      <c r="D96" s="7">
        <v>17.62</v>
      </c>
      <c r="E96" s="7">
        <v>42.38</v>
      </c>
      <c r="F96" s="7">
        <v>98.01</v>
      </c>
      <c r="G96" s="7">
        <v>166.84</v>
      </c>
      <c r="H96" s="7">
        <v>272.36</v>
      </c>
      <c r="I96" s="7">
        <v>580.20000000000005</v>
      </c>
    </row>
    <row r="97" spans="1:9" s="8" customFormat="1" ht="10.9" customHeight="1">
      <c r="A97" s="6" t="s">
        <v>97</v>
      </c>
      <c r="B97" s="7">
        <v>9.94</v>
      </c>
      <c r="C97" s="7">
        <v>0.78</v>
      </c>
      <c r="D97" s="7">
        <v>2.02</v>
      </c>
      <c r="E97" s="7">
        <v>5.72</v>
      </c>
      <c r="F97" s="7">
        <v>14.54</v>
      </c>
      <c r="G97" s="7">
        <v>20.46</v>
      </c>
      <c r="H97" s="7">
        <v>38.65</v>
      </c>
      <c r="I97" s="7">
        <v>53.21</v>
      </c>
    </row>
    <row r="98" spans="1:9" s="8" customFormat="1" ht="10.9" customHeight="1">
      <c r="A98" s="6" t="s">
        <v>98</v>
      </c>
      <c r="B98" s="7">
        <v>30.1</v>
      </c>
      <c r="C98" s="7">
        <v>4.82</v>
      </c>
      <c r="D98" s="7">
        <v>9.1199999999999992</v>
      </c>
      <c r="E98" s="7">
        <v>19.09</v>
      </c>
      <c r="F98" s="7">
        <v>36.93</v>
      </c>
      <c r="G98" s="7">
        <v>62.9</v>
      </c>
      <c r="H98" s="7">
        <v>98.48</v>
      </c>
      <c r="I98" s="7">
        <v>171.34</v>
      </c>
    </row>
    <row r="99" spans="1:9" s="8" customFormat="1" ht="10.9" customHeight="1">
      <c r="A99" s="6" t="s">
        <v>99</v>
      </c>
      <c r="B99" s="7">
        <v>4.84</v>
      </c>
      <c r="C99" s="7">
        <v>0.04</v>
      </c>
      <c r="D99" s="7">
        <v>0.05</v>
      </c>
      <c r="E99" s="7">
        <v>0.65</v>
      </c>
      <c r="F99" s="7">
        <v>3.17</v>
      </c>
      <c r="G99" s="7">
        <v>7.06</v>
      </c>
      <c r="H99" s="7">
        <v>12.92</v>
      </c>
      <c r="I99" s="7">
        <v>77.650000000000006</v>
      </c>
    </row>
    <row r="100" spans="1:9" s="8" customFormat="1" ht="10.9" customHeight="1">
      <c r="A100" s="6" t="s">
        <v>51</v>
      </c>
      <c r="B100" s="7">
        <v>38.31</v>
      </c>
      <c r="C100" s="7">
        <v>1.34</v>
      </c>
      <c r="D100" s="7">
        <v>4.1500000000000004</v>
      </c>
      <c r="E100" s="7">
        <v>9.81</v>
      </c>
      <c r="F100" s="7">
        <v>25.22</v>
      </c>
      <c r="G100" s="7">
        <v>55.08</v>
      </c>
      <c r="H100" s="7">
        <v>134.13999999999999</v>
      </c>
      <c r="I100" s="7">
        <v>514.26</v>
      </c>
    </row>
    <row r="101" spans="1:9" s="8" customFormat="1" ht="10.9" customHeight="1">
      <c r="A101" s="6" t="s">
        <v>100</v>
      </c>
      <c r="B101" s="7">
        <v>152.09</v>
      </c>
      <c r="C101" s="7">
        <v>16.12</v>
      </c>
      <c r="D101" s="7">
        <v>25.88</v>
      </c>
      <c r="E101" s="7">
        <v>57.37</v>
      </c>
      <c r="F101" s="7">
        <v>152.15</v>
      </c>
      <c r="G101" s="7">
        <v>367.46</v>
      </c>
      <c r="H101" s="7">
        <v>402.48</v>
      </c>
      <c r="I101" s="7">
        <v>1479.9</v>
      </c>
    </row>
    <row r="102" spans="1:9" s="8" customFormat="1" ht="10.9" customHeight="1">
      <c r="A102" s="6" t="s">
        <v>101</v>
      </c>
      <c r="B102" s="7">
        <v>104.62</v>
      </c>
      <c r="C102" s="7">
        <v>5.78</v>
      </c>
      <c r="D102" s="7">
        <v>10.039999999999999</v>
      </c>
      <c r="E102" s="7">
        <v>25.26</v>
      </c>
      <c r="F102" s="7">
        <v>86.49</v>
      </c>
      <c r="G102" s="7">
        <v>272.82</v>
      </c>
      <c r="H102" s="7">
        <v>269.89999999999998</v>
      </c>
      <c r="I102" s="7">
        <v>1237.6099999999999</v>
      </c>
    </row>
    <row r="103" spans="1:9" s="8" customFormat="1" ht="10.9" customHeight="1">
      <c r="A103" s="6" t="s">
        <v>102</v>
      </c>
      <c r="B103" s="7">
        <v>47.32</v>
      </c>
      <c r="C103" s="7">
        <v>10.33</v>
      </c>
      <c r="D103" s="7">
        <v>15.83</v>
      </c>
      <c r="E103" s="7">
        <v>32.03</v>
      </c>
      <c r="F103" s="7">
        <v>65.459999999999994</v>
      </c>
      <c r="G103" s="7">
        <v>94.31</v>
      </c>
      <c r="H103" s="7">
        <v>131.78</v>
      </c>
      <c r="I103" s="7">
        <v>241.51</v>
      </c>
    </row>
    <row r="104" spans="1:9" s="8" customFormat="1" ht="10.9" customHeight="1">
      <c r="A104" s="6" t="s">
        <v>103</v>
      </c>
      <c r="B104" s="7">
        <v>0.15</v>
      </c>
      <c r="C104" s="7">
        <v>0.02</v>
      </c>
      <c r="D104" s="7">
        <v>0.01</v>
      </c>
      <c r="E104" s="7">
        <v>7.0000000000000007E-2</v>
      </c>
      <c r="F104" s="7">
        <v>0.21</v>
      </c>
      <c r="G104" s="7">
        <v>0.33</v>
      </c>
      <c r="H104" s="7">
        <v>0.8</v>
      </c>
      <c r="I104" s="7">
        <v>0.78</v>
      </c>
    </row>
    <row r="105" spans="1:9" s="8" customFormat="1" ht="10.9" customHeight="1">
      <c r="A105" s="6" t="s">
        <v>104</v>
      </c>
      <c r="B105" s="7">
        <v>54.45</v>
      </c>
      <c r="C105" s="7">
        <v>6.66</v>
      </c>
      <c r="D105" s="7">
        <v>14.77</v>
      </c>
      <c r="E105" s="7">
        <v>32.29</v>
      </c>
      <c r="F105" s="7">
        <v>71.28</v>
      </c>
      <c r="G105" s="7">
        <v>111.22</v>
      </c>
      <c r="H105" s="7">
        <v>170.23</v>
      </c>
      <c r="I105" s="7">
        <v>344.46</v>
      </c>
    </row>
    <row r="106" spans="1:9" s="8" customFormat="1" ht="10.9" customHeight="1">
      <c r="A106" s="6" t="s">
        <v>105</v>
      </c>
      <c r="B106" s="7">
        <v>37.68</v>
      </c>
      <c r="C106" s="7">
        <v>5.22</v>
      </c>
      <c r="D106" s="7">
        <v>11.75</v>
      </c>
      <c r="E106" s="7">
        <v>22.51</v>
      </c>
      <c r="F106" s="7">
        <v>46.22</v>
      </c>
      <c r="G106" s="7">
        <v>75.680000000000007</v>
      </c>
      <c r="H106" s="7">
        <v>119.4</v>
      </c>
      <c r="I106" s="7">
        <v>239.38</v>
      </c>
    </row>
    <row r="107" spans="1:9" s="8" customFormat="1" ht="10.9" customHeight="1">
      <c r="A107" s="6" t="s">
        <v>106</v>
      </c>
      <c r="B107" s="7">
        <v>16.77</v>
      </c>
      <c r="C107" s="7">
        <v>1.44</v>
      </c>
      <c r="D107" s="7">
        <v>3.02</v>
      </c>
      <c r="E107" s="7">
        <v>9.7799999999999994</v>
      </c>
      <c r="F107" s="7">
        <v>25.05</v>
      </c>
      <c r="G107" s="7">
        <v>35.54</v>
      </c>
      <c r="H107" s="7">
        <v>50.84</v>
      </c>
      <c r="I107" s="7">
        <v>105.07</v>
      </c>
    </row>
    <row r="108" spans="1:9" s="11" customFormat="1" ht="11.65" customHeight="1">
      <c r="A108" s="9" t="s">
        <v>107</v>
      </c>
      <c r="B108" s="10">
        <v>57816604</v>
      </c>
      <c r="C108" s="10">
        <v>12503385</v>
      </c>
      <c r="D108" s="10">
        <v>10069184</v>
      </c>
      <c r="E108" s="10">
        <v>16972311</v>
      </c>
      <c r="F108" s="10">
        <v>8890463</v>
      </c>
      <c r="G108" s="10">
        <v>4181485</v>
      </c>
      <c r="H108" s="10">
        <v>2994837</v>
      </c>
      <c r="I108" s="10">
        <v>2204938</v>
      </c>
    </row>
    <row r="109" spans="1:9" s="11" customFormat="1" ht="11.65" customHeight="1">
      <c r="A109" s="9" t="s">
        <v>108</v>
      </c>
      <c r="B109" s="12">
        <v>3.3</v>
      </c>
      <c r="C109" s="12">
        <v>3.07</v>
      </c>
      <c r="D109" s="12">
        <v>3.18</v>
      </c>
      <c r="E109" s="12">
        <v>3.38</v>
      </c>
      <c r="F109" s="12">
        <v>3.42</v>
      </c>
      <c r="G109" s="12">
        <v>3.48</v>
      </c>
      <c r="H109" s="12">
        <v>3.47</v>
      </c>
      <c r="I109" s="12">
        <v>3.3</v>
      </c>
    </row>
    <row r="110" spans="1:9" ht="6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s="8" customFormat="1" ht="15" customHeight="1">
      <c r="A111" s="14" t="s">
        <v>109</v>
      </c>
      <c r="B111" s="14"/>
      <c r="C111" s="14"/>
      <c r="D111" s="14"/>
      <c r="E111" s="14"/>
      <c r="F111" s="14"/>
      <c r="G111" s="14"/>
      <c r="H111" s="14"/>
      <c r="I111" s="14"/>
    </row>
    <row r="112" spans="1:9" s="8" customFormat="1" ht="13.9" customHeight="1">
      <c r="A112" s="15" t="s">
        <v>110</v>
      </c>
      <c r="B112" s="15"/>
      <c r="C112" s="15"/>
      <c r="D112" s="15"/>
      <c r="E112" s="15"/>
      <c r="F112" s="15"/>
      <c r="G112" s="15"/>
      <c r="H112" s="15"/>
      <c r="I112" s="15"/>
    </row>
    <row r="113" spans="1:1" s="8" customFormat="1" ht="10.5" customHeight="1">
      <c r="A113" s="8" t="s">
        <v>111</v>
      </c>
    </row>
    <row r="114" spans="1:1" ht="10.5" customHeight="1">
      <c r="A114" s="8" t="s">
        <v>112</v>
      </c>
    </row>
  </sheetData>
  <mergeCells count="14">
    <mergeCell ref="A1:I1"/>
    <mergeCell ref="A2:I2"/>
    <mergeCell ref="A3:I3"/>
    <mergeCell ref="A5:A7"/>
    <mergeCell ref="B5:I5"/>
    <mergeCell ref="B6:B7"/>
    <mergeCell ref="C6:I6"/>
    <mergeCell ref="A61:I61"/>
    <mergeCell ref="A62:I62"/>
    <mergeCell ref="A63:I63"/>
    <mergeCell ref="A65:A67"/>
    <mergeCell ref="B65:I65"/>
    <mergeCell ref="B66:B67"/>
    <mergeCell ref="C66:I66"/>
  </mergeCells>
  <printOptions horizontalCentered="1"/>
  <pageMargins left="0.59055118110236227" right="0.59055118110236227" top="1.1811023622047245" bottom="1.1811023622047245" header="0" footer="0"/>
  <pageSetup paperSize="9" orientation="portrait" r:id="rId1"/>
  <headerFooter alignWithMargins="0"/>
  <rowBreaks count="1" manualBreakCount="1">
    <brk id="6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D35-F022-46D6-B5AF-925264A0D698}">
  <dimension ref="A1:J42"/>
  <sheetViews>
    <sheetView showGridLines="0" workbookViewId="0">
      <selection activeCell="J14" sqref="J14"/>
    </sheetView>
  </sheetViews>
  <sheetFormatPr defaultColWidth="11.140625" defaultRowHeight="12.75"/>
  <cols>
    <col min="1" max="1" width="33.28515625" style="31" customWidth="1"/>
    <col min="2" max="3" width="7.5703125" style="31" customWidth="1"/>
    <col min="4" max="8" width="7.28515625" style="31" customWidth="1"/>
    <col min="9" max="9" width="8.28515625" style="31" bestFit="1" customWidth="1"/>
    <col min="10" max="247" width="11.140625" style="31"/>
    <col min="248" max="248" width="33.28515625" style="31" customWidth="1"/>
    <col min="249" max="250" width="7.5703125" style="31" customWidth="1"/>
    <col min="251" max="255" width="7.28515625" style="31" customWidth="1"/>
    <col min="256" max="256" width="8.28515625" style="31" bestFit="1" customWidth="1"/>
    <col min="257" max="503" width="11.140625" style="31"/>
    <col min="504" max="504" width="33.28515625" style="31" customWidth="1"/>
    <col min="505" max="506" width="7.5703125" style="31" customWidth="1"/>
    <col min="507" max="511" width="7.28515625" style="31" customWidth="1"/>
    <col min="512" max="512" width="8.28515625" style="31" bestFit="1" customWidth="1"/>
    <col min="513" max="759" width="11.140625" style="31"/>
    <col min="760" max="760" width="33.28515625" style="31" customWidth="1"/>
    <col min="761" max="762" width="7.5703125" style="31" customWidth="1"/>
    <col min="763" max="767" width="7.28515625" style="31" customWidth="1"/>
    <col min="768" max="768" width="8.28515625" style="31" bestFit="1" customWidth="1"/>
    <col min="769" max="1015" width="11.140625" style="31"/>
    <col min="1016" max="1016" width="33.28515625" style="31" customWidth="1"/>
    <col min="1017" max="1018" width="7.5703125" style="31" customWidth="1"/>
    <col min="1019" max="1023" width="7.28515625" style="31" customWidth="1"/>
    <col min="1024" max="1024" width="8.28515625" style="31" bestFit="1" customWidth="1"/>
    <col min="1025" max="1271" width="11.140625" style="31"/>
    <col min="1272" max="1272" width="33.28515625" style="31" customWidth="1"/>
    <col min="1273" max="1274" width="7.5703125" style="31" customWidth="1"/>
    <col min="1275" max="1279" width="7.28515625" style="31" customWidth="1"/>
    <col min="1280" max="1280" width="8.28515625" style="31" bestFit="1" customWidth="1"/>
    <col min="1281" max="1527" width="11.140625" style="31"/>
    <col min="1528" max="1528" width="33.28515625" style="31" customWidth="1"/>
    <col min="1529" max="1530" width="7.5703125" style="31" customWidth="1"/>
    <col min="1531" max="1535" width="7.28515625" style="31" customWidth="1"/>
    <col min="1536" max="1536" width="8.28515625" style="31" bestFit="1" customWidth="1"/>
    <col min="1537" max="1783" width="11.140625" style="31"/>
    <col min="1784" max="1784" width="33.28515625" style="31" customWidth="1"/>
    <col min="1785" max="1786" width="7.5703125" style="31" customWidth="1"/>
    <col min="1787" max="1791" width="7.28515625" style="31" customWidth="1"/>
    <col min="1792" max="1792" width="8.28515625" style="31" bestFit="1" customWidth="1"/>
    <col min="1793" max="2039" width="11.140625" style="31"/>
    <col min="2040" max="2040" width="33.28515625" style="31" customWidth="1"/>
    <col min="2041" max="2042" width="7.5703125" style="31" customWidth="1"/>
    <col min="2043" max="2047" width="7.28515625" style="31" customWidth="1"/>
    <col min="2048" max="2048" width="8.28515625" style="31" bestFit="1" customWidth="1"/>
    <col min="2049" max="2295" width="11.140625" style="31"/>
    <col min="2296" max="2296" width="33.28515625" style="31" customWidth="1"/>
    <col min="2297" max="2298" width="7.5703125" style="31" customWidth="1"/>
    <col min="2299" max="2303" width="7.28515625" style="31" customWidth="1"/>
    <col min="2304" max="2304" width="8.28515625" style="31" bestFit="1" customWidth="1"/>
    <col min="2305" max="2551" width="11.140625" style="31"/>
    <col min="2552" max="2552" width="33.28515625" style="31" customWidth="1"/>
    <col min="2553" max="2554" width="7.5703125" style="31" customWidth="1"/>
    <col min="2555" max="2559" width="7.28515625" style="31" customWidth="1"/>
    <col min="2560" max="2560" width="8.28515625" style="31" bestFit="1" customWidth="1"/>
    <col min="2561" max="2807" width="11.140625" style="31"/>
    <col min="2808" max="2808" width="33.28515625" style="31" customWidth="1"/>
    <col min="2809" max="2810" width="7.5703125" style="31" customWidth="1"/>
    <col min="2811" max="2815" width="7.28515625" style="31" customWidth="1"/>
    <col min="2816" max="2816" width="8.28515625" style="31" bestFit="1" customWidth="1"/>
    <col min="2817" max="3063" width="11.140625" style="31"/>
    <col min="3064" max="3064" width="33.28515625" style="31" customWidth="1"/>
    <col min="3065" max="3066" width="7.5703125" style="31" customWidth="1"/>
    <col min="3067" max="3071" width="7.28515625" style="31" customWidth="1"/>
    <col min="3072" max="3072" width="8.28515625" style="31" bestFit="1" customWidth="1"/>
    <col min="3073" max="3319" width="11.140625" style="31"/>
    <col min="3320" max="3320" width="33.28515625" style="31" customWidth="1"/>
    <col min="3321" max="3322" width="7.5703125" style="31" customWidth="1"/>
    <col min="3323" max="3327" width="7.28515625" style="31" customWidth="1"/>
    <col min="3328" max="3328" width="8.28515625" style="31" bestFit="1" customWidth="1"/>
    <col min="3329" max="3575" width="11.140625" style="31"/>
    <col min="3576" max="3576" width="33.28515625" style="31" customWidth="1"/>
    <col min="3577" max="3578" width="7.5703125" style="31" customWidth="1"/>
    <col min="3579" max="3583" width="7.28515625" style="31" customWidth="1"/>
    <col min="3584" max="3584" width="8.28515625" style="31" bestFit="1" customWidth="1"/>
    <col min="3585" max="3831" width="11.140625" style="31"/>
    <col min="3832" max="3832" width="33.28515625" style="31" customWidth="1"/>
    <col min="3833" max="3834" width="7.5703125" style="31" customWidth="1"/>
    <col min="3835" max="3839" width="7.28515625" style="31" customWidth="1"/>
    <col min="3840" max="3840" width="8.28515625" style="31" bestFit="1" customWidth="1"/>
    <col min="3841" max="4087" width="11.140625" style="31"/>
    <col min="4088" max="4088" width="33.28515625" style="31" customWidth="1"/>
    <col min="4089" max="4090" width="7.5703125" style="31" customWidth="1"/>
    <col min="4091" max="4095" width="7.28515625" style="31" customWidth="1"/>
    <col min="4096" max="4096" width="8.28515625" style="31" bestFit="1" customWidth="1"/>
    <col min="4097" max="4343" width="11.140625" style="31"/>
    <col min="4344" max="4344" width="33.28515625" style="31" customWidth="1"/>
    <col min="4345" max="4346" width="7.5703125" style="31" customWidth="1"/>
    <col min="4347" max="4351" width="7.28515625" style="31" customWidth="1"/>
    <col min="4352" max="4352" width="8.28515625" style="31" bestFit="1" customWidth="1"/>
    <col min="4353" max="4599" width="11.140625" style="31"/>
    <col min="4600" max="4600" width="33.28515625" style="31" customWidth="1"/>
    <col min="4601" max="4602" width="7.5703125" style="31" customWidth="1"/>
    <col min="4603" max="4607" width="7.28515625" style="31" customWidth="1"/>
    <col min="4608" max="4608" width="8.28515625" style="31" bestFit="1" customWidth="1"/>
    <col min="4609" max="4855" width="11.140625" style="31"/>
    <col min="4856" max="4856" width="33.28515625" style="31" customWidth="1"/>
    <col min="4857" max="4858" width="7.5703125" style="31" customWidth="1"/>
    <col min="4859" max="4863" width="7.28515625" style="31" customWidth="1"/>
    <col min="4864" max="4864" width="8.28515625" style="31" bestFit="1" customWidth="1"/>
    <col min="4865" max="5111" width="11.140625" style="31"/>
    <col min="5112" max="5112" width="33.28515625" style="31" customWidth="1"/>
    <col min="5113" max="5114" width="7.5703125" style="31" customWidth="1"/>
    <col min="5115" max="5119" width="7.28515625" style="31" customWidth="1"/>
    <col min="5120" max="5120" width="8.28515625" style="31" bestFit="1" customWidth="1"/>
    <col min="5121" max="5367" width="11.140625" style="31"/>
    <col min="5368" max="5368" width="33.28515625" style="31" customWidth="1"/>
    <col min="5369" max="5370" width="7.5703125" style="31" customWidth="1"/>
    <col min="5371" max="5375" width="7.28515625" style="31" customWidth="1"/>
    <col min="5376" max="5376" width="8.28515625" style="31" bestFit="1" customWidth="1"/>
    <col min="5377" max="5623" width="11.140625" style="31"/>
    <col min="5624" max="5624" width="33.28515625" style="31" customWidth="1"/>
    <col min="5625" max="5626" width="7.5703125" style="31" customWidth="1"/>
    <col min="5627" max="5631" width="7.28515625" style="31" customWidth="1"/>
    <col min="5632" max="5632" width="8.28515625" style="31" bestFit="1" customWidth="1"/>
    <col min="5633" max="5879" width="11.140625" style="31"/>
    <col min="5880" max="5880" width="33.28515625" style="31" customWidth="1"/>
    <col min="5881" max="5882" width="7.5703125" style="31" customWidth="1"/>
    <col min="5883" max="5887" width="7.28515625" style="31" customWidth="1"/>
    <col min="5888" max="5888" width="8.28515625" style="31" bestFit="1" customWidth="1"/>
    <col min="5889" max="6135" width="11.140625" style="31"/>
    <col min="6136" max="6136" width="33.28515625" style="31" customWidth="1"/>
    <col min="6137" max="6138" width="7.5703125" style="31" customWidth="1"/>
    <col min="6139" max="6143" width="7.28515625" style="31" customWidth="1"/>
    <col min="6144" max="6144" width="8.28515625" style="31" bestFit="1" customWidth="1"/>
    <col min="6145" max="6391" width="11.140625" style="31"/>
    <col min="6392" max="6392" width="33.28515625" style="31" customWidth="1"/>
    <col min="6393" max="6394" width="7.5703125" style="31" customWidth="1"/>
    <col min="6395" max="6399" width="7.28515625" style="31" customWidth="1"/>
    <col min="6400" max="6400" width="8.28515625" style="31" bestFit="1" customWidth="1"/>
    <col min="6401" max="6647" width="11.140625" style="31"/>
    <col min="6648" max="6648" width="33.28515625" style="31" customWidth="1"/>
    <col min="6649" max="6650" width="7.5703125" style="31" customWidth="1"/>
    <col min="6651" max="6655" width="7.28515625" style="31" customWidth="1"/>
    <col min="6656" max="6656" width="8.28515625" style="31" bestFit="1" customWidth="1"/>
    <col min="6657" max="6903" width="11.140625" style="31"/>
    <col min="6904" max="6904" width="33.28515625" style="31" customWidth="1"/>
    <col min="6905" max="6906" width="7.5703125" style="31" customWidth="1"/>
    <col min="6907" max="6911" width="7.28515625" style="31" customWidth="1"/>
    <col min="6912" max="6912" width="8.28515625" style="31" bestFit="1" customWidth="1"/>
    <col min="6913" max="7159" width="11.140625" style="31"/>
    <col min="7160" max="7160" width="33.28515625" style="31" customWidth="1"/>
    <col min="7161" max="7162" width="7.5703125" style="31" customWidth="1"/>
    <col min="7163" max="7167" width="7.28515625" style="31" customWidth="1"/>
    <col min="7168" max="7168" width="8.28515625" style="31" bestFit="1" customWidth="1"/>
    <col min="7169" max="7415" width="11.140625" style="31"/>
    <col min="7416" max="7416" width="33.28515625" style="31" customWidth="1"/>
    <col min="7417" max="7418" width="7.5703125" style="31" customWidth="1"/>
    <col min="7419" max="7423" width="7.28515625" style="31" customWidth="1"/>
    <col min="7424" max="7424" width="8.28515625" style="31" bestFit="1" customWidth="1"/>
    <col min="7425" max="7671" width="11.140625" style="31"/>
    <col min="7672" max="7672" width="33.28515625" style="31" customWidth="1"/>
    <col min="7673" max="7674" width="7.5703125" style="31" customWidth="1"/>
    <col min="7675" max="7679" width="7.28515625" style="31" customWidth="1"/>
    <col min="7680" max="7680" width="8.28515625" style="31" bestFit="1" customWidth="1"/>
    <col min="7681" max="7927" width="11.140625" style="31"/>
    <col min="7928" max="7928" width="33.28515625" style="31" customWidth="1"/>
    <col min="7929" max="7930" width="7.5703125" style="31" customWidth="1"/>
    <col min="7931" max="7935" width="7.28515625" style="31" customWidth="1"/>
    <col min="7936" max="7936" width="8.28515625" style="31" bestFit="1" customWidth="1"/>
    <col min="7937" max="8183" width="11.140625" style="31"/>
    <col min="8184" max="8184" width="33.28515625" style="31" customWidth="1"/>
    <col min="8185" max="8186" width="7.5703125" style="31" customWidth="1"/>
    <col min="8187" max="8191" width="7.28515625" style="31" customWidth="1"/>
    <col min="8192" max="8192" width="8.28515625" style="31" bestFit="1" customWidth="1"/>
    <col min="8193" max="8439" width="11.140625" style="31"/>
    <col min="8440" max="8440" width="33.28515625" style="31" customWidth="1"/>
    <col min="8441" max="8442" width="7.5703125" style="31" customWidth="1"/>
    <col min="8443" max="8447" width="7.28515625" style="31" customWidth="1"/>
    <col min="8448" max="8448" width="8.28515625" style="31" bestFit="1" customWidth="1"/>
    <col min="8449" max="8695" width="11.140625" style="31"/>
    <col min="8696" max="8696" width="33.28515625" style="31" customWidth="1"/>
    <col min="8697" max="8698" width="7.5703125" style="31" customWidth="1"/>
    <col min="8699" max="8703" width="7.28515625" style="31" customWidth="1"/>
    <col min="8704" max="8704" width="8.28515625" style="31" bestFit="1" customWidth="1"/>
    <col min="8705" max="8951" width="11.140625" style="31"/>
    <col min="8952" max="8952" width="33.28515625" style="31" customWidth="1"/>
    <col min="8953" max="8954" width="7.5703125" style="31" customWidth="1"/>
    <col min="8955" max="8959" width="7.28515625" style="31" customWidth="1"/>
    <col min="8960" max="8960" width="8.28515625" style="31" bestFit="1" customWidth="1"/>
    <col min="8961" max="9207" width="11.140625" style="31"/>
    <col min="9208" max="9208" width="33.28515625" style="31" customWidth="1"/>
    <col min="9209" max="9210" width="7.5703125" style="31" customWidth="1"/>
    <col min="9211" max="9215" width="7.28515625" style="31" customWidth="1"/>
    <col min="9216" max="9216" width="8.28515625" style="31" bestFit="1" customWidth="1"/>
    <col min="9217" max="9463" width="11.140625" style="31"/>
    <col min="9464" max="9464" width="33.28515625" style="31" customWidth="1"/>
    <col min="9465" max="9466" width="7.5703125" style="31" customWidth="1"/>
    <col min="9467" max="9471" width="7.28515625" style="31" customWidth="1"/>
    <col min="9472" max="9472" width="8.28515625" style="31" bestFit="1" customWidth="1"/>
    <col min="9473" max="9719" width="11.140625" style="31"/>
    <col min="9720" max="9720" width="33.28515625" style="31" customWidth="1"/>
    <col min="9721" max="9722" width="7.5703125" style="31" customWidth="1"/>
    <col min="9723" max="9727" width="7.28515625" style="31" customWidth="1"/>
    <col min="9728" max="9728" width="8.28515625" style="31" bestFit="1" customWidth="1"/>
    <col min="9729" max="9975" width="11.140625" style="31"/>
    <col min="9976" max="9976" width="33.28515625" style="31" customWidth="1"/>
    <col min="9977" max="9978" width="7.5703125" style="31" customWidth="1"/>
    <col min="9979" max="9983" width="7.28515625" style="31" customWidth="1"/>
    <col min="9984" max="9984" width="8.28515625" style="31" bestFit="1" customWidth="1"/>
    <col min="9985" max="10231" width="11.140625" style="31"/>
    <col min="10232" max="10232" width="33.28515625" style="31" customWidth="1"/>
    <col min="10233" max="10234" width="7.5703125" style="31" customWidth="1"/>
    <col min="10235" max="10239" width="7.28515625" style="31" customWidth="1"/>
    <col min="10240" max="10240" width="8.28515625" style="31" bestFit="1" customWidth="1"/>
    <col min="10241" max="10487" width="11.140625" style="31"/>
    <col min="10488" max="10488" width="33.28515625" style="31" customWidth="1"/>
    <col min="10489" max="10490" width="7.5703125" style="31" customWidth="1"/>
    <col min="10491" max="10495" width="7.28515625" style="31" customWidth="1"/>
    <col min="10496" max="10496" width="8.28515625" style="31" bestFit="1" customWidth="1"/>
    <col min="10497" max="10743" width="11.140625" style="31"/>
    <col min="10744" max="10744" width="33.28515625" style="31" customWidth="1"/>
    <col min="10745" max="10746" width="7.5703125" style="31" customWidth="1"/>
    <col min="10747" max="10751" width="7.28515625" style="31" customWidth="1"/>
    <col min="10752" max="10752" width="8.28515625" style="31" bestFit="1" customWidth="1"/>
    <col min="10753" max="10999" width="11.140625" style="31"/>
    <col min="11000" max="11000" width="33.28515625" style="31" customWidth="1"/>
    <col min="11001" max="11002" width="7.5703125" style="31" customWidth="1"/>
    <col min="11003" max="11007" width="7.28515625" style="31" customWidth="1"/>
    <col min="11008" max="11008" width="8.28515625" style="31" bestFit="1" customWidth="1"/>
    <col min="11009" max="11255" width="11.140625" style="31"/>
    <col min="11256" max="11256" width="33.28515625" style="31" customWidth="1"/>
    <col min="11257" max="11258" width="7.5703125" style="31" customWidth="1"/>
    <col min="11259" max="11263" width="7.28515625" style="31" customWidth="1"/>
    <col min="11264" max="11264" width="8.28515625" style="31" bestFit="1" customWidth="1"/>
    <col min="11265" max="11511" width="11.140625" style="31"/>
    <col min="11512" max="11512" width="33.28515625" style="31" customWidth="1"/>
    <col min="11513" max="11514" width="7.5703125" style="31" customWidth="1"/>
    <col min="11515" max="11519" width="7.28515625" style="31" customWidth="1"/>
    <col min="11520" max="11520" width="8.28515625" style="31" bestFit="1" customWidth="1"/>
    <col min="11521" max="11767" width="11.140625" style="31"/>
    <col min="11768" max="11768" width="33.28515625" style="31" customWidth="1"/>
    <col min="11769" max="11770" width="7.5703125" style="31" customWidth="1"/>
    <col min="11771" max="11775" width="7.28515625" style="31" customWidth="1"/>
    <col min="11776" max="11776" width="8.28515625" style="31" bestFit="1" customWidth="1"/>
    <col min="11777" max="12023" width="11.140625" style="31"/>
    <col min="12024" max="12024" width="33.28515625" style="31" customWidth="1"/>
    <col min="12025" max="12026" width="7.5703125" style="31" customWidth="1"/>
    <col min="12027" max="12031" width="7.28515625" style="31" customWidth="1"/>
    <col min="12032" max="12032" width="8.28515625" style="31" bestFit="1" customWidth="1"/>
    <col min="12033" max="12279" width="11.140625" style="31"/>
    <col min="12280" max="12280" width="33.28515625" style="31" customWidth="1"/>
    <col min="12281" max="12282" width="7.5703125" style="31" customWidth="1"/>
    <col min="12283" max="12287" width="7.28515625" style="31" customWidth="1"/>
    <col min="12288" max="12288" width="8.28515625" style="31" bestFit="1" customWidth="1"/>
    <col min="12289" max="12535" width="11.140625" style="31"/>
    <col min="12536" max="12536" width="33.28515625" style="31" customWidth="1"/>
    <col min="12537" max="12538" width="7.5703125" style="31" customWidth="1"/>
    <col min="12539" max="12543" width="7.28515625" style="31" customWidth="1"/>
    <col min="12544" max="12544" width="8.28515625" style="31" bestFit="1" customWidth="1"/>
    <col min="12545" max="12791" width="11.140625" style="31"/>
    <col min="12792" max="12792" width="33.28515625" style="31" customWidth="1"/>
    <col min="12793" max="12794" width="7.5703125" style="31" customWidth="1"/>
    <col min="12795" max="12799" width="7.28515625" style="31" customWidth="1"/>
    <col min="12800" max="12800" width="8.28515625" style="31" bestFit="1" customWidth="1"/>
    <col min="12801" max="13047" width="11.140625" style="31"/>
    <col min="13048" max="13048" width="33.28515625" style="31" customWidth="1"/>
    <col min="13049" max="13050" width="7.5703125" style="31" customWidth="1"/>
    <col min="13051" max="13055" width="7.28515625" style="31" customWidth="1"/>
    <col min="13056" max="13056" width="8.28515625" style="31" bestFit="1" customWidth="1"/>
    <col min="13057" max="13303" width="11.140625" style="31"/>
    <col min="13304" max="13304" width="33.28515625" style="31" customWidth="1"/>
    <col min="13305" max="13306" width="7.5703125" style="31" customWidth="1"/>
    <col min="13307" max="13311" width="7.28515625" style="31" customWidth="1"/>
    <col min="13312" max="13312" width="8.28515625" style="31" bestFit="1" customWidth="1"/>
    <col min="13313" max="13559" width="11.140625" style="31"/>
    <col min="13560" max="13560" width="33.28515625" style="31" customWidth="1"/>
    <col min="13561" max="13562" width="7.5703125" style="31" customWidth="1"/>
    <col min="13563" max="13567" width="7.28515625" style="31" customWidth="1"/>
    <col min="13568" max="13568" width="8.28515625" style="31" bestFit="1" customWidth="1"/>
    <col min="13569" max="13815" width="11.140625" style="31"/>
    <col min="13816" max="13816" width="33.28515625" style="31" customWidth="1"/>
    <col min="13817" max="13818" width="7.5703125" style="31" customWidth="1"/>
    <col min="13819" max="13823" width="7.28515625" style="31" customWidth="1"/>
    <col min="13824" max="13824" width="8.28515625" style="31" bestFit="1" customWidth="1"/>
    <col min="13825" max="14071" width="11.140625" style="31"/>
    <col min="14072" max="14072" width="33.28515625" style="31" customWidth="1"/>
    <col min="14073" max="14074" width="7.5703125" style="31" customWidth="1"/>
    <col min="14075" max="14079" width="7.28515625" style="31" customWidth="1"/>
    <col min="14080" max="14080" width="8.28515625" style="31" bestFit="1" customWidth="1"/>
    <col min="14081" max="14327" width="11.140625" style="31"/>
    <col min="14328" max="14328" width="33.28515625" style="31" customWidth="1"/>
    <col min="14329" max="14330" width="7.5703125" style="31" customWidth="1"/>
    <col min="14331" max="14335" width="7.28515625" style="31" customWidth="1"/>
    <col min="14336" max="14336" width="8.28515625" style="31" bestFit="1" customWidth="1"/>
    <col min="14337" max="14583" width="11.140625" style="31"/>
    <col min="14584" max="14584" width="33.28515625" style="31" customWidth="1"/>
    <col min="14585" max="14586" width="7.5703125" style="31" customWidth="1"/>
    <col min="14587" max="14591" width="7.28515625" style="31" customWidth="1"/>
    <col min="14592" max="14592" width="8.28515625" style="31" bestFit="1" customWidth="1"/>
    <col min="14593" max="14839" width="11.140625" style="31"/>
    <col min="14840" max="14840" width="33.28515625" style="31" customWidth="1"/>
    <col min="14841" max="14842" width="7.5703125" style="31" customWidth="1"/>
    <col min="14843" max="14847" width="7.28515625" style="31" customWidth="1"/>
    <col min="14848" max="14848" width="8.28515625" style="31" bestFit="1" customWidth="1"/>
    <col min="14849" max="15095" width="11.140625" style="31"/>
    <col min="15096" max="15096" width="33.28515625" style="31" customWidth="1"/>
    <col min="15097" max="15098" width="7.5703125" style="31" customWidth="1"/>
    <col min="15099" max="15103" width="7.28515625" style="31" customWidth="1"/>
    <col min="15104" max="15104" width="8.28515625" style="31" bestFit="1" customWidth="1"/>
    <col min="15105" max="15351" width="11.140625" style="31"/>
    <col min="15352" max="15352" width="33.28515625" style="31" customWidth="1"/>
    <col min="15353" max="15354" width="7.5703125" style="31" customWidth="1"/>
    <col min="15355" max="15359" width="7.28515625" style="31" customWidth="1"/>
    <col min="15360" max="15360" width="8.28515625" style="31" bestFit="1" customWidth="1"/>
    <col min="15361" max="15607" width="11.140625" style="31"/>
    <col min="15608" max="15608" width="33.28515625" style="31" customWidth="1"/>
    <col min="15609" max="15610" width="7.5703125" style="31" customWidth="1"/>
    <col min="15611" max="15615" width="7.28515625" style="31" customWidth="1"/>
    <col min="15616" max="15616" width="8.28515625" style="31" bestFit="1" customWidth="1"/>
    <col min="15617" max="15863" width="11.140625" style="31"/>
    <col min="15864" max="15864" width="33.28515625" style="31" customWidth="1"/>
    <col min="15865" max="15866" width="7.5703125" style="31" customWidth="1"/>
    <col min="15867" max="15871" width="7.28515625" style="31" customWidth="1"/>
    <col min="15872" max="15872" width="8.28515625" style="31" bestFit="1" customWidth="1"/>
    <col min="15873" max="16119" width="11.140625" style="31"/>
    <col min="16120" max="16120" width="33.28515625" style="31" customWidth="1"/>
    <col min="16121" max="16122" width="7.5703125" style="31" customWidth="1"/>
    <col min="16123" max="16127" width="7.28515625" style="31" customWidth="1"/>
    <col min="16128" max="16128" width="8.28515625" style="31" bestFit="1" customWidth="1"/>
    <col min="16129" max="16384" width="11.140625" style="31"/>
  </cols>
  <sheetData>
    <row r="1" spans="1:10" s="16" customFormat="1" ht="10.9" customHeight="1">
      <c r="A1" s="40" t="s">
        <v>113</v>
      </c>
      <c r="B1" s="40"/>
      <c r="C1" s="40"/>
      <c r="D1" s="40"/>
      <c r="E1" s="40"/>
      <c r="F1" s="40"/>
      <c r="G1" s="40"/>
      <c r="H1" s="40"/>
      <c r="I1" s="40"/>
    </row>
    <row r="2" spans="1:10" s="16" customFormat="1" ht="10.9" customHeight="1">
      <c r="A2" s="40" t="s">
        <v>114</v>
      </c>
      <c r="B2" s="40"/>
      <c r="C2" s="40"/>
      <c r="D2" s="40"/>
      <c r="E2" s="40"/>
      <c r="F2" s="40"/>
      <c r="G2" s="40"/>
      <c r="H2" s="40"/>
      <c r="I2" s="40"/>
    </row>
    <row r="3" spans="1:10" s="16" customFormat="1" ht="10.9" customHeight="1">
      <c r="A3" s="40" t="s">
        <v>115</v>
      </c>
      <c r="B3" s="40"/>
      <c r="C3" s="40"/>
      <c r="D3" s="40"/>
      <c r="E3" s="40"/>
      <c r="F3" s="40"/>
      <c r="G3" s="40"/>
      <c r="H3" s="40"/>
      <c r="I3" s="40"/>
    </row>
    <row r="4" spans="1:10" s="17" customFormat="1" ht="10.9" customHeight="1"/>
    <row r="5" spans="1:10" s="17" customFormat="1" ht="15" customHeight="1">
      <c r="A5" s="41" t="s">
        <v>116</v>
      </c>
      <c r="B5" s="38" t="s">
        <v>117</v>
      </c>
      <c r="C5" s="38"/>
      <c r="D5" s="38"/>
      <c r="E5" s="38"/>
      <c r="F5" s="38"/>
      <c r="G5" s="38"/>
      <c r="H5" s="38"/>
      <c r="I5" s="39"/>
    </row>
    <row r="6" spans="1:10" s="17" customFormat="1" ht="15" customHeight="1">
      <c r="A6" s="42"/>
      <c r="B6" s="38" t="s">
        <v>118</v>
      </c>
      <c r="C6" s="38" t="s">
        <v>119</v>
      </c>
      <c r="D6" s="38"/>
      <c r="E6" s="38"/>
      <c r="F6" s="38"/>
      <c r="G6" s="38"/>
      <c r="H6" s="38"/>
      <c r="I6" s="39"/>
    </row>
    <row r="7" spans="1:10" s="17" customFormat="1" ht="46.15" customHeight="1">
      <c r="A7" s="42"/>
      <c r="B7" s="38"/>
      <c r="C7" s="18" t="s">
        <v>120</v>
      </c>
      <c r="D7" s="18" t="s">
        <v>121</v>
      </c>
      <c r="E7" s="18" t="s">
        <v>122</v>
      </c>
      <c r="F7" s="18" t="s">
        <v>123</v>
      </c>
      <c r="G7" s="18" t="s">
        <v>124</v>
      </c>
      <c r="H7" s="18" t="s">
        <v>125</v>
      </c>
      <c r="I7" s="19" t="s">
        <v>126</v>
      </c>
      <c r="J7" s="20"/>
    </row>
    <row r="8" spans="1:10" s="21" customFormat="1" ht="15" customHeight="1">
      <c r="A8" s="21" t="s">
        <v>127</v>
      </c>
      <c r="B8" s="22">
        <v>2763.47</v>
      </c>
      <c r="C8" s="22">
        <v>544.21</v>
      </c>
      <c r="D8" s="22">
        <v>1034.06</v>
      </c>
      <c r="E8" s="22">
        <v>1772.54</v>
      </c>
      <c r="F8" s="22">
        <v>3175.93</v>
      </c>
      <c r="G8" s="22">
        <v>5017.6899999999996</v>
      </c>
      <c r="H8" s="22">
        <v>7875.76</v>
      </c>
      <c r="I8" s="22">
        <v>17991.419999999998</v>
      </c>
    </row>
    <row r="9" spans="1:10" s="21" customFormat="1" ht="33.6" customHeight="1">
      <c r="A9" s="23" t="s">
        <v>128</v>
      </c>
      <c r="B9" s="22">
        <v>2641.63</v>
      </c>
      <c r="C9" s="22">
        <v>540.32000000000005</v>
      </c>
      <c r="D9" s="22">
        <v>1024.27</v>
      </c>
      <c r="E9" s="22">
        <v>1747.32</v>
      </c>
      <c r="F9" s="22">
        <v>3097.27</v>
      </c>
      <c r="G9" s="22">
        <v>4843.6899999999996</v>
      </c>
      <c r="H9" s="22">
        <v>7508.65</v>
      </c>
      <c r="I9" s="24">
        <v>16203.45</v>
      </c>
    </row>
    <row r="10" spans="1:10" s="17" customFormat="1" ht="30" customHeight="1">
      <c r="A10" s="25" t="s">
        <v>129</v>
      </c>
      <c r="B10" s="26">
        <v>1688</v>
      </c>
      <c r="C10" s="26">
        <v>251.94</v>
      </c>
      <c r="D10" s="26">
        <v>532.34</v>
      </c>
      <c r="E10" s="26">
        <v>1056.99</v>
      </c>
      <c r="F10" s="26">
        <v>2016.91</v>
      </c>
      <c r="G10" s="26">
        <v>3262.92</v>
      </c>
      <c r="H10" s="26">
        <v>5196.18</v>
      </c>
      <c r="I10" s="26">
        <v>10888.22</v>
      </c>
    </row>
    <row r="11" spans="1:10" s="17" customFormat="1" ht="25.7" customHeight="1">
      <c r="A11" s="25" t="s">
        <v>130</v>
      </c>
      <c r="B11" s="26">
        <v>1193.01</v>
      </c>
      <c r="C11" s="26">
        <v>171.5</v>
      </c>
      <c r="D11" s="26">
        <v>389.06</v>
      </c>
      <c r="E11" s="26">
        <v>790.88</v>
      </c>
      <c r="F11" s="26">
        <v>1486.6</v>
      </c>
      <c r="G11" s="26">
        <v>2323.1</v>
      </c>
      <c r="H11" s="26">
        <v>3677.09</v>
      </c>
      <c r="I11" s="26">
        <v>7051.3</v>
      </c>
    </row>
    <row r="12" spans="1:10" s="17" customFormat="1" ht="25.7" customHeight="1">
      <c r="A12" s="25" t="s">
        <v>131</v>
      </c>
      <c r="B12" s="26">
        <v>153.81</v>
      </c>
      <c r="C12" s="26">
        <v>1.18</v>
      </c>
      <c r="D12" s="26">
        <v>4.75</v>
      </c>
      <c r="E12" s="26">
        <v>25.48</v>
      </c>
      <c r="F12" s="26">
        <v>107.64</v>
      </c>
      <c r="G12" s="26">
        <v>260.48</v>
      </c>
      <c r="H12" s="26">
        <v>601.46</v>
      </c>
      <c r="I12" s="26">
        <v>2063.69</v>
      </c>
    </row>
    <row r="13" spans="1:10" s="17" customFormat="1" ht="25.7" customHeight="1">
      <c r="A13" s="25" t="s">
        <v>132</v>
      </c>
      <c r="B13" s="26">
        <v>341.19</v>
      </c>
      <c r="C13" s="26">
        <v>79.260000000000005</v>
      </c>
      <c r="D13" s="26">
        <v>138.53</v>
      </c>
      <c r="E13" s="26">
        <v>240.63</v>
      </c>
      <c r="F13" s="26">
        <v>422.67</v>
      </c>
      <c r="G13" s="26">
        <v>679.34</v>
      </c>
      <c r="H13" s="26">
        <v>917.63</v>
      </c>
      <c r="I13" s="26">
        <v>1773.23</v>
      </c>
    </row>
    <row r="14" spans="1:10" s="17" customFormat="1" ht="30" customHeight="1">
      <c r="A14" s="25" t="s">
        <v>133</v>
      </c>
      <c r="B14" s="26">
        <v>511.16</v>
      </c>
      <c r="C14" s="26">
        <v>145.11000000000001</v>
      </c>
      <c r="D14" s="26">
        <v>269.54000000000002</v>
      </c>
      <c r="E14" s="26">
        <v>354.75</v>
      </c>
      <c r="F14" s="26">
        <v>553.66999999999996</v>
      </c>
      <c r="G14" s="26">
        <v>823.87</v>
      </c>
      <c r="H14" s="26">
        <v>1262.31</v>
      </c>
      <c r="I14" s="26">
        <v>3109.7</v>
      </c>
    </row>
    <row r="15" spans="1:10" s="17" customFormat="1" ht="25.7" customHeight="1">
      <c r="A15" s="25" t="s">
        <v>134</v>
      </c>
      <c r="B15" s="26">
        <v>281.83</v>
      </c>
      <c r="C15" s="26">
        <v>84.6</v>
      </c>
      <c r="D15" s="26">
        <v>193.89</v>
      </c>
      <c r="E15" s="26">
        <v>256.86</v>
      </c>
      <c r="F15" s="26">
        <v>354.79</v>
      </c>
      <c r="G15" s="26">
        <v>486.72</v>
      </c>
      <c r="H15" s="26">
        <v>581.83000000000004</v>
      </c>
      <c r="I15" s="26">
        <v>903.71</v>
      </c>
    </row>
    <row r="16" spans="1:10" s="17" customFormat="1" ht="25.7" customHeight="1">
      <c r="A16" s="25" t="s">
        <v>135</v>
      </c>
      <c r="B16" s="26">
        <v>130.25</v>
      </c>
      <c r="C16" s="26">
        <v>5.12</v>
      </c>
      <c r="D16" s="26">
        <v>12.08</v>
      </c>
      <c r="E16" s="26">
        <v>35.1</v>
      </c>
      <c r="F16" s="26">
        <v>106.45</v>
      </c>
      <c r="G16" s="26">
        <v>195.9</v>
      </c>
      <c r="H16" s="26">
        <v>472</v>
      </c>
      <c r="I16" s="26">
        <v>1619.04</v>
      </c>
    </row>
    <row r="17" spans="1:9" s="17" customFormat="1" ht="25.7" customHeight="1">
      <c r="A17" s="25" t="s">
        <v>136</v>
      </c>
      <c r="B17" s="26">
        <v>19.670000000000002</v>
      </c>
      <c r="C17" s="26">
        <v>0.02</v>
      </c>
      <c r="D17" s="26">
        <v>0.57999999999999996</v>
      </c>
      <c r="E17" s="26">
        <v>0.83</v>
      </c>
      <c r="F17" s="26">
        <v>7.51</v>
      </c>
      <c r="G17" s="26">
        <v>35.78</v>
      </c>
      <c r="H17" s="26">
        <v>79.239999999999995</v>
      </c>
      <c r="I17" s="26">
        <v>300.88</v>
      </c>
    </row>
    <row r="18" spans="1:9" s="17" customFormat="1" ht="25.7" customHeight="1">
      <c r="A18" s="25" t="s">
        <v>137</v>
      </c>
      <c r="B18" s="26">
        <v>19.510000000000002</v>
      </c>
      <c r="C18" s="26">
        <v>34.19</v>
      </c>
      <c r="D18" s="26">
        <v>30.14</v>
      </c>
      <c r="E18" s="26">
        <v>17.98</v>
      </c>
      <c r="F18" s="26">
        <v>7.02</v>
      </c>
      <c r="G18" s="26">
        <v>4.7</v>
      </c>
      <c r="H18" s="26">
        <v>2.0299999999999998</v>
      </c>
      <c r="I18" s="26">
        <v>1.68</v>
      </c>
    </row>
    <row r="19" spans="1:9" s="17" customFormat="1" ht="25.7" customHeight="1">
      <c r="A19" s="25" t="s">
        <v>138</v>
      </c>
      <c r="B19" s="26">
        <v>40.659999999999997</v>
      </c>
      <c r="C19" s="26">
        <v>15.83</v>
      </c>
      <c r="D19" s="26">
        <v>21.71</v>
      </c>
      <c r="E19" s="26">
        <v>26.55</v>
      </c>
      <c r="F19" s="26">
        <v>49.88</v>
      </c>
      <c r="G19" s="26">
        <v>69.05</v>
      </c>
      <c r="H19" s="26">
        <v>65.12</v>
      </c>
      <c r="I19" s="26">
        <v>252.36</v>
      </c>
    </row>
    <row r="20" spans="1:9" s="17" customFormat="1" ht="25.7" customHeight="1">
      <c r="A20" s="25" t="s">
        <v>139</v>
      </c>
      <c r="B20" s="26">
        <v>19.25</v>
      </c>
      <c r="C20" s="26">
        <v>5.34</v>
      </c>
      <c r="D20" s="26">
        <v>11.14</v>
      </c>
      <c r="E20" s="26">
        <v>17.43</v>
      </c>
      <c r="F20" s="26">
        <v>28.02</v>
      </c>
      <c r="G20" s="26">
        <v>31.72</v>
      </c>
      <c r="H20" s="26">
        <v>62.08</v>
      </c>
      <c r="I20" s="26">
        <v>32.04</v>
      </c>
    </row>
    <row r="21" spans="1:9" s="17" customFormat="1" ht="30" customHeight="1">
      <c r="A21" s="25" t="s">
        <v>140</v>
      </c>
      <c r="B21" s="26">
        <v>46.53</v>
      </c>
      <c r="C21" s="26">
        <v>1.66</v>
      </c>
      <c r="D21" s="26">
        <v>5.0199999999999996</v>
      </c>
      <c r="E21" s="26">
        <v>13.58</v>
      </c>
      <c r="F21" s="26">
        <v>39.83</v>
      </c>
      <c r="G21" s="26">
        <v>88.77</v>
      </c>
      <c r="H21" s="26">
        <v>141.09</v>
      </c>
      <c r="I21" s="26">
        <v>562.62</v>
      </c>
    </row>
    <row r="22" spans="1:9" s="17" customFormat="1" ht="30" customHeight="1">
      <c r="A22" s="25" t="s">
        <v>141</v>
      </c>
      <c r="B22" s="26">
        <v>43.08</v>
      </c>
      <c r="C22" s="26">
        <v>1.44</v>
      </c>
      <c r="D22" s="26">
        <v>2.63</v>
      </c>
      <c r="E22" s="26">
        <v>9.89</v>
      </c>
      <c r="F22" s="26">
        <v>39.18</v>
      </c>
      <c r="G22" s="26">
        <v>96.27</v>
      </c>
      <c r="H22" s="26">
        <v>189.97</v>
      </c>
      <c r="I22" s="26">
        <v>434.7</v>
      </c>
    </row>
    <row r="23" spans="1:9" s="17" customFormat="1" ht="30" customHeight="1">
      <c r="A23" s="25" t="s">
        <v>142</v>
      </c>
      <c r="B23" s="26">
        <v>352.86</v>
      </c>
      <c r="C23" s="26">
        <v>140.16999999999999</v>
      </c>
      <c r="D23" s="26">
        <v>214.74</v>
      </c>
      <c r="E23" s="26">
        <v>312.11</v>
      </c>
      <c r="F23" s="26">
        <v>447.68</v>
      </c>
      <c r="G23" s="26">
        <v>571.85</v>
      </c>
      <c r="H23" s="26">
        <v>719.11</v>
      </c>
      <c r="I23" s="26">
        <v>1208.2</v>
      </c>
    </row>
    <row r="24" spans="1:9" s="21" customFormat="1" ht="33.6" customHeight="1">
      <c r="A24" s="23" t="s">
        <v>143</v>
      </c>
      <c r="B24" s="22">
        <v>121.83</v>
      </c>
      <c r="C24" s="22">
        <v>3.89</v>
      </c>
      <c r="D24" s="22">
        <v>9.7799999999999994</v>
      </c>
      <c r="E24" s="22">
        <v>25.22</v>
      </c>
      <c r="F24" s="22">
        <v>78.66</v>
      </c>
      <c r="G24" s="22">
        <v>174</v>
      </c>
      <c r="H24" s="22">
        <v>367.1</v>
      </c>
      <c r="I24" s="22">
        <v>1787.97</v>
      </c>
    </row>
    <row r="25" spans="1:9" s="21" customFormat="1" ht="33.6" customHeight="1">
      <c r="A25" s="23" t="s">
        <v>107</v>
      </c>
      <c r="B25" s="27">
        <v>57816604</v>
      </c>
      <c r="C25" s="27">
        <v>12503385</v>
      </c>
      <c r="D25" s="28">
        <v>10069184</v>
      </c>
      <c r="E25" s="28">
        <v>16972311</v>
      </c>
      <c r="F25" s="28">
        <v>8890463</v>
      </c>
      <c r="G25" s="28">
        <v>4181485</v>
      </c>
      <c r="H25" s="28">
        <v>2994837</v>
      </c>
      <c r="I25" s="28">
        <v>2204938</v>
      </c>
    </row>
    <row r="26" spans="1:9" s="21" customFormat="1" ht="33.6" customHeight="1">
      <c r="A26" s="23" t="s">
        <v>108</v>
      </c>
      <c r="B26" s="22">
        <v>3.3</v>
      </c>
      <c r="C26" s="22">
        <v>3.07</v>
      </c>
      <c r="D26" s="22">
        <v>3.18</v>
      </c>
      <c r="E26" s="22">
        <v>3.38</v>
      </c>
      <c r="F26" s="22">
        <v>3.42</v>
      </c>
      <c r="G26" s="22">
        <v>3.48</v>
      </c>
      <c r="H26" s="22">
        <v>3.47</v>
      </c>
      <c r="I26" s="22">
        <v>3.3</v>
      </c>
    </row>
    <row r="27" spans="1:9" s="17" customFormat="1" ht="6" customHeight="1">
      <c r="A27" s="29"/>
      <c r="B27" s="29" t="s">
        <v>144</v>
      </c>
      <c r="C27" s="29"/>
      <c r="D27" s="29"/>
      <c r="E27" s="29"/>
      <c r="F27" s="29"/>
      <c r="G27" s="29"/>
      <c r="H27" s="29"/>
      <c r="I27" s="29"/>
    </row>
    <row r="28" spans="1:9" s="17" customFormat="1" ht="15" customHeight="1">
      <c r="A28" s="17" t="s">
        <v>109</v>
      </c>
    </row>
    <row r="29" spans="1:9" s="30" customFormat="1" ht="13.15" customHeight="1">
      <c r="A29" s="17" t="s">
        <v>145</v>
      </c>
      <c r="B29" s="17"/>
      <c r="C29" s="17"/>
      <c r="D29" s="17"/>
      <c r="E29" s="17"/>
      <c r="F29" s="17"/>
      <c r="G29" s="17"/>
      <c r="H29" s="17"/>
      <c r="I29" s="17"/>
    </row>
    <row r="30" spans="1:9" s="30" customFormat="1" ht="10.9" customHeight="1">
      <c r="A30" s="17" t="s">
        <v>146</v>
      </c>
      <c r="B30" s="17"/>
      <c r="C30" s="17"/>
      <c r="D30" s="17"/>
      <c r="E30" s="17"/>
      <c r="F30" s="17"/>
      <c r="G30" s="17"/>
      <c r="H30" s="17"/>
      <c r="I30" s="17"/>
    </row>
    <row r="31" spans="1:9" s="30" customFormat="1" ht="10.9" customHeight="1">
      <c r="A31" s="17" t="s">
        <v>147</v>
      </c>
      <c r="B31" s="17"/>
      <c r="C31" s="17"/>
      <c r="D31" s="17"/>
      <c r="E31" s="17"/>
      <c r="F31" s="17"/>
      <c r="G31" s="17"/>
      <c r="H31" s="17"/>
      <c r="I31" s="17"/>
    </row>
    <row r="32" spans="1:9" s="30" customFormat="1" ht="10.9" customHeight="1">
      <c r="A32" s="17" t="s">
        <v>148</v>
      </c>
      <c r="B32" s="17"/>
      <c r="C32" s="17"/>
      <c r="D32" s="17"/>
      <c r="E32" s="17"/>
      <c r="F32" s="17"/>
      <c r="G32" s="17"/>
      <c r="H32" s="17"/>
      <c r="I32" s="17"/>
    </row>
    <row r="33" s="17" customFormat="1" ht="9"/>
    <row r="34" s="17" customFormat="1" ht="9"/>
    <row r="35" s="17" customFormat="1" ht="9"/>
    <row r="36" s="17" customFormat="1" ht="9"/>
    <row r="37" s="17" customFormat="1" ht="9"/>
    <row r="38" s="17" customFormat="1" ht="9"/>
    <row r="39" s="17" customFormat="1" ht="9"/>
    <row r="40" s="17" customFormat="1" ht="9"/>
    <row r="41" s="17" customFormat="1" ht="9"/>
    <row r="42" s="17" customFormat="1" ht="9"/>
  </sheetData>
  <mergeCells count="7">
    <mergeCell ref="B6:B7"/>
    <mergeCell ref="C6:I6"/>
    <mergeCell ref="A1:I1"/>
    <mergeCell ref="A2:I2"/>
    <mergeCell ref="A3:I3"/>
    <mergeCell ref="A5:A7"/>
    <mergeCell ref="B5:I5"/>
  </mergeCells>
  <printOptions horizontalCentered="1"/>
  <pageMargins left="0.59055118110236227" right="0.59055118110236227" top="1.1811023622047245" bottom="1.1811023622047245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C6DF-11D3-4E89-B7E1-11D687C5772B}">
  <dimension ref="A1:I20"/>
  <sheetViews>
    <sheetView tabSelected="1" topLeftCell="A5" workbookViewId="0">
      <selection activeCell="M18" sqref="M18"/>
    </sheetView>
  </sheetViews>
  <sheetFormatPr defaultRowHeight="15"/>
  <cols>
    <col min="1" max="1" width="26.140625" bestFit="1" customWidth="1"/>
    <col min="2" max="2" width="8" bestFit="1" customWidth="1"/>
  </cols>
  <sheetData>
    <row r="1" spans="1:9" s="2" customFormat="1" ht="15" customHeight="1">
      <c r="A1" s="35" t="s">
        <v>4</v>
      </c>
      <c r="B1" s="36" t="s">
        <v>5</v>
      </c>
      <c r="C1" s="36"/>
      <c r="D1" s="36"/>
      <c r="E1" s="36"/>
      <c r="F1" s="36"/>
      <c r="G1" s="36"/>
      <c r="H1" s="36"/>
      <c r="I1" s="37"/>
    </row>
    <row r="2" spans="1:9" s="2" customFormat="1" ht="15" customHeight="1">
      <c r="A2" s="35"/>
      <c r="B2" s="36" t="s">
        <v>6</v>
      </c>
      <c r="C2" s="36" t="s">
        <v>7</v>
      </c>
      <c r="D2" s="36"/>
      <c r="E2" s="36"/>
      <c r="F2" s="36"/>
      <c r="G2" s="36"/>
      <c r="H2" s="36"/>
      <c r="I2" s="37"/>
    </row>
    <row r="3" spans="1:9" s="2" customFormat="1" ht="45" customHeight="1">
      <c r="A3" s="35"/>
      <c r="B3" s="36"/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5" t="s">
        <v>14</v>
      </c>
    </row>
    <row r="5" spans="1:9" s="8" customFormat="1" ht="10.35" customHeight="1">
      <c r="A5" s="6" t="s">
        <v>16</v>
      </c>
      <c r="B5" s="7">
        <v>2419.77</v>
      </c>
      <c r="C5" s="7">
        <v>722.2</v>
      </c>
      <c r="D5" s="7">
        <v>1084.3399999999999</v>
      </c>
      <c r="E5" s="7">
        <v>1721.04</v>
      </c>
      <c r="F5" s="7">
        <v>2909.57</v>
      </c>
      <c r="G5" s="7">
        <v>4299.38</v>
      </c>
      <c r="H5" s="7">
        <v>6623.38</v>
      </c>
      <c r="I5" s="7">
        <v>12274.04</v>
      </c>
    </row>
    <row r="6" spans="1:9" s="8" customFormat="1" ht="10.9" customHeight="1">
      <c r="A6" s="6" t="s">
        <v>94</v>
      </c>
      <c r="B6" s="7">
        <v>285</v>
      </c>
      <c r="C6" s="7">
        <v>22.96</v>
      </c>
      <c r="D6" s="7">
        <v>49.11</v>
      </c>
      <c r="E6" s="7">
        <v>115.25</v>
      </c>
      <c r="F6" s="7">
        <v>271.54000000000002</v>
      </c>
      <c r="G6" s="7">
        <v>515.71</v>
      </c>
      <c r="H6" s="7">
        <v>997.08</v>
      </c>
      <c r="I6" s="7">
        <v>2804.47</v>
      </c>
    </row>
    <row r="7" spans="1:9" s="8" customFormat="1" ht="10.9" customHeight="1">
      <c r="A7" s="6" t="s">
        <v>95</v>
      </c>
      <c r="B7" s="7">
        <v>121.7</v>
      </c>
      <c r="C7" s="7">
        <v>10.31</v>
      </c>
      <c r="D7" s="7">
        <v>16.149999999999999</v>
      </c>
      <c r="E7" s="7">
        <v>37.61</v>
      </c>
      <c r="F7" s="7">
        <v>93.67</v>
      </c>
      <c r="G7" s="7">
        <v>203.36</v>
      </c>
      <c r="H7" s="7">
        <v>440.53</v>
      </c>
      <c r="I7" s="7">
        <v>1407.82</v>
      </c>
    </row>
    <row r="8" spans="1:9" s="8" customFormat="1" ht="10.9" customHeight="1">
      <c r="A8" s="6" t="s">
        <v>96</v>
      </c>
      <c r="B8" s="7">
        <v>80.11</v>
      </c>
      <c r="C8" s="7">
        <v>5.67</v>
      </c>
      <c r="D8" s="7">
        <v>17.62</v>
      </c>
      <c r="E8" s="7">
        <v>42.38</v>
      </c>
      <c r="F8" s="7">
        <v>98.01</v>
      </c>
      <c r="G8" s="7">
        <v>166.84</v>
      </c>
      <c r="H8" s="7">
        <v>272.36</v>
      </c>
      <c r="I8" s="7">
        <v>580.20000000000005</v>
      </c>
    </row>
    <row r="9" spans="1:9" s="8" customFormat="1" ht="10.9" customHeight="1">
      <c r="A9" s="6" t="s">
        <v>97</v>
      </c>
      <c r="B9" s="7">
        <v>9.94</v>
      </c>
      <c r="C9" s="7">
        <v>0.78</v>
      </c>
      <c r="D9" s="7">
        <v>2.02</v>
      </c>
      <c r="E9" s="7">
        <v>5.72</v>
      </c>
      <c r="F9" s="7">
        <v>14.54</v>
      </c>
      <c r="G9" s="7">
        <v>20.46</v>
      </c>
      <c r="H9" s="7">
        <v>38.65</v>
      </c>
      <c r="I9" s="7">
        <v>53.21</v>
      </c>
    </row>
    <row r="10" spans="1:9" s="8" customFormat="1" ht="10.9" customHeight="1">
      <c r="A10" s="6" t="s">
        <v>98</v>
      </c>
      <c r="B10" s="7">
        <v>30.1</v>
      </c>
      <c r="C10" s="7">
        <v>4.82</v>
      </c>
      <c r="D10" s="7">
        <v>9.1199999999999992</v>
      </c>
      <c r="E10" s="7">
        <v>19.09</v>
      </c>
      <c r="F10" s="7">
        <v>36.93</v>
      </c>
      <c r="G10" s="7">
        <v>62.9</v>
      </c>
      <c r="H10" s="7">
        <v>98.48</v>
      </c>
      <c r="I10" s="7">
        <v>171.34</v>
      </c>
    </row>
    <row r="11" spans="1:9" s="8" customFormat="1" ht="10.9" customHeight="1">
      <c r="A11" s="6" t="s">
        <v>99</v>
      </c>
      <c r="B11" s="7">
        <v>4.84</v>
      </c>
      <c r="C11" s="7">
        <v>0.04</v>
      </c>
      <c r="D11" s="7">
        <v>0.05</v>
      </c>
      <c r="E11" s="7">
        <v>0.65</v>
      </c>
      <c r="F11" s="7">
        <v>3.17</v>
      </c>
      <c r="G11" s="7">
        <v>7.06</v>
      </c>
      <c r="H11" s="7">
        <v>12.92</v>
      </c>
      <c r="I11" s="7">
        <v>77.650000000000006</v>
      </c>
    </row>
    <row r="12" spans="1:9" s="8" customFormat="1" ht="10.9" customHeight="1">
      <c r="A12" s="6" t="s">
        <v>51</v>
      </c>
      <c r="B12" s="7">
        <v>38.31</v>
      </c>
      <c r="C12" s="7">
        <v>1.34</v>
      </c>
      <c r="D12" s="7">
        <v>4.1500000000000004</v>
      </c>
      <c r="E12" s="7">
        <v>9.81</v>
      </c>
      <c r="F12" s="7">
        <v>25.22</v>
      </c>
      <c r="G12" s="7">
        <v>55.08</v>
      </c>
      <c r="H12" s="7">
        <v>134.13999999999999</v>
      </c>
      <c r="I12" s="7">
        <v>514.26</v>
      </c>
    </row>
    <row r="14" spans="1:9">
      <c r="A14" s="6" t="s">
        <v>149</v>
      </c>
      <c r="B14" s="32">
        <f>B5-B9</f>
        <v>2409.83</v>
      </c>
      <c r="C14" s="32">
        <f t="shared" ref="C14:I14" si="0">C5-C9</f>
        <v>721.42000000000007</v>
      </c>
      <c r="D14" s="32">
        <f t="shared" si="0"/>
        <v>1082.32</v>
      </c>
      <c r="E14" s="32">
        <f t="shared" si="0"/>
        <v>1715.32</v>
      </c>
      <c r="F14" s="32">
        <f t="shared" si="0"/>
        <v>2895.03</v>
      </c>
      <c r="G14" s="32">
        <f t="shared" si="0"/>
        <v>4278.92</v>
      </c>
      <c r="H14" s="32">
        <f t="shared" si="0"/>
        <v>6584.7300000000005</v>
      </c>
      <c r="I14" s="32">
        <f t="shared" si="0"/>
        <v>12220.830000000002</v>
      </c>
    </row>
    <row r="16" spans="1:9" s="21" customFormat="1" ht="33.6" customHeight="1">
      <c r="A16" s="23" t="s">
        <v>128</v>
      </c>
      <c r="B16" s="22">
        <v>2641.63</v>
      </c>
      <c r="C16" s="22">
        <v>540.32000000000005</v>
      </c>
      <c r="D16" s="22">
        <v>1024.27</v>
      </c>
      <c r="E16" s="22">
        <v>1747.32</v>
      </c>
      <c r="F16" s="22">
        <v>3097.27</v>
      </c>
      <c r="G16" s="22">
        <v>4843.6899999999996</v>
      </c>
      <c r="H16" s="22">
        <v>7508.65</v>
      </c>
      <c r="I16" s="24">
        <v>16203.45</v>
      </c>
    </row>
    <row r="18" spans="2:9">
      <c r="B18" s="33">
        <f>B14/B16</f>
        <v>0.9122511479654607</v>
      </c>
      <c r="C18" s="33">
        <f t="shared" ref="C18:I18" si="1">C14/C16</f>
        <v>1.3351717500740301</v>
      </c>
      <c r="D18" s="33">
        <f t="shared" si="1"/>
        <v>1.0566745096507757</v>
      </c>
      <c r="E18" s="33">
        <f t="shared" si="1"/>
        <v>0.98168623949820299</v>
      </c>
      <c r="F18" s="33">
        <f t="shared" si="1"/>
        <v>0.9347037875290175</v>
      </c>
      <c r="G18" s="33">
        <f t="shared" si="1"/>
        <v>0.88340087825604041</v>
      </c>
      <c r="H18" s="33">
        <f t="shared" si="1"/>
        <v>0.87695258135616927</v>
      </c>
      <c r="I18" s="33">
        <f t="shared" si="1"/>
        <v>0.75421160308452839</v>
      </c>
    </row>
    <row r="20" spans="2:9">
      <c r="B20" s="33">
        <f>B9/B5</f>
        <v>4.1078284299747494E-3</v>
      </c>
      <c r="C20" s="33">
        <f t="shared" ref="C20:I20" si="2">C9/C5</f>
        <v>1.0800332317917475E-3</v>
      </c>
      <c r="D20" s="33">
        <f t="shared" si="2"/>
        <v>1.8628843351716252E-3</v>
      </c>
      <c r="E20" s="33">
        <f t="shared" si="2"/>
        <v>3.3235717937990981E-3</v>
      </c>
      <c r="F20" s="33">
        <f t="shared" si="2"/>
        <v>4.9973020068257504E-3</v>
      </c>
      <c r="G20" s="33">
        <f t="shared" si="2"/>
        <v>4.758825691146165E-3</v>
      </c>
      <c r="H20" s="33">
        <f t="shared" si="2"/>
        <v>5.835389181958456E-3</v>
      </c>
      <c r="I20" s="33">
        <f t="shared" si="2"/>
        <v>4.3351659274370943E-3</v>
      </c>
    </row>
  </sheetData>
  <mergeCells count="4">
    <mergeCell ref="A1:A3"/>
    <mergeCell ref="B1:I1"/>
    <mergeCell ref="B2:B3"/>
    <mergeCell ref="C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DESPESAS 1.1.1</vt:lpstr>
      <vt:lpstr>RENDIMENTO Tabela2.1.1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2025-04-29T18:11:30Z</dcterms:created>
  <dcterms:modified xsi:type="dcterms:W3CDTF">2025-05-14T19:15:07Z</dcterms:modified>
</cp:coreProperties>
</file>