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Cálculo Comprometimento de renda/Calculo_R/BCB_Comprometimento/Input/"/>
    </mc:Choice>
  </mc:AlternateContent>
  <xr:revisionPtr revIDLastSave="139" documentId="8_{CB614A73-37DA-489D-8CA2-44AACBE3FC23}" xr6:coauthVersionLast="47" xr6:coauthVersionMax="47" xr10:uidLastSave="{F65F3C4E-521D-4637-890B-4ED973721E7D}"/>
  <bookViews>
    <workbookView xWindow="-120" yWindow="-120" windowWidth="29040" windowHeight="15720" xr2:uid="{BACF8413-E914-4154-8F16-E0401BC29678}"/>
  </bookViews>
  <sheets>
    <sheet name="STP-2025031815562734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2" l="1"/>
  <c r="F162" i="2"/>
  <c r="F163" i="2"/>
  <c r="F164" i="2"/>
  <c r="C171" i="2"/>
  <c r="C172" i="2"/>
  <c r="C173" i="2"/>
  <c r="C170" i="2"/>
  <c r="C166" i="2"/>
  <c r="C167" i="2"/>
  <c r="C168" i="2"/>
  <c r="C169" i="2"/>
  <c r="D116" i="2"/>
  <c r="C116" i="2"/>
  <c r="E1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8" i="2"/>
  <c r="E119" i="2"/>
  <c r="E120" i="2"/>
  <c r="E121" i="2"/>
  <c r="E122" i="2"/>
  <c r="E123" i="2"/>
  <c r="E124" i="2"/>
  <c r="E125" i="2"/>
  <c r="E126" i="2"/>
  <c r="E127" i="2"/>
  <c r="E128" i="2"/>
  <c r="E131" i="2"/>
  <c r="E13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3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 s="1"/>
  <c r="F132" i="2" s="1"/>
  <c r="F131" i="2" s="1"/>
  <c r="F130" i="2" s="1"/>
  <c r="D129" i="2"/>
  <c r="E129" i="2" s="1"/>
  <c r="E116" i="2"/>
  <c r="E130" i="2" l="1"/>
  <c r="F129" i="2" s="1"/>
  <c r="F128" i="2" s="1"/>
  <c r="E117" i="2"/>
  <c r="F127" i="2" l="1"/>
  <c r="F126" i="2" s="1"/>
  <c r="F125" i="2" s="1"/>
  <c r="F124" i="2" s="1"/>
  <c r="F123" i="2" s="1"/>
  <c r="F122" i="2" s="1"/>
  <c r="F121" i="2" s="1"/>
  <c r="F120" i="2" s="1"/>
  <c r="F119" i="2" s="1"/>
  <c r="F118" i="2" s="1"/>
  <c r="F117" i="2" s="1"/>
  <c r="F116" i="2" s="1"/>
  <c r="F115" i="2" s="1"/>
  <c r="F114" i="2" s="1"/>
  <c r="F113" i="2" s="1"/>
  <c r="F112" i="2" s="1"/>
  <c r="F111" i="2" s="1"/>
  <c r="F110" i="2" s="1"/>
  <c r="F109" i="2" s="1"/>
  <c r="F108" i="2" s="1"/>
  <c r="F107" i="2" s="1"/>
  <c r="F106" i="2" s="1"/>
  <c r="F105" i="2" s="1"/>
  <c r="F104" i="2" s="1"/>
  <c r="F103" i="2" s="1"/>
  <c r="F102" i="2" s="1"/>
  <c r="F101" i="2" s="1"/>
  <c r="F100" i="2" s="1"/>
  <c r="F99" i="2" s="1"/>
  <c r="F98" i="2" s="1"/>
  <c r="F97" i="2" s="1"/>
  <c r="F96" i="2" s="1"/>
  <c r="F95" i="2" s="1"/>
  <c r="F94" i="2" s="1"/>
  <c r="F93" i="2" s="1"/>
  <c r="F92" i="2" s="1"/>
  <c r="F91" i="2" s="1"/>
  <c r="F90" i="2" s="1"/>
  <c r="F89" i="2" s="1"/>
  <c r="F88" i="2" s="1"/>
  <c r="F87" i="2" s="1"/>
  <c r="F86" i="2" s="1"/>
  <c r="F85" i="2" s="1"/>
  <c r="F84" i="2" s="1"/>
  <c r="F83" i="2" s="1"/>
  <c r="F82" i="2" s="1"/>
  <c r="F81" i="2" s="1"/>
  <c r="F80" i="2" s="1"/>
  <c r="F79" i="2" s="1"/>
  <c r="F78" i="2" s="1"/>
  <c r="F77" i="2" s="1"/>
  <c r="F76" i="2" s="1"/>
  <c r="F75" i="2" s="1"/>
  <c r="F74" i="2" s="1"/>
  <c r="F73" i="2" s="1"/>
  <c r="F72" i="2" s="1"/>
  <c r="F71" i="2" s="1"/>
  <c r="F70" i="2" s="1"/>
  <c r="F69" i="2" s="1"/>
  <c r="F68" i="2" s="1"/>
  <c r="F67" i="2" s="1"/>
  <c r="F66" i="2" s="1"/>
  <c r="F65" i="2" s="1"/>
  <c r="F64" i="2" s="1"/>
  <c r="F63" i="2" s="1"/>
  <c r="F62" i="2" s="1"/>
  <c r="F61" i="2" s="1"/>
  <c r="F60" i="2" s="1"/>
  <c r="F59" i="2" s="1"/>
  <c r="F58" i="2" s="1"/>
  <c r="F57" i="2" s="1"/>
  <c r="F56" i="2" s="1"/>
  <c r="F55" i="2" s="1"/>
  <c r="F54" i="2" s="1"/>
  <c r="F53" i="2" s="1"/>
  <c r="F52" i="2" s="1"/>
  <c r="F51" i="2" s="1"/>
  <c r="F50" i="2" s="1"/>
  <c r="F49" i="2" s="1"/>
  <c r="F48" i="2" s="1"/>
  <c r="F47" i="2" s="1"/>
  <c r="F46" i="2" s="1"/>
  <c r="F45" i="2" s="1"/>
  <c r="F44" i="2" s="1"/>
  <c r="F43" i="2" s="1"/>
  <c r="F42" i="2" s="1"/>
  <c r="F41" i="2" s="1"/>
  <c r="F40" i="2" s="1"/>
  <c r="F39" i="2" s="1"/>
  <c r="F38" i="2" s="1"/>
  <c r="F37" i="2" s="1"/>
  <c r="F36" i="2" s="1"/>
  <c r="F35" i="2" s="1"/>
  <c r="F34" i="2" s="1"/>
  <c r="F33" i="2" s="1"/>
  <c r="F32" i="2" s="1"/>
  <c r="F31" i="2" s="1"/>
  <c r="F30" i="2" s="1"/>
  <c r="F29" i="2" s="1"/>
  <c r="F28" i="2" s="1"/>
  <c r="F27" i="2" s="1"/>
  <c r="F26" i="2" s="1"/>
  <c r="F25" i="2" s="1"/>
  <c r="F24" i="2" s="1"/>
  <c r="F23" i="2" s="1"/>
  <c r="F22" i="2" s="1"/>
  <c r="F21" i="2" s="1"/>
  <c r="F20" i="2" s="1"/>
  <c r="F19" i="2" s="1"/>
  <c r="F18" i="2" s="1"/>
  <c r="F17" i="2" s="1"/>
  <c r="F16" i="2" s="1"/>
  <c r="F15" i="2" s="1"/>
  <c r="F14" i="2" s="1"/>
  <c r="F13" i="2" s="1"/>
  <c r="F12" i="2" s="1"/>
  <c r="F11" i="2" s="1"/>
  <c r="F10" i="2" s="1"/>
  <c r="F9" i="2" s="1"/>
  <c r="F8" i="2" s="1"/>
  <c r="F7" i="2" s="1"/>
  <c r="F6" i="2" s="1"/>
  <c r="F5" i="2" s="1"/>
  <c r="F4" i="2" s="1"/>
  <c r="F3" i="2" s="1"/>
  <c r="F2" i="2" s="1"/>
</calcChain>
</file>

<file path=xl/sharedStrings.xml><?xml version="1.0" encoding="utf-8"?>
<sst xmlns="http://schemas.openxmlformats.org/spreadsheetml/2006/main" count="6" uniqueCount="6">
  <si>
    <t>Data</t>
  </si>
  <si>
    <t>variação</t>
  </si>
  <si>
    <t>variação_interpolada</t>
  </si>
  <si>
    <t>serie_completa</t>
  </si>
  <si>
    <t>serie_interpolada</t>
  </si>
  <si>
    <t>bcb_20963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</si>
</sst>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7" fontId="0" fillId="0" borderId="0" xfId="0" applyNumberFormat="1"/>
    <xf numFmtId="10" fontId="0" fillId="0" borderId="0" xfId="2" applyNumberFormat="1" applyFont="1"/>
    <xf numFmtId="43" fontId="0" fillId="0" borderId="0" xfId="1" applyFont="1"/>
    <xf numFmtId="0" fontId="0" fillId="0" borderId="10" xfId="0" applyBorder="1"/>
    <xf numFmtId="43" fontId="0" fillId="0" borderId="0" xfId="1" applyFont="1" applyBorder="1"/>
    <xf numFmtId="43" fontId="0" fillId="0" borderId="11" xfId="1" applyFont="1" applyBorder="1"/>
    <xf numFmtId="43" fontId="0" fillId="0" borderId="12" xfId="1" applyFont="1" applyBorder="1"/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'STP-20250318155627342'!$B$1</c:f>
              <c:strCache>
                <c:ptCount val="1"/>
                <c:pt idx="0">
                  <c:v>bcb_20963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'STP-20250318155627342'!$A$2:$A$173</c:f>
              <c:numCache>
                <c:formatCode>mmm\-yy</c:formatCode>
                <c:ptCount val="172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  <c:pt idx="37">
                  <c:v>41730</c:v>
                </c:pt>
                <c:pt idx="38">
                  <c:v>41760</c:v>
                </c:pt>
                <c:pt idx="39">
                  <c:v>41791</c:v>
                </c:pt>
                <c:pt idx="40">
                  <c:v>41821</c:v>
                </c:pt>
                <c:pt idx="41">
                  <c:v>41852</c:v>
                </c:pt>
                <c:pt idx="42">
                  <c:v>41883</c:v>
                </c:pt>
                <c:pt idx="43">
                  <c:v>41913</c:v>
                </c:pt>
                <c:pt idx="44">
                  <c:v>41944</c:v>
                </c:pt>
                <c:pt idx="45">
                  <c:v>41974</c:v>
                </c:pt>
                <c:pt idx="46">
                  <c:v>42005</c:v>
                </c:pt>
                <c:pt idx="47">
                  <c:v>42036</c:v>
                </c:pt>
                <c:pt idx="48">
                  <c:v>42064</c:v>
                </c:pt>
                <c:pt idx="49">
                  <c:v>42095</c:v>
                </c:pt>
                <c:pt idx="50">
                  <c:v>42125</c:v>
                </c:pt>
                <c:pt idx="51">
                  <c:v>42156</c:v>
                </c:pt>
                <c:pt idx="52">
                  <c:v>42186</c:v>
                </c:pt>
                <c:pt idx="53">
                  <c:v>42217</c:v>
                </c:pt>
                <c:pt idx="54">
                  <c:v>42248</c:v>
                </c:pt>
                <c:pt idx="55">
                  <c:v>42278</c:v>
                </c:pt>
                <c:pt idx="56">
                  <c:v>42309</c:v>
                </c:pt>
                <c:pt idx="57">
                  <c:v>42339</c:v>
                </c:pt>
                <c:pt idx="58">
                  <c:v>42370</c:v>
                </c:pt>
                <c:pt idx="59">
                  <c:v>42401</c:v>
                </c:pt>
                <c:pt idx="60">
                  <c:v>42430</c:v>
                </c:pt>
                <c:pt idx="61">
                  <c:v>42461</c:v>
                </c:pt>
                <c:pt idx="62">
                  <c:v>42491</c:v>
                </c:pt>
                <c:pt idx="63">
                  <c:v>42522</c:v>
                </c:pt>
                <c:pt idx="64">
                  <c:v>42552</c:v>
                </c:pt>
                <c:pt idx="65">
                  <c:v>42583</c:v>
                </c:pt>
                <c:pt idx="66">
                  <c:v>42614</c:v>
                </c:pt>
                <c:pt idx="67">
                  <c:v>42644</c:v>
                </c:pt>
                <c:pt idx="68">
                  <c:v>42675</c:v>
                </c:pt>
                <c:pt idx="69">
                  <c:v>42705</c:v>
                </c:pt>
                <c:pt idx="70">
                  <c:v>42736</c:v>
                </c:pt>
                <c:pt idx="71">
                  <c:v>42767</c:v>
                </c:pt>
                <c:pt idx="72">
                  <c:v>42795</c:v>
                </c:pt>
                <c:pt idx="73">
                  <c:v>42826</c:v>
                </c:pt>
                <c:pt idx="74">
                  <c:v>42856</c:v>
                </c:pt>
                <c:pt idx="75">
                  <c:v>42887</c:v>
                </c:pt>
                <c:pt idx="76">
                  <c:v>42917</c:v>
                </c:pt>
                <c:pt idx="77">
                  <c:v>42948</c:v>
                </c:pt>
                <c:pt idx="78">
                  <c:v>42979</c:v>
                </c:pt>
                <c:pt idx="79">
                  <c:v>43009</c:v>
                </c:pt>
                <c:pt idx="80">
                  <c:v>43040</c:v>
                </c:pt>
                <c:pt idx="81">
                  <c:v>43070</c:v>
                </c:pt>
                <c:pt idx="82">
                  <c:v>43101</c:v>
                </c:pt>
                <c:pt idx="83">
                  <c:v>43132</c:v>
                </c:pt>
                <c:pt idx="84">
                  <c:v>43160</c:v>
                </c:pt>
                <c:pt idx="85">
                  <c:v>43191</c:v>
                </c:pt>
                <c:pt idx="86">
                  <c:v>43221</c:v>
                </c:pt>
                <c:pt idx="87">
                  <c:v>43252</c:v>
                </c:pt>
                <c:pt idx="88">
                  <c:v>43282</c:v>
                </c:pt>
                <c:pt idx="89">
                  <c:v>43313</c:v>
                </c:pt>
                <c:pt idx="90">
                  <c:v>43344</c:v>
                </c:pt>
                <c:pt idx="91">
                  <c:v>43374</c:v>
                </c:pt>
                <c:pt idx="92">
                  <c:v>43405</c:v>
                </c:pt>
                <c:pt idx="93">
                  <c:v>43435</c:v>
                </c:pt>
                <c:pt idx="94">
                  <c:v>43466</c:v>
                </c:pt>
                <c:pt idx="95">
                  <c:v>43497</c:v>
                </c:pt>
                <c:pt idx="96">
                  <c:v>43525</c:v>
                </c:pt>
                <c:pt idx="97">
                  <c:v>43556</c:v>
                </c:pt>
                <c:pt idx="98">
                  <c:v>43586</c:v>
                </c:pt>
                <c:pt idx="99">
                  <c:v>43617</c:v>
                </c:pt>
                <c:pt idx="100">
                  <c:v>43647</c:v>
                </c:pt>
                <c:pt idx="101">
                  <c:v>43678</c:v>
                </c:pt>
                <c:pt idx="102">
                  <c:v>43709</c:v>
                </c:pt>
                <c:pt idx="103">
                  <c:v>43739</c:v>
                </c:pt>
                <c:pt idx="104">
                  <c:v>43770</c:v>
                </c:pt>
                <c:pt idx="105">
                  <c:v>43800</c:v>
                </c:pt>
                <c:pt idx="106">
                  <c:v>43831</c:v>
                </c:pt>
                <c:pt idx="107">
                  <c:v>43862</c:v>
                </c:pt>
                <c:pt idx="108">
                  <c:v>43891</c:v>
                </c:pt>
                <c:pt idx="109">
                  <c:v>43922</c:v>
                </c:pt>
                <c:pt idx="110">
                  <c:v>43952</c:v>
                </c:pt>
                <c:pt idx="111">
                  <c:v>43983</c:v>
                </c:pt>
                <c:pt idx="112">
                  <c:v>44013</c:v>
                </c:pt>
                <c:pt idx="113">
                  <c:v>44044</c:v>
                </c:pt>
                <c:pt idx="114">
                  <c:v>44075</c:v>
                </c:pt>
                <c:pt idx="115">
                  <c:v>44105</c:v>
                </c:pt>
                <c:pt idx="116">
                  <c:v>44136</c:v>
                </c:pt>
                <c:pt idx="117">
                  <c:v>44166</c:v>
                </c:pt>
                <c:pt idx="118">
                  <c:v>44197</c:v>
                </c:pt>
                <c:pt idx="119">
                  <c:v>44228</c:v>
                </c:pt>
                <c:pt idx="120">
                  <c:v>44256</c:v>
                </c:pt>
                <c:pt idx="121">
                  <c:v>44287</c:v>
                </c:pt>
                <c:pt idx="122">
                  <c:v>44317</c:v>
                </c:pt>
                <c:pt idx="123">
                  <c:v>44348</c:v>
                </c:pt>
                <c:pt idx="124">
                  <c:v>44378</c:v>
                </c:pt>
                <c:pt idx="125">
                  <c:v>44409</c:v>
                </c:pt>
                <c:pt idx="126">
                  <c:v>44440</c:v>
                </c:pt>
                <c:pt idx="127">
                  <c:v>44470</c:v>
                </c:pt>
                <c:pt idx="128">
                  <c:v>44501</c:v>
                </c:pt>
                <c:pt idx="129">
                  <c:v>44531</c:v>
                </c:pt>
                <c:pt idx="130">
                  <c:v>44562</c:v>
                </c:pt>
                <c:pt idx="131">
                  <c:v>44593</c:v>
                </c:pt>
                <c:pt idx="132">
                  <c:v>44621</c:v>
                </c:pt>
                <c:pt idx="133">
                  <c:v>44652</c:v>
                </c:pt>
                <c:pt idx="134">
                  <c:v>44682</c:v>
                </c:pt>
                <c:pt idx="135">
                  <c:v>44713</c:v>
                </c:pt>
                <c:pt idx="136">
                  <c:v>44743</c:v>
                </c:pt>
                <c:pt idx="137">
                  <c:v>44774</c:v>
                </c:pt>
                <c:pt idx="138">
                  <c:v>44805</c:v>
                </c:pt>
                <c:pt idx="139">
                  <c:v>44835</c:v>
                </c:pt>
                <c:pt idx="140">
                  <c:v>44866</c:v>
                </c:pt>
                <c:pt idx="141">
                  <c:v>44896</c:v>
                </c:pt>
                <c:pt idx="142">
                  <c:v>44927</c:v>
                </c:pt>
                <c:pt idx="143">
                  <c:v>44958</c:v>
                </c:pt>
                <c:pt idx="144">
                  <c:v>44986</c:v>
                </c:pt>
                <c:pt idx="145">
                  <c:v>45017</c:v>
                </c:pt>
                <c:pt idx="146">
                  <c:v>45047</c:v>
                </c:pt>
                <c:pt idx="147">
                  <c:v>45078</c:v>
                </c:pt>
                <c:pt idx="148">
                  <c:v>45108</c:v>
                </c:pt>
                <c:pt idx="149">
                  <c:v>45139</c:v>
                </c:pt>
                <c:pt idx="150">
                  <c:v>45170</c:v>
                </c:pt>
                <c:pt idx="151">
                  <c:v>45200</c:v>
                </c:pt>
                <c:pt idx="152">
                  <c:v>45231</c:v>
                </c:pt>
                <c:pt idx="153">
                  <c:v>45261</c:v>
                </c:pt>
                <c:pt idx="154">
                  <c:v>45292</c:v>
                </c:pt>
                <c:pt idx="155">
                  <c:v>45323</c:v>
                </c:pt>
                <c:pt idx="156">
                  <c:v>45352</c:v>
                </c:pt>
                <c:pt idx="157">
                  <c:v>45383</c:v>
                </c:pt>
                <c:pt idx="158">
                  <c:v>45413</c:v>
                </c:pt>
                <c:pt idx="159">
                  <c:v>45444</c:v>
                </c:pt>
                <c:pt idx="160">
                  <c:v>45474</c:v>
                </c:pt>
                <c:pt idx="161">
                  <c:v>45505</c:v>
                </c:pt>
                <c:pt idx="162">
                  <c:v>45536</c:v>
                </c:pt>
                <c:pt idx="163">
                  <c:v>45566</c:v>
                </c:pt>
                <c:pt idx="164">
                  <c:v>45597</c:v>
                </c:pt>
                <c:pt idx="165">
                  <c:v>45627</c:v>
                </c:pt>
                <c:pt idx="166">
                  <c:v>45658</c:v>
                </c:pt>
                <c:pt idx="167">
                  <c:v>45689</c:v>
                </c:pt>
                <c:pt idx="168">
                  <c:v>45717</c:v>
                </c:pt>
                <c:pt idx="169">
                  <c:v>45748</c:v>
                </c:pt>
                <c:pt idx="170">
                  <c:v>45778</c:v>
                </c:pt>
                <c:pt idx="171">
                  <c:v>45809</c:v>
                </c:pt>
              </c:numCache>
            </c:numRef>
          </c:cat>
          <c:val>
            <c:numRef>
              <c:f>'STP-20250318155627342'!$B$2:$B$173</c:f>
              <c:numCache>
                <c:formatCode>General</c:formatCode>
                <c:ptCount val="172"/>
                <c:pt idx="0">
                  <c:v>19.02</c:v>
                </c:pt>
                <c:pt idx="1">
                  <c:v>19</c:v>
                </c:pt>
                <c:pt idx="2">
                  <c:v>18.86</c:v>
                </c:pt>
                <c:pt idx="3">
                  <c:v>18.87</c:v>
                </c:pt>
                <c:pt idx="4">
                  <c:v>18.82</c:v>
                </c:pt>
                <c:pt idx="5">
                  <c:v>18.8</c:v>
                </c:pt>
                <c:pt idx="6">
                  <c:v>18.75</c:v>
                </c:pt>
                <c:pt idx="7">
                  <c:v>18.62</c:v>
                </c:pt>
                <c:pt idx="8">
                  <c:v>18.54</c:v>
                </c:pt>
                <c:pt idx="9">
                  <c:v>18.489999999999998</c:v>
                </c:pt>
                <c:pt idx="10">
                  <c:v>18.36</c:v>
                </c:pt>
                <c:pt idx="11">
                  <c:v>18.260000000000002</c:v>
                </c:pt>
                <c:pt idx="12">
                  <c:v>18.149999999999999</c:v>
                </c:pt>
                <c:pt idx="13">
                  <c:v>18.010000000000002</c:v>
                </c:pt>
                <c:pt idx="14">
                  <c:v>17.899999999999999</c:v>
                </c:pt>
                <c:pt idx="15">
                  <c:v>17.8</c:v>
                </c:pt>
                <c:pt idx="16">
                  <c:v>17.690000000000001</c:v>
                </c:pt>
                <c:pt idx="17">
                  <c:v>17.600000000000001</c:v>
                </c:pt>
                <c:pt idx="18">
                  <c:v>17.440000000000001</c:v>
                </c:pt>
                <c:pt idx="19">
                  <c:v>17.329999999999998</c:v>
                </c:pt>
                <c:pt idx="20">
                  <c:v>17.25</c:v>
                </c:pt>
                <c:pt idx="21">
                  <c:v>17.18</c:v>
                </c:pt>
                <c:pt idx="22">
                  <c:v>17.04</c:v>
                </c:pt>
                <c:pt idx="23">
                  <c:v>17.18</c:v>
                </c:pt>
                <c:pt idx="24">
                  <c:v>17.03</c:v>
                </c:pt>
                <c:pt idx="25">
                  <c:v>16.84</c:v>
                </c:pt>
                <c:pt idx="26">
                  <c:v>16.75</c:v>
                </c:pt>
                <c:pt idx="27">
                  <c:v>16.64</c:v>
                </c:pt>
                <c:pt idx="28">
                  <c:v>16.54</c:v>
                </c:pt>
                <c:pt idx="29">
                  <c:v>16.350000000000001</c:v>
                </c:pt>
                <c:pt idx="30">
                  <c:v>16.260000000000002</c:v>
                </c:pt>
                <c:pt idx="31">
                  <c:v>16.14</c:v>
                </c:pt>
                <c:pt idx="32">
                  <c:v>16.100000000000001</c:v>
                </c:pt>
                <c:pt idx="33">
                  <c:v>15.95</c:v>
                </c:pt>
                <c:pt idx="34">
                  <c:v>15.86</c:v>
                </c:pt>
                <c:pt idx="35">
                  <c:v>15.81</c:v>
                </c:pt>
                <c:pt idx="36">
                  <c:v>15.66</c:v>
                </c:pt>
                <c:pt idx="37">
                  <c:v>15.59</c:v>
                </c:pt>
                <c:pt idx="38">
                  <c:v>15.53</c:v>
                </c:pt>
                <c:pt idx="39">
                  <c:v>15.39</c:v>
                </c:pt>
                <c:pt idx="40">
                  <c:v>15.36</c:v>
                </c:pt>
                <c:pt idx="41">
                  <c:v>15.25</c:v>
                </c:pt>
                <c:pt idx="42">
                  <c:v>15.25</c:v>
                </c:pt>
                <c:pt idx="43">
                  <c:v>15.24</c:v>
                </c:pt>
                <c:pt idx="44">
                  <c:v>15.23</c:v>
                </c:pt>
                <c:pt idx="45">
                  <c:v>15.25</c:v>
                </c:pt>
                <c:pt idx="46">
                  <c:v>15.11</c:v>
                </c:pt>
                <c:pt idx="47">
                  <c:v>14.92</c:v>
                </c:pt>
                <c:pt idx="48">
                  <c:v>14.99</c:v>
                </c:pt>
                <c:pt idx="49">
                  <c:v>14.94</c:v>
                </c:pt>
                <c:pt idx="50">
                  <c:v>14.85</c:v>
                </c:pt>
                <c:pt idx="51">
                  <c:v>14.83</c:v>
                </c:pt>
                <c:pt idx="52">
                  <c:v>14.81</c:v>
                </c:pt>
                <c:pt idx="53">
                  <c:v>14.76</c:v>
                </c:pt>
                <c:pt idx="54">
                  <c:v>14.66</c:v>
                </c:pt>
                <c:pt idx="55">
                  <c:v>14.86</c:v>
                </c:pt>
                <c:pt idx="56">
                  <c:v>14.84</c:v>
                </c:pt>
                <c:pt idx="57">
                  <c:v>14.6</c:v>
                </c:pt>
                <c:pt idx="58">
                  <c:v>14.54</c:v>
                </c:pt>
                <c:pt idx="59">
                  <c:v>14.6</c:v>
                </c:pt>
                <c:pt idx="60">
                  <c:v>14.54</c:v>
                </c:pt>
                <c:pt idx="61">
                  <c:v>14.47</c:v>
                </c:pt>
                <c:pt idx="62">
                  <c:v>14.44</c:v>
                </c:pt>
                <c:pt idx="63">
                  <c:v>14.44</c:v>
                </c:pt>
                <c:pt idx="64">
                  <c:v>14.46</c:v>
                </c:pt>
                <c:pt idx="65">
                  <c:v>14.53</c:v>
                </c:pt>
                <c:pt idx="66">
                  <c:v>14.38</c:v>
                </c:pt>
                <c:pt idx="67">
                  <c:v>14.46</c:v>
                </c:pt>
                <c:pt idx="68">
                  <c:v>14.34</c:v>
                </c:pt>
                <c:pt idx="69">
                  <c:v>14.46</c:v>
                </c:pt>
                <c:pt idx="70">
                  <c:v>14.49</c:v>
                </c:pt>
                <c:pt idx="71">
                  <c:v>14.48</c:v>
                </c:pt>
                <c:pt idx="72">
                  <c:v>14.79</c:v>
                </c:pt>
                <c:pt idx="73">
                  <c:v>14.81</c:v>
                </c:pt>
                <c:pt idx="74">
                  <c:v>14.88</c:v>
                </c:pt>
                <c:pt idx="75">
                  <c:v>14.94</c:v>
                </c:pt>
                <c:pt idx="76">
                  <c:v>14.99</c:v>
                </c:pt>
                <c:pt idx="77">
                  <c:v>15.07</c:v>
                </c:pt>
                <c:pt idx="78">
                  <c:v>15.17</c:v>
                </c:pt>
                <c:pt idx="79">
                  <c:v>15.82</c:v>
                </c:pt>
                <c:pt idx="80">
                  <c:v>15.83</c:v>
                </c:pt>
                <c:pt idx="81">
                  <c:v>15.91</c:v>
                </c:pt>
                <c:pt idx="82">
                  <c:v>15.99</c:v>
                </c:pt>
                <c:pt idx="83">
                  <c:v>15.92</c:v>
                </c:pt>
                <c:pt idx="84">
                  <c:v>16.03</c:v>
                </c:pt>
                <c:pt idx="85">
                  <c:v>15.94</c:v>
                </c:pt>
                <c:pt idx="86">
                  <c:v>15.25</c:v>
                </c:pt>
                <c:pt idx="87">
                  <c:v>15.96</c:v>
                </c:pt>
                <c:pt idx="88">
                  <c:v>16.010000000000002</c:v>
                </c:pt>
                <c:pt idx="89">
                  <c:v>16.059999999999999</c:v>
                </c:pt>
                <c:pt idx="90">
                  <c:v>16.059999999999999</c:v>
                </c:pt>
                <c:pt idx="91">
                  <c:v>16.12</c:v>
                </c:pt>
                <c:pt idx="92">
                  <c:v>16.18</c:v>
                </c:pt>
                <c:pt idx="93">
                  <c:v>16.23</c:v>
                </c:pt>
                <c:pt idx="94">
                  <c:v>16.260000000000002</c:v>
                </c:pt>
                <c:pt idx="95">
                  <c:v>16.3</c:v>
                </c:pt>
                <c:pt idx="96">
                  <c:v>16.2</c:v>
                </c:pt>
                <c:pt idx="97">
                  <c:v>16.34</c:v>
                </c:pt>
                <c:pt idx="98">
                  <c:v>16.41</c:v>
                </c:pt>
                <c:pt idx="99">
                  <c:v>16.309999999999999</c:v>
                </c:pt>
                <c:pt idx="100">
                  <c:v>16.489999999999998</c:v>
                </c:pt>
                <c:pt idx="101">
                  <c:v>16.38</c:v>
                </c:pt>
                <c:pt idx="102">
                  <c:v>16.559999999999999</c:v>
                </c:pt>
                <c:pt idx="103">
                  <c:v>16.62</c:v>
                </c:pt>
                <c:pt idx="104">
                  <c:v>16.5</c:v>
                </c:pt>
                <c:pt idx="105">
                  <c:v>16.72</c:v>
                </c:pt>
                <c:pt idx="106">
                  <c:v>16.84</c:v>
                </c:pt>
                <c:pt idx="107">
                  <c:v>16.72</c:v>
                </c:pt>
                <c:pt idx="108">
                  <c:v>16.78</c:v>
                </c:pt>
                <c:pt idx="109">
                  <c:v>16.829999999999998</c:v>
                </c:pt>
                <c:pt idx="110">
                  <c:v>16.73</c:v>
                </c:pt>
                <c:pt idx="111">
                  <c:v>16.829999999999998</c:v>
                </c:pt>
                <c:pt idx="112">
                  <c:v>17.170000000000002</c:v>
                </c:pt>
                <c:pt idx="113">
                  <c:v>16.850000000000001</c:v>
                </c:pt>
                <c:pt idx="114">
                  <c:v>26.2</c:v>
                </c:pt>
                <c:pt idx="115">
                  <c:v>16.86</c:v>
                </c:pt>
                <c:pt idx="116">
                  <c:v>17.079999999999998</c:v>
                </c:pt>
                <c:pt idx="117">
                  <c:v>17.190000000000001</c:v>
                </c:pt>
                <c:pt idx="118">
                  <c:v>17</c:v>
                </c:pt>
                <c:pt idx="119">
                  <c:v>17.03</c:v>
                </c:pt>
                <c:pt idx="120">
                  <c:v>17.22</c:v>
                </c:pt>
                <c:pt idx="121">
                  <c:v>17.23</c:v>
                </c:pt>
                <c:pt idx="122">
                  <c:v>17.28</c:v>
                </c:pt>
                <c:pt idx="123">
                  <c:v>17.350000000000001</c:v>
                </c:pt>
                <c:pt idx="124">
                  <c:v>17.5</c:v>
                </c:pt>
                <c:pt idx="125">
                  <c:v>17.649999999999999</c:v>
                </c:pt>
                <c:pt idx="126">
                  <c:v>22.93</c:v>
                </c:pt>
                <c:pt idx="127">
                  <c:v>25.69</c:v>
                </c:pt>
                <c:pt idx="128">
                  <c:v>23.4</c:v>
                </c:pt>
                <c:pt idx="129">
                  <c:v>23.41</c:v>
                </c:pt>
                <c:pt idx="130">
                  <c:v>22.85</c:v>
                </c:pt>
                <c:pt idx="131">
                  <c:v>23.23</c:v>
                </c:pt>
                <c:pt idx="132">
                  <c:v>25.63</c:v>
                </c:pt>
                <c:pt idx="133">
                  <c:v>25.18</c:v>
                </c:pt>
                <c:pt idx="134">
                  <c:v>25.19</c:v>
                </c:pt>
                <c:pt idx="135">
                  <c:v>25.06</c:v>
                </c:pt>
                <c:pt idx="136">
                  <c:v>24.71</c:v>
                </c:pt>
                <c:pt idx="137">
                  <c:v>24.93</c:v>
                </c:pt>
                <c:pt idx="138">
                  <c:v>24.87</c:v>
                </c:pt>
                <c:pt idx="139">
                  <c:v>24.14</c:v>
                </c:pt>
                <c:pt idx="140">
                  <c:v>24.18</c:v>
                </c:pt>
                <c:pt idx="141">
                  <c:v>24.07</c:v>
                </c:pt>
                <c:pt idx="142">
                  <c:v>24.67</c:v>
                </c:pt>
                <c:pt idx="143">
                  <c:v>24.79</c:v>
                </c:pt>
                <c:pt idx="144">
                  <c:v>24.82</c:v>
                </c:pt>
                <c:pt idx="145">
                  <c:v>24.55</c:v>
                </c:pt>
                <c:pt idx="146">
                  <c:v>24.73</c:v>
                </c:pt>
                <c:pt idx="147">
                  <c:v>24.82</c:v>
                </c:pt>
                <c:pt idx="148">
                  <c:v>24.94</c:v>
                </c:pt>
                <c:pt idx="149">
                  <c:v>25.04</c:v>
                </c:pt>
                <c:pt idx="150">
                  <c:v>24.9</c:v>
                </c:pt>
                <c:pt idx="151">
                  <c:v>25.25</c:v>
                </c:pt>
                <c:pt idx="152">
                  <c:v>25.4</c:v>
                </c:pt>
                <c:pt idx="153">
                  <c:v>25.3</c:v>
                </c:pt>
                <c:pt idx="154">
                  <c:v>25.59</c:v>
                </c:pt>
                <c:pt idx="155">
                  <c:v>25.61</c:v>
                </c:pt>
                <c:pt idx="156">
                  <c:v>25.33</c:v>
                </c:pt>
                <c:pt idx="157">
                  <c:v>25.59</c:v>
                </c:pt>
                <c:pt idx="158">
                  <c:v>25.57</c:v>
                </c:pt>
                <c:pt idx="159">
                  <c:v>25.34</c:v>
                </c:pt>
                <c:pt idx="160">
                  <c:v>25.52</c:v>
                </c:pt>
                <c:pt idx="161">
                  <c:v>25.51</c:v>
                </c:pt>
                <c:pt idx="162">
                  <c:v>25.67</c:v>
                </c:pt>
                <c:pt idx="163">
                  <c:v>25.76</c:v>
                </c:pt>
                <c:pt idx="164">
                  <c:v>25.39</c:v>
                </c:pt>
                <c:pt idx="165">
                  <c:v>25.73</c:v>
                </c:pt>
                <c:pt idx="166">
                  <c:v>25.73</c:v>
                </c:pt>
                <c:pt idx="167">
                  <c:v>25.95</c:v>
                </c:pt>
                <c:pt idx="168">
                  <c:v>25.88</c:v>
                </c:pt>
                <c:pt idx="169">
                  <c:v>25.84</c:v>
                </c:pt>
                <c:pt idx="170">
                  <c:v>25.67</c:v>
                </c:pt>
                <c:pt idx="171">
                  <c:v>25.91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B-465A-9331-397439B937C0}"/>
            </c:ext>
          </c:extLst>
        </c:ser>
        <c:ser>
          <c:idx val="1"/>
          <c:order val="1"/>
          <c:tx>
            <c:strRef>
              <c:f>'STP-20250318155627342'!$F$1</c:f>
              <c:strCache>
                <c:ptCount val="1"/>
                <c:pt idx="0">
                  <c:v> serie_completa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'STP-20250318155627342'!$A$2:$A$173</c:f>
              <c:numCache>
                <c:formatCode>mmm\-yy</c:formatCode>
                <c:ptCount val="172"/>
                <c:pt idx="0">
                  <c:v>40603</c:v>
                </c:pt>
                <c:pt idx="1">
                  <c:v>40634</c:v>
                </c:pt>
                <c:pt idx="2">
                  <c:v>40664</c:v>
                </c:pt>
                <c:pt idx="3">
                  <c:v>40695</c:v>
                </c:pt>
                <c:pt idx="4">
                  <c:v>40725</c:v>
                </c:pt>
                <c:pt idx="5">
                  <c:v>40756</c:v>
                </c:pt>
                <c:pt idx="6">
                  <c:v>40787</c:v>
                </c:pt>
                <c:pt idx="7">
                  <c:v>40817</c:v>
                </c:pt>
                <c:pt idx="8">
                  <c:v>40848</c:v>
                </c:pt>
                <c:pt idx="9">
                  <c:v>40878</c:v>
                </c:pt>
                <c:pt idx="10">
                  <c:v>40909</c:v>
                </c:pt>
                <c:pt idx="11">
                  <c:v>40940</c:v>
                </c:pt>
                <c:pt idx="12">
                  <c:v>40969</c:v>
                </c:pt>
                <c:pt idx="13">
                  <c:v>41000</c:v>
                </c:pt>
                <c:pt idx="14">
                  <c:v>41030</c:v>
                </c:pt>
                <c:pt idx="15">
                  <c:v>41061</c:v>
                </c:pt>
                <c:pt idx="16">
                  <c:v>41091</c:v>
                </c:pt>
                <c:pt idx="17">
                  <c:v>41122</c:v>
                </c:pt>
                <c:pt idx="18">
                  <c:v>41153</c:v>
                </c:pt>
                <c:pt idx="19">
                  <c:v>41183</c:v>
                </c:pt>
                <c:pt idx="20">
                  <c:v>41214</c:v>
                </c:pt>
                <c:pt idx="21">
                  <c:v>41244</c:v>
                </c:pt>
                <c:pt idx="22">
                  <c:v>41275</c:v>
                </c:pt>
                <c:pt idx="23">
                  <c:v>41306</c:v>
                </c:pt>
                <c:pt idx="24">
                  <c:v>41334</c:v>
                </c:pt>
                <c:pt idx="25">
                  <c:v>41365</c:v>
                </c:pt>
                <c:pt idx="26">
                  <c:v>41395</c:v>
                </c:pt>
                <c:pt idx="27">
                  <c:v>41426</c:v>
                </c:pt>
                <c:pt idx="28">
                  <c:v>41456</c:v>
                </c:pt>
                <c:pt idx="29">
                  <c:v>41487</c:v>
                </c:pt>
                <c:pt idx="30">
                  <c:v>41518</c:v>
                </c:pt>
                <c:pt idx="31">
                  <c:v>41548</c:v>
                </c:pt>
                <c:pt idx="32">
                  <c:v>41579</c:v>
                </c:pt>
                <c:pt idx="33">
                  <c:v>41609</c:v>
                </c:pt>
                <c:pt idx="34">
                  <c:v>41640</c:v>
                </c:pt>
                <c:pt idx="35">
                  <c:v>41671</c:v>
                </c:pt>
                <c:pt idx="36">
                  <c:v>41699</c:v>
                </c:pt>
                <c:pt idx="37">
                  <c:v>41730</c:v>
                </c:pt>
                <c:pt idx="38">
                  <c:v>41760</c:v>
                </c:pt>
                <c:pt idx="39">
                  <c:v>41791</c:v>
                </c:pt>
                <c:pt idx="40">
                  <c:v>41821</c:v>
                </c:pt>
                <c:pt idx="41">
                  <c:v>41852</c:v>
                </c:pt>
                <c:pt idx="42">
                  <c:v>41883</c:v>
                </c:pt>
                <c:pt idx="43">
                  <c:v>41913</c:v>
                </c:pt>
                <c:pt idx="44">
                  <c:v>41944</c:v>
                </c:pt>
                <c:pt idx="45">
                  <c:v>41974</c:v>
                </c:pt>
                <c:pt idx="46">
                  <c:v>42005</c:v>
                </c:pt>
                <c:pt idx="47">
                  <c:v>42036</c:v>
                </c:pt>
                <c:pt idx="48">
                  <c:v>42064</c:v>
                </c:pt>
                <c:pt idx="49">
                  <c:v>42095</c:v>
                </c:pt>
                <c:pt idx="50">
                  <c:v>42125</c:v>
                </c:pt>
                <c:pt idx="51">
                  <c:v>42156</c:v>
                </c:pt>
                <c:pt idx="52">
                  <c:v>42186</c:v>
                </c:pt>
                <c:pt idx="53">
                  <c:v>42217</c:v>
                </c:pt>
                <c:pt idx="54">
                  <c:v>42248</c:v>
                </c:pt>
                <c:pt idx="55">
                  <c:v>42278</c:v>
                </c:pt>
                <c:pt idx="56">
                  <c:v>42309</c:v>
                </c:pt>
                <c:pt idx="57">
                  <c:v>42339</c:v>
                </c:pt>
                <c:pt idx="58">
                  <c:v>42370</c:v>
                </c:pt>
                <c:pt idx="59">
                  <c:v>42401</c:v>
                </c:pt>
                <c:pt idx="60">
                  <c:v>42430</c:v>
                </c:pt>
                <c:pt idx="61">
                  <c:v>42461</c:v>
                </c:pt>
                <c:pt idx="62">
                  <c:v>42491</c:v>
                </c:pt>
                <c:pt idx="63">
                  <c:v>42522</c:v>
                </c:pt>
                <c:pt idx="64">
                  <c:v>42552</c:v>
                </c:pt>
                <c:pt idx="65">
                  <c:v>42583</c:v>
                </c:pt>
                <c:pt idx="66">
                  <c:v>42614</c:v>
                </c:pt>
                <c:pt idx="67">
                  <c:v>42644</c:v>
                </c:pt>
                <c:pt idx="68">
                  <c:v>42675</c:v>
                </c:pt>
                <c:pt idx="69">
                  <c:v>42705</c:v>
                </c:pt>
                <c:pt idx="70">
                  <c:v>42736</c:v>
                </c:pt>
                <c:pt idx="71">
                  <c:v>42767</c:v>
                </c:pt>
                <c:pt idx="72">
                  <c:v>42795</c:v>
                </c:pt>
                <c:pt idx="73">
                  <c:v>42826</c:v>
                </c:pt>
                <c:pt idx="74">
                  <c:v>42856</c:v>
                </c:pt>
                <c:pt idx="75">
                  <c:v>42887</c:v>
                </c:pt>
                <c:pt idx="76">
                  <c:v>42917</c:v>
                </c:pt>
                <c:pt idx="77">
                  <c:v>42948</c:v>
                </c:pt>
                <c:pt idx="78">
                  <c:v>42979</c:v>
                </c:pt>
                <c:pt idx="79">
                  <c:v>43009</c:v>
                </c:pt>
                <c:pt idx="80">
                  <c:v>43040</c:v>
                </c:pt>
                <c:pt idx="81">
                  <c:v>43070</c:v>
                </c:pt>
                <c:pt idx="82">
                  <c:v>43101</c:v>
                </c:pt>
                <c:pt idx="83">
                  <c:v>43132</c:v>
                </c:pt>
                <c:pt idx="84">
                  <c:v>43160</c:v>
                </c:pt>
                <c:pt idx="85">
                  <c:v>43191</c:v>
                </c:pt>
                <c:pt idx="86">
                  <c:v>43221</c:v>
                </c:pt>
                <c:pt idx="87">
                  <c:v>43252</c:v>
                </c:pt>
                <c:pt idx="88">
                  <c:v>43282</c:v>
                </c:pt>
                <c:pt idx="89">
                  <c:v>43313</c:v>
                </c:pt>
                <c:pt idx="90">
                  <c:v>43344</c:v>
                </c:pt>
                <c:pt idx="91">
                  <c:v>43374</c:v>
                </c:pt>
                <c:pt idx="92">
                  <c:v>43405</c:v>
                </c:pt>
                <c:pt idx="93">
                  <c:v>43435</c:v>
                </c:pt>
                <c:pt idx="94">
                  <c:v>43466</c:v>
                </c:pt>
                <c:pt idx="95">
                  <c:v>43497</c:v>
                </c:pt>
                <c:pt idx="96">
                  <c:v>43525</c:v>
                </c:pt>
                <c:pt idx="97">
                  <c:v>43556</c:v>
                </c:pt>
                <c:pt idx="98">
                  <c:v>43586</c:v>
                </c:pt>
                <c:pt idx="99">
                  <c:v>43617</c:v>
                </c:pt>
                <c:pt idx="100">
                  <c:v>43647</c:v>
                </c:pt>
                <c:pt idx="101">
                  <c:v>43678</c:v>
                </c:pt>
                <c:pt idx="102">
                  <c:v>43709</c:v>
                </c:pt>
                <c:pt idx="103">
                  <c:v>43739</c:v>
                </c:pt>
                <c:pt idx="104">
                  <c:v>43770</c:v>
                </c:pt>
                <c:pt idx="105">
                  <c:v>43800</c:v>
                </c:pt>
                <c:pt idx="106">
                  <c:v>43831</c:v>
                </c:pt>
                <c:pt idx="107">
                  <c:v>43862</c:v>
                </c:pt>
                <c:pt idx="108">
                  <c:v>43891</c:v>
                </c:pt>
                <c:pt idx="109">
                  <c:v>43922</c:v>
                </c:pt>
                <c:pt idx="110">
                  <c:v>43952</c:v>
                </c:pt>
                <c:pt idx="111">
                  <c:v>43983</c:v>
                </c:pt>
                <c:pt idx="112">
                  <c:v>44013</c:v>
                </c:pt>
                <c:pt idx="113">
                  <c:v>44044</c:v>
                </c:pt>
                <c:pt idx="114">
                  <c:v>44075</c:v>
                </c:pt>
                <c:pt idx="115">
                  <c:v>44105</c:v>
                </c:pt>
                <c:pt idx="116">
                  <c:v>44136</c:v>
                </c:pt>
                <c:pt idx="117">
                  <c:v>44166</c:v>
                </c:pt>
                <c:pt idx="118">
                  <c:v>44197</c:v>
                </c:pt>
                <c:pt idx="119">
                  <c:v>44228</c:v>
                </c:pt>
                <c:pt idx="120">
                  <c:v>44256</c:v>
                </c:pt>
                <c:pt idx="121">
                  <c:v>44287</c:v>
                </c:pt>
                <c:pt idx="122">
                  <c:v>44317</c:v>
                </c:pt>
                <c:pt idx="123">
                  <c:v>44348</c:v>
                </c:pt>
                <c:pt idx="124">
                  <c:v>44378</c:v>
                </c:pt>
                <c:pt idx="125">
                  <c:v>44409</c:v>
                </c:pt>
                <c:pt idx="126">
                  <c:v>44440</c:v>
                </c:pt>
                <c:pt idx="127">
                  <c:v>44470</c:v>
                </c:pt>
                <c:pt idx="128">
                  <c:v>44501</c:v>
                </c:pt>
                <c:pt idx="129">
                  <c:v>44531</c:v>
                </c:pt>
                <c:pt idx="130">
                  <c:v>44562</c:v>
                </c:pt>
                <c:pt idx="131">
                  <c:v>44593</c:v>
                </c:pt>
                <c:pt idx="132">
                  <c:v>44621</c:v>
                </c:pt>
                <c:pt idx="133">
                  <c:v>44652</c:v>
                </c:pt>
                <c:pt idx="134">
                  <c:v>44682</c:v>
                </c:pt>
                <c:pt idx="135">
                  <c:v>44713</c:v>
                </c:pt>
                <c:pt idx="136">
                  <c:v>44743</c:v>
                </c:pt>
                <c:pt idx="137">
                  <c:v>44774</c:v>
                </c:pt>
                <c:pt idx="138">
                  <c:v>44805</c:v>
                </c:pt>
                <c:pt idx="139">
                  <c:v>44835</c:v>
                </c:pt>
                <c:pt idx="140">
                  <c:v>44866</c:v>
                </c:pt>
                <c:pt idx="141">
                  <c:v>44896</c:v>
                </c:pt>
                <c:pt idx="142">
                  <c:v>44927</c:v>
                </c:pt>
                <c:pt idx="143">
                  <c:v>44958</c:v>
                </c:pt>
                <c:pt idx="144">
                  <c:v>44986</c:v>
                </c:pt>
                <c:pt idx="145">
                  <c:v>45017</c:v>
                </c:pt>
                <c:pt idx="146">
                  <c:v>45047</c:v>
                </c:pt>
                <c:pt idx="147">
                  <c:v>45078</c:v>
                </c:pt>
                <c:pt idx="148">
                  <c:v>45108</c:v>
                </c:pt>
                <c:pt idx="149">
                  <c:v>45139</c:v>
                </c:pt>
                <c:pt idx="150">
                  <c:v>45170</c:v>
                </c:pt>
                <c:pt idx="151">
                  <c:v>45200</c:v>
                </c:pt>
                <c:pt idx="152">
                  <c:v>45231</c:v>
                </c:pt>
                <c:pt idx="153">
                  <c:v>45261</c:v>
                </c:pt>
                <c:pt idx="154">
                  <c:v>45292</c:v>
                </c:pt>
                <c:pt idx="155">
                  <c:v>45323</c:v>
                </c:pt>
                <c:pt idx="156">
                  <c:v>45352</c:v>
                </c:pt>
                <c:pt idx="157">
                  <c:v>45383</c:v>
                </c:pt>
                <c:pt idx="158">
                  <c:v>45413</c:v>
                </c:pt>
                <c:pt idx="159">
                  <c:v>45444</c:v>
                </c:pt>
                <c:pt idx="160">
                  <c:v>45474</c:v>
                </c:pt>
                <c:pt idx="161">
                  <c:v>45505</c:v>
                </c:pt>
                <c:pt idx="162">
                  <c:v>45536</c:v>
                </c:pt>
                <c:pt idx="163">
                  <c:v>45566</c:v>
                </c:pt>
                <c:pt idx="164">
                  <c:v>45597</c:v>
                </c:pt>
                <c:pt idx="165">
                  <c:v>45627</c:v>
                </c:pt>
                <c:pt idx="166">
                  <c:v>45658</c:v>
                </c:pt>
                <c:pt idx="167">
                  <c:v>45689</c:v>
                </c:pt>
                <c:pt idx="168">
                  <c:v>45717</c:v>
                </c:pt>
                <c:pt idx="169">
                  <c:v>45748</c:v>
                </c:pt>
                <c:pt idx="170">
                  <c:v>45778</c:v>
                </c:pt>
                <c:pt idx="171">
                  <c:v>45809</c:v>
                </c:pt>
              </c:numCache>
            </c:numRef>
          </c:cat>
          <c:val>
            <c:numRef>
              <c:f>'STP-20250318155627342'!$F$2:$F$173</c:f>
              <c:numCache>
                <c:formatCode>_(* #,##0.00_);_(* \(#,##0.00\);_(* "-"??_);_(@_)</c:formatCode>
                <c:ptCount val="172"/>
                <c:pt idx="0">
                  <c:v>26.700000000000014</c:v>
                </c:pt>
                <c:pt idx="1">
                  <c:v>26.680000000000014</c:v>
                </c:pt>
                <c:pt idx="2">
                  <c:v>26.540000000000013</c:v>
                </c:pt>
                <c:pt idx="3">
                  <c:v>26.550000000000015</c:v>
                </c:pt>
                <c:pt idx="4">
                  <c:v>26.500000000000014</c:v>
                </c:pt>
                <c:pt idx="5">
                  <c:v>26.480000000000015</c:v>
                </c:pt>
                <c:pt idx="6">
                  <c:v>26.430000000000014</c:v>
                </c:pt>
                <c:pt idx="7">
                  <c:v>26.300000000000015</c:v>
                </c:pt>
                <c:pt idx="8">
                  <c:v>26.220000000000013</c:v>
                </c:pt>
                <c:pt idx="9">
                  <c:v>26.170000000000012</c:v>
                </c:pt>
                <c:pt idx="10">
                  <c:v>26.040000000000013</c:v>
                </c:pt>
                <c:pt idx="11">
                  <c:v>25.940000000000015</c:v>
                </c:pt>
                <c:pt idx="12">
                  <c:v>25.830000000000013</c:v>
                </c:pt>
                <c:pt idx="13">
                  <c:v>25.690000000000015</c:v>
                </c:pt>
                <c:pt idx="14">
                  <c:v>25.580000000000013</c:v>
                </c:pt>
                <c:pt idx="15">
                  <c:v>25.480000000000015</c:v>
                </c:pt>
                <c:pt idx="16">
                  <c:v>25.370000000000015</c:v>
                </c:pt>
                <c:pt idx="17">
                  <c:v>25.280000000000015</c:v>
                </c:pt>
                <c:pt idx="18">
                  <c:v>25.120000000000015</c:v>
                </c:pt>
                <c:pt idx="19">
                  <c:v>25.010000000000012</c:v>
                </c:pt>
                <c:pt idx="20">
                  <c:v>24.930000000000014</c:v>
                </c:pt>
                <c:pt idx="21">
                  <c:v>24.860000000000014</c:v>
                </c:pt>
                <c:pt idx="22">
                  <c:v>24.720000000000013</c:v>
                </c:pt>
                <c:pt idx="23">
                  <c:v>24.860000000000014</c:v>
                </c:pt>
                <c:pt idx="24">
                  <c:v>24.710000000000015</c:v>
                </c:pt>
                <c:pt idx="25">
                  <c:v>24.520000000000014</c:v>
                </c:pt>
                <c:pt idx="26">
                  <c:v>24.430000000000014</c:v>
                </c:pt>
                <c:pt idx="27">
                  <c:v>24.320000000000014</c:v>
                </c:pt>
                <c:pt idx="28">
                  <c:v>24.220000000000013</c:v>
                </c:pt>
                <c:pt idx="29">
                  <c:v>24.030000000000015</c:v>
                </c:pt>
                <c:pt idx="30">
                  <c:v>23.940000000000015</c:v>
                </c:pt>
                <c:pt idx="31">
                  <c:v>23.820000000000014</c:v>
                </c:pt>
                <c:pt idx="32">
                  <c:v>23.780000000000015</c:v>
                </c:pt>
                <c:pt idx="33">
                  <c:v>23.630000000000013</c:v>
                </c:pt>
                <c:pt idx="34">
                  <c:v>23.540000000000013</c:v>
                </c:pt>
                <c:pt idx="35">
                  <c:v>23.490000000000016</c:v>
                </c:pt>
                <c:pt idx="36">
                  <c:v>23.340000000000018</c:v>
                </c:pt>
                <c:pt idx="37">
                  <c:v>23.270000000000017</c:v>
                </c:pt>
                <c:pt idx="38">
                  <c:v>23.210000000000015</c:v>
                </c:pt>
                <c:pt idx="39">
                  <c:v>23.070000000000014</c:v>
                </c:pt>
                <c:pt idx="40">
                  <c:v>23.040000000000013</c:v>
                </c:pt>
                <c:pt idx="41">
                  <c:v>22.930000000000014</c:v>
                </c:pt>
                <c:pt idx="42">
                  <c:v>22.930000000000014</c:v>
                </c:pt>
                <c:pt idx="43">
                  <c:v>22.920000000000016</c:v>
                </c:pt>
                <c:pt idx="44">
                  <c:v>22.910000000000014</c:v>
                </c:pt>
                <c:pt idx="45">
                  <c:v>22.930000000000014</c:v>
                </c:pt>
                <c:pt idx="46">
                  <c:v>22.790000000000013</c:v>
                </c:pt>
                <c:pt idx="47">
                  <c:v>22.600000000000012</c:v>
                </c:pt>
                <c:pt idx="48">
                  <c:v>22.670000000000012</c:v>
                </c:pt>
                <c:pt idx="49">
                  <c:v>22.620000000000012</c:v>
                </c:pt>
                <c:pt idx="50">
                  <c:v>22.530000000000012</c:v>
                </c:pt>
                <c:pt idx="51">
                  <c:v>22.510000000000012</c:v>
                </c:pt>
                <c:pt idx="52">
                  <c:v>22.490000000000013</c:v>
                </c:pt>
                <c:pt idx="53">
                  <c:v>22.440000000000012</c:v>
                </c:pt>
                <c:pt idx="54">
                  <c:v>22.340000000000011</c:v>
                </c:pt>
                <c:pt idx="55">
                  <c:v>22.54000000000001</c:v>
                </c:pt>
                <c:pt idx="56">
                  <c:v>22.52000000000001</c:v>
                </c:pt>
                <c:pt idx="57">
                  <c:v>22.280000000000008</c:v>
                </c:pt>
                <c:pt idx="58">
                  <c:v>22.220000000000006</c:v>
                </c:pt>
                <c:pt idx="59">
                  <c:v>22.280000000000008</c:v>
                </c:pt>
                <c:pt idx="60">
                  <c:v>22.220000000000006</c:v>
                </c:pt>
                <c:pt idx="61">
                  <c:v>22.150000000000006</c:v>
                </c:pt>
                <c:pt idx="62">
                  <c:v>22.120000000000005</c:v>
                </c:pt>
                <c:pt idx="63">
                  <c:v>22.120000000000005</c:v>
                </c:pt>
                <c:pt idx="64">
                  <c:v>22.140000000000008</c:v>
                </c:pt>
                <c:pt idx="65">
                  <c:v>22.210000000000008</c:v>
                </c:pt>
                <c:pt idx="66">
                  <c:v>22.060000000000009</c:v>
                </c:pt>
                <c:pt idx="67">
                  <c:v>22.140000000000008</c:v>
                </c:pt>
                <c:pt idx="68">
                  <c:v>22.020000000000007</c:v>
                </c:pt>
                <c:pt idx="69">
                  <c:v>22.140000000000008</c:v>
                </c:pt>
                <c:pt idx="70">
                  <c:v>22.170000000000009</c:v>
                </c:pt>
                <c:pt idx="71">
                  <c:v>22.160000000000007</c:v>
                </c:pt>
                <c:pt idx="72">
                  <c:v>22.470000000000006</c:v>
                </c:pt>
                <c:pt idx="73">
                  <c:v>22.490000000000009</c:v>
                </c:pt>
                <c:pt idx="74">
                  <c:v>22.560000000000009</c:v>
                </c:pt>
                <c:pt idx="75">
                  <c:v>22.620000000000008</c:v>
                </c:pt>
                <c:pt idx="76">
                  <c:v>22.670000000000009</c:v>
                </c:pt>
                <c:pt idx="77">
                  <c:v>22.750000000000007</c:v>
                </c:pt>
                <c:pt idx="78">
                  <c:v>22.850000000000009</c:v>
                </c:pt>
                <c:pt idx="79">
                  <c:v>23.500000000000007</c:v>
                </c:pt>
                <c:pt idx="80">
                  <c:v>23.510000000000005</c:v>
                </c:pt>
                <c:pt idx="81">
                  <c:v>23.590000000000003</c:v>
                </c:pt>
                <c:pt idx="82">
                  <c:v>23.67</c:v>
                </c:pt>
                <c:pt idx="83">
                  <c:v>23.6</c:v>
                </c:pt>
                <c:pt idx="84">
                  <c:v>23.71</c:v>
                </c:pt>
                <c:pt idx="85">
                  <c:v>23.619999999999997</c:v>
                </c:pt>
                <c:pt idx="86">
                  <c:v>22.93</c:v>
                </c:pt>
                <c:pt idx="87">
                  <c:v>23.64</c:v>
                </c:pt>
                <c:pt idx="88">
                  <c:v>23.69</c:v>
                </c:pt>
                <c:pt idx="89">
                  <c:v>23.74</c:v>
                </c:pt>
                <c:pt idx="90">
                  <c:v>23.74</c:v>
                </c:pt>
                <c:pt idx="91">
                  <c:v>23.8</c:v>
                </c:pt>
                <c:pt idx="92">
                  <c:v>23.86</c:v>
                </c:pt>
                <c:pt idx="93">
                  <c:v>23.91</c:v>
                </c:pt>
                <c:pt idx="94">
                  <c:v>23.94</c:v>
                </c:pt>
                <c:pt idx="95">
                  <c:v>23.98</c:v>
                </c:pt>
                <c:pt idx="96">
                  <c:v>23.88</c:v>
                </c:pt>
                <c:pt idx="97">
                  <c:v>24.02</c:v>
                </c:pt>
                <c:pt idx="98">
                  <c:v>24.09</c:v>
                </c:pt>
                <c:pt idx="99">
                  <c:v>23.99</c:v>
                </c:pt>
                <c:pt idx="100">
                  <c:v>24.169999999999998</c:v>
                </c:pt>
                <c:pt idx="101">
                  <c:v>24.06</c:v>
                </c:pt>
                <c:pt idx="102">
                  <c:v>24.24</c:v>
                </c:pt>
                <c:pt idx="103">
                  <c:v>24.3</c:v>
                </c:pt>
                <c:pt idx="104">
                  <c:v>24.18</c:v>
                </c:pt>
                <c:pt idx="105">
                  <c:v>24.4</c:v>
                </c:pt>
                <c:pt idx="106">
                  <c:v>24.52</c:v>
                </c:pt>
                <c:pt idx="107">
                  <c:v>24.4</c:v>
                </c:pt>
                <c:pt idx="108">
                  <c:v>24.46</c:v>
                </c:pt>
                <c:pt idx="109">
                  <c:v>24.509999999999998</c:v>
                </c:pt>
                <c:pt idx="110">
                  <c:v>24.41</c:v>
                </c:pt>
                <c:pt idx="111">
                  <c:v>24.509999999999998</c:v>
                </c:pt>
                <c:pt idx="112">
                  <c:v>24.85</c:v>
                </c:pt>
                <c:pt idx="113">
                  <c:v>24.53</c:v>
                </c:pt>
                <c:pt idx="114">
                  <c:v>24.535</c:v>
                </c:pt>
                <c:pt idx="115">
                  <c:v>24.54</c:v>
                </c:pt>
                <c:pt idx="116">
                  <c:v>24.759999999999998</c:v>
                </c:pt>
                <c:pt idx="117">
                  <c:v>24.87</c:v>
                </c:pt>
                <c:pt idx="118">
                  <c:v>24.68</c:v>
                </c:pt>
                <c:pt idx="119">
                  <c:v>24.71</c:v>
                </c:pt>
                <c:pt idx="120">
                  <c:v>24.9</c:v>
                </c:pt>
                <c:pt idx="121">
                  <c:v>24.91</c:v>
                </c:pt>
                <c:pt idx="122">
                  <c:v>24.96</c:v>
                </c:pt>
                <c:pt idx="123">
                  <c:v>25.03</c:v>
                </c:pt>
                <c:pt idx="124">
                  <c:v>25.18</c:v>
                </c:pt>
                <c:pt idx="125">
                  <c:v>25.33</c:v>
                </c:pt>
                <c:pt idx="126">
                  <c:v>25.33</c:v>
                </c:pt>
                <c:pt idx="127">
                  <c:v>25.564999999999998</c:v>
                </c:pt>
                <c:pt idx="128">
                  <c:v>25.799999999999997</c:v>
                </c:pt>
                <c:pt idx="129">
                  <c:v>25.81</c:v>
                </c:pt>
                <c:pt idx="130">
                  <c:v>25.25</c:v>
                </c:pt>
                <c:pt idx="131">
                  <c:v>25.63</c:v>
                </c:pt>
                <c:pt idx="132">
                  <c:v>25.63</c:v>
                </c:pt>
                <c:pt idx="133">
                  <c:v>25.18</c:v>
                </c:pt>
                <c:pt idx="134">
                  <c:v>25.19</c:v>
                </c:pt>
                <c:pt idx="135">
                  <c:v>25.06</c:v>
                </c:pt>
                <c:pt idx="136">
                  <c:v>24.71</c:v>
                </c:pt>
                <c:pt idx="137">
                  <c:v>24.93</c:v>
                </c:pt>
                <c:pt idx="138">
                  <c:v>24.87</c:v>
                </c:pt>
                <c:pt idx="139">
                  <c:v>24.14</c:v>
                </c:pt>
                <c:pt idx="140">
                  <c:v>24.18</c:v>
                </c:pt>
                <c:pt idx="141">
                  <c:v>24.07</c:v>
                </c:pt>
                <c:pt idx="142">
                  <c:v>24.67</c:v>
                </c:pt>
                <c:pt idx="143">
                  <c:v>24.79</c:v>
                </c:pt>
                <c:pt idx="144">
                  <c:v>24.82</c:v>
                </c:pt>
                <c:pt idx="145">
                  <c:v>24.55</c:v>
                </c:pt>
                <c:pt idx="146">
                  <c:v>24.73</c:v>
                </c:pt>
                <c:pt idx="147">
                  <c:v>24.82</c:v>
                </c:pt>
                <c:pt idx="148">
                  <c:v>24.94</c:v>
                </c:pt>
                <c:pt idx="149">
                  <c:v>25.04</c:v>
                </c:pt>
                <c:pt idx="150">
                  <c:v>24.9</c:v>
                </c:pt>
                <c:pt idx="151">
                  <c:v>25.25</c:v>
                </c:pt>
                <c:pt idx="152">
                  <c:v>25.4</c:v>
                </c:pt>
                <c:pt idx="153">
                  <c:v>25.3</c:v>
                </c:pt>
                <c:pt idx="154">
                  <c:v>25.59</c:v>
                </c:pt>
                <c:pt idx="155">
                  <c:v>25.61</c:v>
                </c:pt>
                <c:pt idx="156">
                  <c:v>25.33</c:v>
                </c:pt>
                <c:pt idx="157">
                  <c:v>25.59</c:v>
                </c:pt>
                <c:pt idx="158">
                  <c:v>25.57</c:v>
                </c:pt>
                <c:pt idx="159">
                  <c:v>25.34</c:v>
                </c:pt>
                <c:pt idx="160">
                  <c:v>25.52</c:v>
                </c:pt>
                <c:pt idx="161">
                  <c:v>25.51</c:v>
                </c:pt>
                <c:pt idx="162">
                  <c:v>25.67</c:v>
                </c:pt>
                <c:pt idx="163" formatCode="General">
                  <c:v>25.76</c:v>
                </c:pt>
                <c:pt idx="164" formatCode="General">
                  <c:v>25.39</c:v>
                </c:pt>
                <c:pt idx="165" formatCode="General">
                  <c:v>25.73</c:v>
                </c:pt>
                <c:pt idx="166" formatCode="General">
                  <c:v>25.73</c:v>
                </c:pt>
                <c:pt idx="167" formatCode="General">
                  <c:v>25.95</c:v>
                </c:pt>
                <c:pt idx="168" formatCode="General">
                  <c:v>25.88</c:v>
                </c:pt>
                <c:pt idx="169" formatCode="General">
                  <c:v>25.84</c:v>
                </c:pt>
                <c:pt idx="170" formatCode="General">
                  <c:v>25.67</c:v>
                </c:pt>
                <c:pt idx="171" formatCode="General">
                  <c:v>25.91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B-465A-9331-397439B93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948495"/>
        <c:axId val="1231949935"/>
      </c:lineChart>
      <c:dateAx>
        <c:axId val="123194849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949935"/>
        <c:crosses val="autoZero"/>
        <c:auto val="1"/>
        <c:lblOffset val="100"/>
        <c:baseTimeUnit val="months"/>
      </c:dateAx>
      <c:valAx>
        <c:axId val="123194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194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'STP-20250318155627342'!$B$1:$B$175</c:f>
              <c:numCache>
                <c:formatCode>General</c:formatCode>
                <c:ptCount val="175"/>
                <c:pt idx="0">
                  <c:v>0</c:v>
                </c:pt>
                <c:pt idx="1">
                  <c:v>19.02</c:v>
                </c:pt>
                <c:pt idx="2">
                  <c:v>19</c:v>
                </c:pt>
                <c:pt idx="3">
                  <c:v>18.86</c:v>
                </c:pt>
                <c:pt idx="4">
                  <c:v>18.87</c:v>
                </c:pt>
                <c:pt idx="5">
                  <c:v>18.82</c:v>
                </c:pt>
                <c:pt idx="6">
                  <c:v>18.8</c:v>
                </c:pt>
                <c:pt idx="7">
                  <c:v>18.75</c:v>
                </c:pt>
                <c:pt idx="8">
                  <c:v>18.62</c:v>
                </c:pt>
                <c:pt idx="9">
                  <c:v>18.54</c:v>
                </c:pt>
                <c:pt idx="10">
                  <c:v>18.489999999999998</c:v>
                </c:pt>
                <c:pt idx="11">
                  <c:v>18.36</c:v>
                </c:pt>
                <c:pt idx="12">
                  <c:v>18.260000000000002</c:v>
                </c:pt>
                <c:pt idx="13">
                  <c:v>18.149999999999999</c:v>
                </c:pt>
                <c:pt idx="14">
                  <c:v>18.010000000000002</c:v>
                </c:pt>
                <c:pt idx="15">
                  <c:v>17.899999999999999</c:v>
                </c:pt>
                <c:pt idx="16">
                  <c:v>17.8</c:v>
                </c:pt>
                <c:pt idx="17">
                  <c:v>17.690000000000001</c:v>
                </c:pt>
                <c:pt idx="18">
                  <c:v>17.600000000000001</c:v>
                </c:pt>
                <c:pt idx="19">
                  <c:v>17.440000000000001</c:v>
                </c:pt>
                <c:pt idx="20">
                  <c:v>17.329999999999998</c:v>
                </c:pt>
                <c:pt idx="21">
                  <c:v>17.25</c:v>
                </c:pt>
                <c:pt idx="22">
                  <c:v>17.18</c:v>
                </c:pt>
                <c:pt idx="23">
                  <c:v>17.04</c:v>
                </c:pt>
                <c:pt idx="24">
                  <c:v>17.18</c:v>
                </c:pt>
                <c:pt idx="25">
                  <c:v>17.03</c:v>
                </c:pt>
                <c:pt idx="26">
                  <c:v>16.84</c:v>
                </c:pt>
                <c:pt idx="27">
                  <c:v>16.75</c:v>
                </c:pt>
                <c:pt idx="28">
                  <c:v>16.64</c:v>
                </c:pt>
                <c:pt idx="29">
                  <c:v>16.54</c:v>
                </c:pt>
                <c:pt idx="30">
                  <c:v>16.350000000000001</c:v>
                </c:pt>
                <c:pt idx="31">
                  <c:v>16.260000000000002</c:v>
                </c:pt>
                <c:pt idx="32">
                  <c:v>16.14</c:v>
                </c:pt>
                <c:pt idx="33">
                  <c:v>16.100000000000001</c:v>
                </c:pt>
                <c:pt idx="34">
                  <c:v>15.95</c:v>
                </c:pt>
                <c:pt idx="35">
                  <c:v>15.86</c:v>
                </c:pt>
                <c:pt idx="36">
                  <c:v>15.81</c:v>
                </c:pt>
                <c:pt idx="37">
                  <c:v>15.66</c:v>
                </c:pt>
                <c:pt idx="38">
                  <c:v>15.59</c:v>
                </c:pt>
                <c:pt idx="39">
                  <c:v>15.53</c:v>
                </c:pt>
                <c:pt idx="40">
                  <c:v>15.39</c:v>
                </c:pt>
                <c:pt idx="41">
                  <c:v>15.36</c:v>
                </c:pt>
                <c:pt idx="42">
                  <c:v>15.25</c:v>
                </c:pt>
                <c:pt idx="43">
                  <c:v>15.25</c:v>
                </c:pt>
                <c:pt idx="44">
                  <c:v>15.24</c:v>
                </c:pt>
                <c:pt idx="45">
                  <c:v>15.23</c:v>
                </c:pt>
                <c:pt idx="46">
                  <c:v>15.25</c:v>
                </c:pt>
                <c:pt idx="47">
                  <c:v>15.11</c:v>
                </c:pt>
                <c:pt idx="48">
                  <c:v>14.92</c:v>
                </c:pt>
                <c:pt idx="49">
                  <c:v>14.99</c:v>
                </c:pt>
                <c:pt idx="50">
                  <c:v>14.94</c:v>
                </c:pt>
                <c:pt idx="51">
                  <c:v>14.85</c:v>
                </c:pt>
                <c:pt idx="52">
                  <c:v>14.83</c:v>
                </c:pt>
                <c:pt idx="53">
                  <c:v>14.81</c:v>
                </c:pt>
                <c:pt idx="54">
                  <c:v>14.76</c:v>
                </c:pt>
                <c:pt idx="55">
                  <c:v>14.66</c:v>
                </c:pt>
                <c:pt idx="56">
                  <c:v>14.86</c:v>
                </c:pt>
                <c:pt idx="57">
                  <c:v>14.84</c:v>
                </c:pt>
                <c:pt idx="58">
                  <c:v>14.6</c:v>
                </c:pt>
                <c:pt idx="59">
                  <c:v>14.54</c:v>
                </c:pt>
                <c:pt idx="60">
                  <c:v>14.6</c:v>
                </c:pt>
                <c:pt idx="61">
                  <c:v>14.54</c:v>
                </c:pt>
                <c:pt idx="62">
                  <c:v>14.47</c:v>
                </c:pt>
                <c:pt idx="63">
                  <c:v>14.44</c:v>
                </c:pt>
                <c:pt idx="64">
                  <c:v>14.44</c:v>
                </c:pt>
                <c:pt idx="65">
                  <c:v>14.46</c:v>
                </c:pt>
                <c:pt idx="66">
                  <c:v>14.53</c:v>
                </c:pt>
                <c:pt idx="67">
                  <c:v>14.38</c:v>
                </c:pt>
                <c:pt idx="68">
                  <c:v>14.46</c:v>
                </c:pt>
                <c:pt idx="69">
                  <c:v>14.34</c:v>
                </c:pt>
                <c:pt idx="70">
                  <c:v>14.46</c:v>
                </c:pt>
                <c:pt idx="71">
                  <c:v>14.49</c:v>
                </c:pt>
                <c:pt idx="72">
                  <c:v>14.48</c:v>
                </c:pt>
                <c:pt idx="73">
                  <c:v>14.79</c:v>
                </c:pt>
                <c:pt idx="74">
                  <c:v>14.81</c:v>
                </c:pt>
                <c:pt idx="75">
                  <c:v>14.88</c:v>
                </c:pt>
                <c:pt idx="76">
                  <c:v>14.94</c:v>
                </c:pt>
                <c:pt idx="77">
                  <c:v>14.99</c:v>
                </c:pt>
                <c:pt idx="78">
                  <c:v>15.07</c:v>
                </c:pt>
                <c:pt idx="79">
                  <c:v>15.17</c:v>
                </c:pt>
                <c:pt idx="80">
                  <c:v>15.82</c:v>
                </c:pt>
                <c:pt idx="81">
                  <c:v>15.83</c:v>
                </c:pt>
                <c:pt idx="82">
                  <c:v>15.91</c:v>
                </c:pt>
                <c:pt idx="83">
                  <c:v>15.99</c:v>
                </c:pt>
                <c:pt idx="84">
                  <c:v>15.92</c:v>
                </c:pt>
                <c:pt idx="85">
                  <c:v>16.03</c:v>
                </c:pt>
                <c:pt idx="86">
                  <c:v>15.94</c:v>
                </c:pt>
                <c:pt idx="87">
                  <c:v>15.25</c:v>
                </c:pt>
                <c:pt idx="88">
                  <c:v>15.96</c:v>
                </c:pt>
                <c:pt idx="89">
                  <c:v>16.010000000000002</c:v>
                </c:pt>
                <c:pt idx="90">
                  <c:v>16.059999999999999</c:v>
                </c:pt>
                <c:pt idx="91">
                  <c:v>16.059999999999999</c:v>
                </c:pt>
                <c:pt idx="92">
                  <c:v>16.12</c:v>
                </c:pt>
                <c:pt idx="93">
                  <c:v>16.18</c:v>
                </c:pt>
                <c:pt idx="94">
                  <c:v>16.23</c:v>
                </c:pt>
                <c:pt idx="95">
                  <c:v>16.260000000000002</c:v>
                </c:pt>
                <c:pt idx="96">
                  <c:v>16.3</c:v>
                </c:pt>
                <c:pt idx="97">
                  <c:v>16.2</c:v>
                </c:pt>
                <c:pt idx="98">
                  <c:v>16.34</c:v>
                </c:pt>
                <c:pt idx="99">
                  <c:v>16.41</c:v>
                </c:pt>
                <c:pt idx="100">
                  <c:v>16.309999999999999</c:v>
                </c:pt>
                <c:pt idx="101">
                  <c:v>16.489999999999998</c:v>
                </c:pt>
                <c:pt idx="102">
                  <c:v>16.38</c:v>
                </c:pt>
                <c:pt idx="103">
                  <c:v>16.559999999999999</c:v>
                </c:pt>
                <c:pt idx="104">
                  <c:v>16.62</c:v>
                </c:pt>
                <c:pt idx="105">
                  <c:v>16.5</c:v>
                </c:pt>
                <c:pt idx="106">
                  <c:v>16.72</c:v>
                </c:pt>
                <c:pt idx="107">
                  <c:v>16.84</c:v>
                </c:pt>
                <c:pt idx="108">
                  <c:v>16.72</c:v>
                </c:pt>
                <c:pt idx="109">
                  <c:v>16.78</c:v>
                </c:pt>
                <c:pt idx="110">
                  <c:v>16.829999999999998</c:v>
                </c:pt>
                <c:pt idx="111">
                  <c:v>16.73</c:v>
                </c:pt>
                <c:pt idx="112">
                  <c:v>16.829999999999998</c:v>
                </c:pt>
                <c:pt idx="113">
                  <c:v>17.170000000000002</c:v>
                </c:pt>
                <c:pt idx="114">
                  <c:v>16.850000000000001</c:v>
                </c:pt>
                <c:pt idx="115">
                  <c:v>26.2</c:v>
                </c:pt>
                <c:pt idx="116">
                  <c:v>16.86</c:v>
                </c:pt>
                <c:pt idx="117">
                  <c:v>17.079999999999998</c:v>
                </c:pt>
                <c:pt idx="118">
                  <c:v>17.190000000000001</c:v>
                </c:pt>
                <c:pt idx="119">
                  <c:v>17</c:v>
                </c:pt>
                <c:pt idx="120">
                  <c:v>17.03</c:v>
                </c:pt>
                <c:pt idx="121">
                  <c:v>17.22</c:v>
                </c:pt>
                <c:pt idx="122">
                  <c:v>17.23</c:v>
                </c:pt>
                <c:pt idx="123">
                  <c:v>17.28</c:v>
                </c:pt>
                <c:pt idx="124">
                  <c:v>17.350000000000001</c:v>
                </c:pt>
                <c:pt idx="125">
                  <c:v>17.5</c:v>
                </c:pt>
                <c:pt idx="126">
                  <c:v>17.649999999999999</c:v>
                </c:pt>
                <c:pt idx="127">
                  <c:v>22.93</c:v>
                </c:pt>
                <c:pt idx="128">
                  <c:v>25.69</c:v>
                </c:pt>
                <c:pt idx="129">
                  <c:v>23.4</c:v>
                </c:pt>
                <c:pt idx="130">
                  <c:v>23.41</c:v>
                </c:pt>
                <c:pt idx="131">
                  <c:v>22.85</c:v>
                </c:pt>
                <c:pt idx="132">
                  <c:v>23.23</c:v>
                </c:pt>
                <c:pt idx="133">
                  <c:v>25.63</c:v>
                </c:pt>
                <c:pt idx="134">
                  <c:v>25.18</c:v>
                </c:pt>
                <c:pt idx="135">
                  <c:v>25.19</c:v>
                </c:pt>
                <c:pt idx="136">
                  <c:v>25.06</c:v>
                </c:pt>
                <c:pt idx="137">
                  <c:v>24.71</c:v>
                </c:pt>
                <c:pt idx="138">
                  <c:v>24.93</c:v>
                </c:pt>
                <c:pt idx="139">
                  <c:v>24.87</c:v>
                </c:pt>
                <c:pt idx="140">
                  <c:v>24.14</c:v>
                </c:pt>
                <c:pt idx="141">
                  <c:v>24.18</c:v>
                </c:pt>
                <c:pt idx="142">
                  <c:v>24.07</c:v>
                </c:pt>
                <c:pt idx="143">
                  <c:v>24.67</c:v>
                </c:pt>
                <c:pt idx="144">
                  <c:v>24.79</c:v>
                </c:pt>
                <c:pt idx="145">
                  <c:v>24.82</c:v>
                </c:pt>
                <c:pt idx="146">
                  <c:v>24.55</c:v>
                </c:pt>
                <c:pt idx="147">
                  <c:v>24.73</c:v>
                </c:pt>
                <c:pt idx="148">
                  <c:v>24.82</c:v>
                </c:pt>
                <c:pt idx="149">
                  <c:v>24.94</c:v>
                </c:pt>
                <c:pt idx="150">
                  <c:v>25.04</c:v>
                </c:pt>
                <c:pt idx="151">
                  <c:v>24.9</c:v>
                </c:pt>
                <c:pt idx="152">
                  <c:v>25.25</c:v>
                </c:pt>
                <c:pt idx="153">
                  <c:v>25.4</c:v>
                </c:pt>
                <c:pt idx="154">
                  <c:v>25.3</c:v>
                </c:pt>
                <c:pt idx="155">
                  <c:v>25.59</c:v>
                </c:pt>
                <c:pt idx="156">
                  <c:v>25.61</c:v>
                </c:pt>
                <c:pt idx="157">
                  <c:v>25.33</c:v>
                </c:pt>
                <c:pt idx="158">
                  <c:v>25.59</c:v>
                </c:pt>
                <c:pt idx="159">
                  <c:v>25.57</c:v>
                </c:pt>
                <c:pt idx="160">
                  <c:v>25.34</c:v>
                </c:pt>
                <c:pt idx="161">
                  <c:v>25.52</c:v>
                </c:pt>
                <c:pt idx="162">
                  <c:v>25.51</c:v>
                </c:pt>
                <c:pt idx="163">
                  <c:v>25.67</c:v>
                </c:pt>
                <c:pt idx="164">
                  <c:v>25.76</c:v>
                </c:pt>
                <c:pt idx="165">
                  <c:v>25.39</c:v>
                </c:pt>
                <c:pt idx="166">
                  <c:v>25.73</c:v>
                </c:pt>
                <c:pt idx="167">
                  <c:v>25.73</c:v>
                </c:pt>
                <c:pt idx="168">
                  <c:v>25.95</c:v>
                </c:pt>
                <c:pt idx="169">
                  <c:v>25.88</c:v>
                </c:pt>
                <c:pt idx="170">
                  <c:v>25.84</c:v>
                </c:pt>
                <c:pt idx="171">
                  <c:v>25.67</c:v>
                </c:pt>
                <c:pt idx="172">
                  <c:v>25.91</c:v>
                </c:pt>
                <c:pt idx="17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2-4F31-8E3A-05D68307E6C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'STP-20250318155627342'!$I$1:$I$175</c:f>
              <c:numCache>
                <c:formatCode>General</c:formatCode>
                <c:ptCount val="175"/>
                <c:pt idx="1">
                  <c:v>19.02</c:v>
                </c:pt>
                <c:pt idx="2">
                  <c:v>19</c:v>
                </c:pt>
                <c:pt idx="3">
                  <c:v>18.86</c:v>
                </c:pt>
                <c:pt idx="4">
                  <c:v>18.87</c:v>
                </c:pt>
                <c:pt idx="5">
                  <c:v>18.82</c:v>
                </c:pt>
                <c:pt idx="6">
                  <c:v>18.8</c:v>
                </c:pt>
                <c:pt idx="7">
                  <c:v>18.75</c:v>
                </c:pt>
                <c:pt idx="8">
                  <c:v>18.62</c:v>
                </c:pt>
                <c:pt idx="9">
                  <c:v>18.54</c:v>
                </c:pt>
                <c:pt idx="10">
                  <c:v>18.489999999999998</c:v>
                </c:pt>
                <c:pt idx="11">
                  <c:v>18.36</c:v>
                </c:pt>
                <c:pt idx="12">
                  <c:v>18.260000000000002</c:v>
                </c:pt>
                <c:pt idx="13">
                  <c:v>18.149999999999999</c:v>
                </c:pt>
                <c:pt idx="14">
                  <c:v>18.010000000000002</c:v>
                </c:pt>
                <c:pt idx="15">
                  <c:v>17.899999999999999</c:v>
                </c:pt>
                <c:pt idx="16">
                  <c:v>17.8</c:v>
                </c:pt>
                <c:pt idx="17">
                  <c:v>17.690000000000001</c:v>
                </c:pt>
                <c:pt idx="18">
                  <c:v>17.600000000000001</c:v>
                </c:pt>
                <c:pt idx="19">
                  <c:v>17.440000000000001</c:v>
                </c:pt>
                <c:pt idx="20">
                  <c:v>17.329999999999998</c:v>
                </c:pt>
                <c:pt idx="21">
                  <c:v>17.25</c:v>
                </c:pt>
                <c:pt idx="22">
                  <c:v>17.18</c:v>
                </c:pt>
                <c:pt idx="23">
                  <c:v>17.04</c:v>
                </c:pt>
                <c:pt idx="24">
                  <c:v>17.18</c:v>
                </c:pt>
                <c:pt idx="25">
                  <c:v>17.03</c:v>
                </c:pt>
                <c:pt idx="26">
                  <c:v>16.84</c:v>
                </c:pt>
                <c:pt idx="27">
                  <c:v>16.75</c:v>
                </c:pt>
                <c:pt idx="28">
                  <c:v>16.64</c:v>
                </c:pt>
                <c:pt idx="29">
                  <c:v>16.54</c:v>
                </c:pt>
                <c:pt idx="30">
                  <c:v>16.350000000000001</c:v>
                </c:pt>
                <c:pt idx="31">
                  <c:v>16.260000000000002</c:v>
                </c:pt>
                <c:pt idx="32">
                  <c:v>16.14</c:v>
                </c:pt>
                <c:pt idx="33">
                  <c:v>16.100000000000001</c:v>
                </c:pt>
                <c:pt idx="34">
                  <c:v>15.95</c:v>
                </c:pt>
                <c:pt idx="35">
                  <c:v>15.86</c:v>
                </c:pt>
                <c:pt idx="36">
                  <c:v>15.81</c:v>
                </c:pt>
                <c:pt idx="37">
                  <c:v>15.66</c:v>
                </c:pt>
                <c:pt idx="38">
                  <c:v>15.59</c:v>
                </c:pt>
                <c:pt idx="39">
                  <c:v>15.53</c:v>
                </c:pt>
                <c:pt idx="40">
                  <c:v>15.39</c:v>
                </c:pt>
                <c:pt idx="41">
                  <c:v>15.36</c:v>
                </c:pt>
                <c:pt idx="42">
                  <c:v>15.25</c:v>
                </c:pt>
                <c:pt idx="43">
                  <c:v>15.25</c:v>
                </c:pt>
                <c:pt idx="44">
                  <c:v>15.24</c:v>
                </c:pt>
                <c:pt idx="45">
                  <c:v>15.23</c:v>
                </c:pt>
                <c:pt idx="46">
                  <c:v>15.25</c:v>
                </c:pt>
                <c:pt idx="47">
                  <c:v>15.11</c:v>
                </c:pt>
                <c:pt idx="48">
                  <c:v>14.92</c:v>
                </c:pt>
                <c:pt idx="49">
                  <c:v>14.99</c:v>
                </c:pt>
                <c:pt idx="50">
                  <c:v>14.94</c:v>
                </c:pt>
                <c:pt idx="51">
                  <c:v>14.85</c:v>
                </c:pt>
                <c:pt idx="52">
                  <c:v>14.83</c:v>
                </c:pt>
                <c:pt idx="53">
                  <c:v>14.81</c:v>
                </c:pt>
                <c:pt idx="54">
                  <c:v>14.76</c:v>
                </c:pt>
                <c:pt idx="55">
                  <c:v>14.66</c:v>
                </c:pt>
                <c:pt idx="56">
                  <c:v>14.86</c:v>
                </c:pt>
                <c:pt idx="57">
                  <c:v>14.84</c:v>
                </c:pt>
                <c:pt idx="58">
                  <c:v>14.6</c:v>
                </c:pt>
                <c:pt idx="59">
                  <c:v>14.54</c:v>
                </c:pt>
                <c:pt idx="60">
                  <c:v>14.6</c:v>
                </c:pt>
                <c:pt idx="61">
                  <c:v>14.54</c:v>
                </c:pt>
                <c:pt idx="62">
                  <c:v>14.47</c:v>
                </c:pt>
                <c:pt idx="63">
                  <c:v>14.44</c:v>
                </c:pt>
                <c:pt idx="64">
                  <c:v>14.44</c:v>
                </c:pt>
                <c:pt idx="65">
                  <c:v>14.46</c:v>
                </c:pt>
                <c:pt idx="66">
                  <c:v>14.53</c:v>
                </c:pt>
                <c:pt idx="67">
                  <c:v>14.38</c:v>
                </c:pt>
                <c:pt idx="68">
                  <c:v>14.46</c:v>
                </c:pt>
                <c:pt idx="69">
                  <c:v>14.34</c:v>
                </c:pt>
                <c:pt idx="70">
                  <c:v>14.46</c:v>
                </c:pt>
                <c:pt idx="71">
                  <c:v>14.49</c:v>
                </c:pt>
                <c:pt idx="72">
                  <c:v>14.48</c:v>
                </c:pt>
                <c:pt idx="73">
                  <c:v>14.79</c:v>
                </c:pt>
                <c:pt idx="74">
                  <c:v>14.81</c:v>
                </c:pt>
                <c:pt idx="75">
                  <c:v>14.88</c:v>
                </c:pt>
                <c:pt idx="76">
                  <c:v>14.94</c:v>
                </c:pt>
                <c:pt idx="77">
                  <c:v>14.99</c:v>
                </c:pt>
                <c:pt idx="78">
                  <c:v>15.07</c:v>
                </c:pt>
                <c:pt idx="79">
                  <c:v>15.17</c:v>
                </c:pt>
                <c:pt idx="80">
                  <c:v>15.82</c:v>
                </c:pt>
                <c:pt idx="81">
                  <c:v>15.83</c:v>
                </c:pt>
                <c:pt idx="82">
                  <c:v>15.91</c:v>
                </c:pt>
                <c:pt idx="83">
                  <c:v>15.99</c:v>
                </c:pt>
                <c:pt idx="84">
                  <c:v>15.92</c:v>
                </c:pt>
                <c:pt idx="85">
                  <c:v>16.03</c:v>
                </c:pt>
                <c:pt idx="86">
                  <c:v>15.94</c:v>
                </c:pt>
                <c:pt idx="87">
                  <c:v>15.25</c:v>
                </c:pt>
                <c:pt idx="88">
                  <c:v>15.96</c:v>
                </c:pt>
                <c:pt idx="89">
                  <c:v>16.010000000000002</c:v>
                </c:pt>
                <c:pt idx="90">
                  <c:v>16.059999999999999</c:v>
                </c:pt>
                <c:pt idx="91">
                  <c:v>16.059999999999999</c:v>
                </c:pt>
                <c:pt idx="92">
                  <c:v>16.12</c:v>
                </c:pt>
                <c:pt idx="93">
                  <c:v>16.18</c:v>
                </c:pt>
                <c:pt idx="94">
                  <c:v>16.23</c:v>
                </c:pt>
                <c:pt idx="95">
                  <c:v>16.260000000000002</c:v>
                </c:pt>
                <c:pt idx="96">
                  <c:v>16.3</c:v>
                </c:pt>
                <c:pt idx="97">
                  <c:v>16.2</c:v>
                </c:pt>
                <c:pt idx="98">
                  <c:v>16.34</c:v>
                </c:pt>
                <c:pt idx="99">
                  <c:v>16.41</c:v>
                </c:pt>
                <c:pt idx="100">
                  <c:v>16.309999999999999</c:v>
                </c:pt>
                <c:pt idx="101">
                  <c:v>16.489999999999998</c:v>
                </c:pt>
                <c:pt idx="102">
                  <c:v>16.38</c:v>
                </c:pt>
                <c:pt idx="103">
                  <c:v>16.559999999999999</c:v>
                </c:pt>
                <c:pt idx="104">
                  <c:v>16.62</c:v>
                </c:pt>
                <c:pt idx="105">
                  <c:v>16.5</c:v>
                </c:pt>
                <c:pt idx="106">
                  <c:v>16.72</c:v>
                </c:pt>
                <c:pt idx="107">
                  <c:v>16.84</c:v>
                </c:pt>
                <c:pt idx="108">
                  <c:v>16.72</c:v>
                </c:pt>
                <c:pt idx="109">
                  <c:v>16.78</c:v>
                </c:pt>
                <c:pt idx="110">
                  <c:v>16.829999999999998</c:v>
                </c:pt>
                <c:pt idx="111">
                  <c:v>16.73</c:v>
                </c:pt>
                <c:pt idx="112">
                  <c:v>16.829999999999998</c:v>
                </c:pt>
                <c:pt idx="113">
                  <c:v>17.170000000000002</c:v>
                </c:pt>
                <c:pt idx="114">
                  <c:v>16.850000000000001</c:v>
                </c:pt>
                <c:pt idx="115">
                  <c:v>16.93</c:v>
                </c:pt>
                <c:pt idx="116">
                  <c:v>16.86</c:v>
                </c:pt>
                <c:pt idx="117">
                  <c:v>17.079999999999998</c:v>
                </c:pt>
                <c:pt idx="118">
                  <c:v>17.190000000000001</c:v>
                </c:pt>
                <c:pt idx="119">
                  <c:v>17</c:v>
                </c:pt>
                <c:pt idx="120">
                  <c:v>17.03</c:v>
                </c:pt>
                <c:pt idx="121">
                  <c:v>17.22</c:v>
                </c:pt>
                <c:pt idx="122">
                  <c:v>17.23</c:v>
                </c:pt>
                <c:pt idx="123">
                  <c:v>17.28</c:v>
                </c:pt>
                <c:pt idx="124">
                  <c:v>17.350000000000001</c:v>
                </c:pt>
                <c:pt idx="125">
                  <c:v>17.5</c:v>
                </c:pt>
                <c:pt idx="126">
                  <c:v>17.649999999999999</c:v>
                </c:pt>
                <c:pt idx="127">
                  <c:v>17.7</c:v>
                </c:pt>
                <c:pt idx="128">
                  <c:v>17.559999999999999</c:v>
                </c:pt>
                <c:pt idx="129">
                  <c:v>17.62</c:v>
                </c:pt>
                <c:pt idx="130">
                  <c:v>17.670000000000002</c:v>
                </c:pt>
                <c:pt idx="131">
                  <c:v>17.72</c:v>
                </c:pt>
                <c:pt idx="132">
                  <c:v>17.600000000000001</c:v>
                </c:pt>
                <c:pt idx="133">
                  <c:v>17.79</c:v>
                </c:pt>
                <c:pt idx="134">
                  <c:v>17.62</c:v>
                </c:pt>
                <c:pt idx="135">
                  <c:v>17.829999999999998</c:v>
                </c:pt>
                <c:pt idx="136">
                  <c:v>17.86</c:v>
                </c:pt>
                <c:pt idx="137">
                  <c:v>17.68</c:v>
                </c:pt>
                <c:pt idx="138">
                  <c:v>17.850000000000001</c:v>
                </c:pt>
                <c:pt idx="139">
                  <c:v>17.88</c:v>
                </c:pt>
                <c:pt idx="140">
                  <c:v>17.420000000000002</c:v>
                </c:pt>
                <c:pt idx="141">
                  <c:v>17.48</c:v>
                </c:pt>
                <c:pt idx="142">
                  <c:v>17.309999999999999</c:v>
                </c:pt>
                <c:pt idx="143">
                  <c:v>17.82</c:v>
                </c:pt>
                <c:pt idx="144">
                  <c:v>17.95</c:v>
                </c:pt>
                <c:pt idx="145">
                  <c:v>18</c:v>
                </c:pt>
                <c:pt idx="146">
                  <c:v>17.79</c:v>
                </c:pt>
                <c:pt idx="147">
                  <c:v>17.95</c:v>
                </c:pt>
                <c:pt idx="148">
                  <c:v>17.98</c:v>
                </c:pt>
                <c:pt idx="149">
                  <c:v>18.02</c:v>
                </c:pt>
                <c:pt idx="150">
                  <c:v>18.739999999999998</c:v>
                </c:pt>
                <c:pt idx="151">
                  <c:v>18.57</c:v>
                </c:pt>
                <c:pt idx="152">
                  <c:v>18.899999999999999</c:v>
                </c:pt>
                <c:pt idx="153">
                  <c:v>18.61</c:v>
                </c:pt>
                <c:pt idx="154">
                  <c:v>18.48</c:v>
                </c:pt>
                <c:pt idx="155">
                  <c:v>18.73</c:v>
                </c:pt>
                <c:pt idx="156">
                  <c:v>18.77</c:v>
                </c:pt>
                <c:pt idx="157">
                  <c:v>18.53</c:v>
                </c:pt>
                <c:pt idx="158">
                  <c:v>18.850000000000001</c:v>
                </c:pt>
                <c:pt idx="159">
                  <c:v>18.88</c:v>
                </c:pt>
                <c:pt idx="160">
                  <c:v>18.739999999999998</c:v>
                </c:pt>
                <c:pt idx="161">
                  <c:v>18.93</c:v>
                </c:pt>
                <c:pt idx="162">
                  <c:v>18.940000000000001</c:v>
                </c:pt>
                <c:pt idx="163">
                  <c:v>19.149999999999999</c:v>
                </c:pt>
                <c:pt idx="164">
                  <c:v>19.3</c:v>
                </c:pt>
                <c:pt idx="165">
                  <c:v>18.989999999999998</c:v>
                </c:pt>
                <c:pt idx="166">
                  <c:v>19.21</c:v>
                </c:pt>
                <c:pt idx="167">
                  <c:v>19.34</c:v>
                </c:pt>
                <c:pt idx="168">
                  <c:v>19.57</c:v>
                </c:pt>
                <c:pt idx="169">
                  <c:v>19.68</c:v>
                </c:pt>
                <c:pt idx="170">
                  <c:v>19.75</c:v>
                </c:pt>
                <c:pt idx="171">
                  <c:v>19.649999999999999</c:v>
                </c:pt>
                <c:pt idx="172">
                  <c:v>19.97</c:v>
                </c:pt>
                <c:pt idx="173">
                  <c:v>20.11</c:v>
                </c:pt>
                <c:pt idx="174">
                  <c:v>20.239999999999998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2-4F31-8E3A-05D68307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57439"/>
        <c:axId val="122857919"/>
      </c:lineChart>
      <c:catAx>
        <c:axId val="122857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857919"/>
        <c:crosses val="autoZero"/>
        <c:auto val="1"/>
        <c:lblAlgn val="ctr"/>
        <c:lblOffset val="100"/>
        <c:noMultiLvlLbl val="0"/>
      </c:catAx>
      <c:valAx>
        <c:axId val="12285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85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463922</xdr:colOff>
      <xdr:row>109</xdr:row>
      <xdr:rowOff>70597</xdr:rowOff>
    </xdr:from>
    <xdr:to>
      <xdr:col>22</xdr:col>
      <xdr:colOff>530597</xdr:colOff>
      <xdr:row>134</xdr:row>
      <xdr:rowOff>152960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E4DEE8-BCCE-452A-941A-6764FEA29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56029</xdr:colOff>
      <xdr:row>6</xdr:row>
      <xdr:rowOff>145676</xdr:rowOff>
    </xdr:from>
    <xdr:to>
      <xdr:col>30</xdr:col>
      <xdr:colOff>257734</xdr:colOff>
      <xdr:row>28</xdr:row>
      <xdr:rowOff>88526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4C855D-546C-B306-967F-04E02CF4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1C3C-3486-4B4C-A5D1-F2DC812FC8DF}">
  <dimension ref="A1:I175"/>
  <sheetViews>
    <sheetView tabSelected="1" zoomScale="85" zoomScaleNormal="85" workbookViewId="0">
      <selection activeCell="B1" activeCellId="1" sqref="I1:I1048576 B1:B1048576"/>
    </sheetView>
  </sheetViews>
  <sheetFormatPr defaultRowHeight="15" x14ac:dyDescent="0.25"/>
  <cols>
    <col min="2" max="2" width="11.7109375" customWidth="1"/>
    <col min="4" max="4" width="11.7109375" customWidth="1"/>
    <col min="6" max="6" width="9.140625" style="3"/>
  </cols>
  <sheetData>
    <row r="1" spans="1:9" x14ac:dyDescent="0.25">
      <c r="A1" t="s">
        <v>0</v>
      </c>
      <c r="B1" t="s">
        <v>5</v>
      </c>
      <c r="C1" t="s">
        <v>1</v>
      </c>
      <c r="D1" t="s">
        <v>4</v>
      </c>
      <c r="E1" t="s">
        <v>2</v>
      </c>
      <c r="F1" s="3" t="s">
        <v>3</v>
      </c>
    </row>
    <row r="2" spans="1:9" x14ac:dyDescent="0.25">
      <c r="A2" s="1">
        <v>40603</v>
      </c>
      <c r="B2">
        <v>19.02</v>
      </c>
      <c r="C2" s="2"/>
      <c r="D2">
        <v>19.02</v>
      </c>
      <c r="E2" s="3"/>
      <c r="F2" s="3">
        <f t="shared" ref="F2:F65" si="0">F3-E3</f>
        <v>26.700000000000014</v>
      </c>
      <c r="I2">
        <v>19.02</v>
      </c>
    </row>
    <row r="3" spans="1:9" x14ac:dyDescent="0.25">
      <c r="A3" s="1">
        <v>40634</v>
      </c>
      <c r="B3">
        <v>19</v>
      </c>
      <c r="C3" s="3">
        <f>B3-B2</f>
        <v>-1.9999999999999574E-2</v>
      </c>
      <c r="D3">
        <v>19</v>
      </c>
      <c r="E3" s="3">
        <f t="shared" ref="E3:E65" si="1">D3-D2</f>
        <v>-1.9999999999999574E-2</v>
      </c>
      <c r="F3" s="3">
        <f t="shared" si="0"/>
        <v>26.680000000000014</v>
      </c>
      <c r="I3">
        <v>19</v>
      </c>
    </row>
    <row r="4" spans="1:9" x14ac:dyDescent="0.25">
      <c r="A4" s="1">
        <v>40664</v>
      </c>
      <c r="B4">
        <v>18.86</v>
      </c>
      <c r="C4" s="3">
        <f t="shared" ref="C4:C67" si="2">B4-B3</f>
        <v>-0.14000000000000057</v>
      </c>
      <c r="D4">
        <v>18.86</v>
      </c>
      <c r="E4" s="3">
        <f t="shared" si="1"/>
        <v>-0.14000000000000057</v>
      </c>
      <c r="F4" s="3">
        <f t="shared" si="0"/>
        <v>26.540000000000013</v>
      </c>
      <c r="I4">
        <v>18.86</v>
      </c>
    </row>
    <row r="5" spans="1:9" x14ac:dyDescent="0.25">
      <c r="A5" s="1">
        <v>40695</v>
      </c>
      <c r="B5">
        <v>18.87</v>
      </c>
      <c r="C5" s="3">
        <f t="shared" si="2"/>
        <v>1.0000000000001563E-2</v>
      </c>
      <c r="D5">
        <v>18.87</v>
      </c>
      <c r="E5" s="3">
        <f t="shared" si="1"/>
        <v>1.0000000000001563E-2</v>
      </c>
      <c r="F5" s="3">
        <f t="shared" si="0"/>
        <v>26.550000000000015</v>
      </c>
      <c r="I5">
        <v>18.87</v>
      </c>
    </row>
    <row r="6" spans="1:9" x14ac:dyDescent="0.25">
      <c r="A6" s="1">
        <v>40725</v>
      </c>
      <c r="B6">
        <v>18.82</v>
      </c>
      <c r="C6" s="3">
        <f t="shared" si="2"/>
        <v>-5.0000000000000711E-2</v>
      </c>
      <c r="D6">
        <v>18.82</v>
      </c>
      <c r="E6" s="3">
        <f t="shared" si="1"/>
        <v>-5.0000000000000711E-2</v>
      </c>
      <c r="F6" s="3">
        <f t="shared" si="0"/>
        <v>26.500000000000014</v>
      </c>
      <c r="I6">
        <v>18.82</v>
      </c>
    </row>
    <row r="7" spans="1:9" x14ac:dyDescent="0.25">
      <c r="A7" s="1">
        <v>40756</v>
      </c>
      <c r="B7">
        <v>18.8</v>
      </c>
      <c r="C7" s="3">
        <f t="shared" si="2"/>
        <v>-1.9999999999999574E-2</v>
      </c>
      <c r="D7">
        <v>18.8</v>
      </c>
      <c r="E7" s="3">
        <f t="shared" si="1"/>
        <v>-1.9999999999999574E-2</v>
      </c>
      <c r="F7" s="3">
        <f t="shared" si="0"/>
        <v>26.480000000000015</v>
      </c>
      <c r="I7">
        <v>18.8</v>
      </c>
    </row>
    <row r="8" spans="1:9" x14ac:dyDescent="0.25">
      <c r="A8" s="1">
        <v>40787</v>
      </c>
      <c r="B8">
        <v>18.75</v>
      </c>
      <c r="C8" s="3">
        <f t="shared" si="2"/>
        <v>-5.0000000000000711E-2</v>
      </c>
      <c r="D8">
        <v>18.75</v>
      </c>
      <c r="E8" s="3">
        <f t="shared" si="1"/>
        <v>-5.0000000000000711E-2</v>
      </c>
      <c r="F8" s="3">
        <f t="shared" si="0"/>
        <v>26.430000000000014</v>
      </c>
      <c r="I8">
        <v>18.75</v>
      </c>
    </row>
    <row r="9" spans="1:9" x14ac:dyDescent="0.25">
      <c r="A9" s="1">
        <v>40817</v>
      </c>
      <c r="B9">
        <v>18.62</v>
      </c>
      <c r="C9" s="3">
        <f t="shared" si="2"/>
        <v>-0.12999999999999901</v>
      </c>
      <c r="D9">
        <v>18.62</v>
      </c>
      <c r="E9" s="3">
        <f t="shared" si="1"/>
        <v>-0.12999999999999901</v>
      </c>
      <c r="F9" s="3">
        <f t="shared" si="0"/>
        <v>26.300000000000015</v>
      </c>
      <c r="I9">
        <v>18.62</v>
      </c>
    </row>
    <row r="10" spans="1:9" x14ac:dyDescent="0.25">
      <c r="A10" s="1">
        <v>40848</v>
      </c>
      <c r="B10">
        <v>18.54</v>
      </c>
      <c r="C10" s="3">
        <f t="shared" si="2"/>
        <v>-8.0000000000001847E-2</v>
      </c>
      <c r="D10">
        <v>18.54</v>
      </c>
      <c r="E10" s="3">
        <f t="shared" si="1"/>
        <v>-8.0000000000001847E-2</v>
      </c>
      <c r="F10" s="3">
        <f t="shared" si="0"/>
        <v>26.220000000000013</v>
      </c>
      <c r="I10">
        <v>18.54</v>
      </c>
    </row>
    <row r="11" spans="1:9" x14ac:dyDescent="0.25">
      <c r="A11" s="1">
        <v>40878</v>
      </c>
      <c r="B11">
        <v>18.489999999999998</v>
      </c>
      <c r="C11" s="3">
        <f t="shared" si="2"/>
        <v>-5.0000000000000711E-2</v>
      </c>
      <c r="D11">
        <v>18.489999999999998</v>
      </c>
      <c r="E11" s="3">
        <f t="shared" si="1"/>
        <v>-5.0000000000000711E-2</v>
      </c>
      <c r="F11" s="3">
        <f t="shared" si="0"/>
        <v>26.170000000000012</v>
      </c>
      <c r="I11">
        <v>18.489999999999998</v>
      </c>
    </row>
    <row r="12" spans="1:9" x14ac:dyDescent="0.25">
      <c r="A12" s="1">
        <v>40909</v>
      </c>
      <c r="B12">
        <v>18.36</v>
      </c>
      <c r="C12" s="3">
        <f t="shared" si="2"/>
        <v>-0.12999999999999901</v>
      </c>
      <c r="D12">
        <v>18.36</v>
      </c>
      <c r="E12" s="3">
        <f t="shared" si="1"/>
        <v>-0.12999999999999901</v>
      </c>
      <c r="F12" s="3">
        <f t="shared" si="0"/>
        <v>26.040000000000013</v>
      </c>
      <c r="I12">
        <v>18.36</v>
      </c>
    </row>
    <row r="13" spans="1:9" x14ac:dyDescent="0.25">
      <c r="A13" s="1">
        <v>40940</v>
      </c>
      <c r="B13">
        <v>18.260000000000002</v>
      </c>
      <c r="C13" s="3">
        <f t="shared" si="2"/>
        <v>-9.9999999999997868E-2</v>
      </c>
      <c r="D13">
        <v>18.260000000000002</v>
      </c>
      <c r="E13" s="3">
        <f t="shared" si="1"/>
        <v>-9.9999999999997868E-2</v>
      </c>
      <c r="F13" s="3">
        <f t="shared" si="0"/>
        <v>25.940000000000015</v>
      </c>
      <c r="I13">
        <v>18.260000000000002</v>
      </c>
    </row>
    <row r="14" spans="1:9" x14ac:dyDescent="0.25">
      <c r="A14" s="1">
        <v>40969</v>
      </c>
      <c r="B14">
        <v>18.149999999999999</v>
      </c>
      <c r="C14" s="3">
        <f t="shared" si="2"/>
        <v>-0.11000000000000298</v>
      </c>
      <c r="D14">
        <v>18.149999999999999</v>
      </c>
      <c r="E14" s="3">
        <f t="shared" si="1"/>
        <v>-0.11000000000000298</v>
      </c>
      <c r="F14" s="3">
        <f t="shared" si="0"/>
        <v>25.830000000000013</v>
      </c>
      <c r="I14">
        <v>18.149999999999999</v>
      </c>
    </row>
    <row r="15" spans="1:9" x14ac:dyDescent="0.25">
      <c r="A15" s="1">
        <v>41000</v>
      </c>
      <c r="B15">
        <v>18.010000000000002</v>
      </c>
      <c r="C15" s="3">
        <f t="shared" si="2"/>
        <v>-0.13999999999999702</v>
      </c>
      <c r="D15">
        <v>18.010000000000002</v>
      </c>
      <c r="E15" s="3">
        <f t="shared" si="1"/>
        <v>-0.13999999999999702</v>
      </c>
      <c r="F15" s="3">
        <f t="shared" si="0"/>
        <v>25.690000000000015</v>
      </c>
      <c r="I15">
        <v>18.010000000000002</v>
      </c>
    </row>
    <row r="16" spans="1:9" x14ac:dyDescent="0.25">
      <c r="A16" s="1">
        <v>41030</v>
      </c>
      <c r="B16">
        <v>17.899999999999999</v>
      </c>
      <c r="C16" s="3">
        <f t="shared" si="2"/>
        <v>-0.11000000000000298</v>
      </c>
      <c r="D16">
        <v>17.899999999999999</v>
      </c>
      <c r="E16" s="3">
        <f t="shared" si="1"/>
        <v>-0.11000000000000298</v>
      </c>
      <c r="F16" s="3">
        <f t="shared" si="0"/>
        <v>25.580000000000013</v>
      </c>
      <c r="I16">
        <v>17.899999999999999</v>
      </c>
    </row>
    <row r="17" spans="1:9" x14ac:dyDescent="0.25">
      <c r="A17" s="1">
        <v>41061</v>
      </c>
      <c r="B17">
        <v>17.8</v>
      </c>
      <c r="C17" s="3">
        <f t="shared" si="2"/>
        <v>-9.9999999999997868E-2</v>
      </c>
      <c r="D17">
        <v>17.8</v>
      </c>
      <c r="E17" s="3">
        <f t="shared" si="1"/>
        <v>-9.9999999999997868E-2</v>
      </c>
      <c r="F17" s="3">
        <f t="shared" si="0"/>
        <v>25.480000000000015</v>
      </c>
      <c r="I17">
        <v>17.8</v>
      </c>
    </row>
    <row r="18" spans="1:9" x14ac:dyDescent="0.25">
      <c r="A18" s="1">
        <v>41091</v>
      </c>
      <c r="B18">
        <v>17.690000000000001</v>
      </c>
      <c r="C18" s="3">
        <f t="shared" si="2"/>
        <v>-0.10999999999999943</v>
      </c>
      <c r="D18">
        <v>17.690000000000001</v>
      </c>
      <c r="E18" s="3">
        <f t="shared" si="1"/>
        <v>-0.10999999999999943</v>
      </c>
      <c r="F18" s="3">
        <f t="shared" si="0"/>
        <v>25.370000000000015</v>
      </c>
      <c r="I18">
        <v>17.690000000000001</v>
      </c>
    </row>
    <row r="19" spans="1:9" x14ac:dyDescent="0.25">
      <c r="A19" s="1">
        <v>41122</v>
      </c>
      <c r="B19">
        <v>17.600000000000001</v>
      </c>
      <c r="C19" s="3">
        <f t="shared" si="2"/>
        <v>-8.9999999999999858E-2</v>
      </c>
      <c r="D19">
        <v>17.600000000000001</v>
      </c>
      <c r="E19" s="3">
        <f t="shared" si="1"/>
        <v>-8.9999999999999858E-2</v>
      </c>
      <c r="F19" s="3">
        <f t="shared" si="0"/>
        <v>25.280000000000015</v>
      </c>
      <c r="I19">
        <v>17.600000000000001</v>
      </c>
    </row>
    <row r="20" spans="1:9" x14ac:dyDescent="0.25">
      <c r="A20" s="1">
        <v>41153</v>
      </c>
      <c r="B20">
        <v>17.440000000000001</v>
      </c>
      <c r="C20" s="3">
        <f t="shared" si="2"/>
        <v>-0.16000000000000014</v>
      </c>
      <c r="D20">
        <v>17.440000000000001</v>
      </c>
      <c r="E20" s="3">
        <f t="shared" si="1"/>
        <v>-0.16000000000000014</v>
      </c>
      <c r="F20" s="3">
        <f t="shared" si="0"/>
        <v>25.120000000000015</v>
      </c>
      <c r="I20">
        <v>17.440000000000001</v>
      </c>
    </row>
    <row r="21" spans="1:9" x14ac:dyDescent="0.25">
      <c r="A21" s="1">
        <v>41183</v>
      </c>
      <c r="B21">
        <v>17.329999999999998</v>
      </c>
      <c r="C21" s="3">
        <f t="shared" si="2"/>
        <v>-0.11000000000000298</v>
      </c>
      <c r="D21">
        <v>17.329999999999998</v>
      </c>
      <c r="E21" s="3">
        <f t="shared" si="1"/>
        <v>-0.11000000000000298</v>
      </c>
      <c r="F21" s="3">
        <f t="shared" si="0"/>
        <v>25.010000000000012</v>
      </c>
      <c r="I21">
        <v>17.329999999999998</v>
      </c>
    </row>
    <row r="22" spans="1:9" x14ac:dyDescent="0.25">
      <c r="A22" s="1">
        <v>41214</v>
      </c>
      <c r="B22">
        <v>17.25</v>
      </c>
      <c r="C22" s="3">
        <f t="shared" si="2"/>
        <v>-7.9999999999998295E-2</v>
      </c>
      <c r="D22">
        <v>17.25</v>
      </c>
      <c r="E22" s="3">
        <f t="shared" si="1"/>
        <v>-7.9999999999998295E-2</v>
      </c>
      <c r="F22" s="3">
        <f t="shared" si="0"/>
        <v>24.930000000000014</v>
      </c>
      <c r="I22">
        <v>17.25</v>
      </c>
    </row>
    <row r="23" spans="1:9" x14ac:dyDescent="0.25">
      <c r="A23" s="1">
        <v>41244</v>
      </c>
      <c r="B23">
        <v>17.18</v>
      </c>
      <c r="C23" s="3">
        <f t="shared" si="2"/>
        <v>-7.0000000000000284E-2</v>
      </c>
      <c r="D23">
        <v>17.18</v>
      </c>
      <c r="E23" s="3">
        <f t="shared" si="1"/>
        <v>-7.0000000000000284E-2</v>
      </c>
      <c r="F23" s="3">
        <f t="shared" si="0"/>
        <v>24.860000000000014</v>
      </c>
      <c r="I23">
        <v>17.18</v>
      </c>
    </row>
    <row r="24" spans="1:9" x14ac:dyDescent="0.25">
      <c r="A24" s="1">
        <v>41275</v>
      </c>
      <c r="B24">
        <v>17.04</v>
      </c>
      <c r="C24" s="3">
        <f t="shared" si="2"/>
        <v>-0.14000000000000057</v>
      </c>
      <c r="D24">
        <v>17.04</v>
      </c>
      <c r="E24" s="3">
        <f t="shared" si="1"/>
        <v>-0.14000000000000057</v>
      </c>
      <c r="F24" s="3">
        <f t="shared" si="0"/>
        <v>24.720000000000013</v>
      </c>
      <c r="I24">
        <v>17.04</v>
      </c>
    </row>
    <row r="25" spans="1:9" x14ac:dyDescent="0.25">
      <c r="A25" s="1">
        <v>41306</v>
      </c>
      <c r="B25">
        <v>17.18</v>
      </c>
      <c r="C25" s="3">
        <f t="shared" si="2"/>
        <v>0.14000000000000057</v>
      </c>
      <c r="D25">
        <v>17.18</v>
      </c>
      <c r="E25" s="3">
        <f t="shared" si="1"/>
        <v>0.14000000000000057</v>
      </c>
      <c r="F25" s="3">
        <f t="shared" si="0"/>
        <v>24.860000000000014</v>
      </c>
      <c r="I25">
        <v>17.18</v>
      </c>
    </row>
    <row r="26" spans="1:9" x14ac:dyDescent="0.25">
      <c r="A26" s="1">
        <v>41334</v>
      </c>
      <c r="B26">
        <v>17.03</v>
      </c>
      <c r="C26" s="3">
        <f t="shared" si="2"/>
        <v>-0.14999999999999858</v>
      </c>
      <c r="D26">
        <v>17.03</v>
      </c>
      <c r="E26" s="3">
        <f t="shared" si="1"/>
        <v>-0.14999999999999858</v>
      </c>
      <c r="F26" s="3">
        <f t="shared" si="0"/>
        <v>24.710000000000015</v>
      </c>
      <c r="I26">
        <v>17.03</v>
      </c>
    </row>
    <row r="27" spans="1:9" x14ac:dyDescent="0.25">
      <c r="A27" s="1">
        <v>41365</v>
      </c>
      <c r="B27">
        <v>16.84</v>
      </c>
      <c r="C27" s="3">
        <f t="shared" si="2"/>
        <v>-0.19000000000000128</v>
      </c>
      <c r="D27">
        <v>16.84</v>
      </c>
      <c r="E27" s="3">
        <f t="shared" si="1"/>
        <v>-0.19000000000000128</v>
      </c>
      <c r="F27" s="3">
        <f t="shared" si="0"/>
        <v>24.520000000000014</v>
      </c>
      <c r="I27">
        <v>16.84</v>
      </c>
    </row>
    <row r="28" spans="1:9" x14ac:dyDescent="0.25">
      <c r="A28" s="1">
        <v>41395</v>
      </c>
      <c r="B28">
        <v>16.75</v>
      </c>
      <c r="C28" s="3">
        <f t="shared" si="2"/>
        <v>-8.9999999999999858E-2</v>
      </c>
      <c r="D28">
        <v>16.75</v>
      </c>
      <c r="E28" s="3">
        <f t="shared" si="1"/>
        <v>-8.9999999999999858E-2</v>
      </c>
      <c r="F28" s="3">
        <f t="shared" si="0"/>
        <v>24.430000000000014</v>
      </c>
      <c r="I28">
        <v>16.75</v>
      </c>
    </row>
    <row r="29" spans="1:9" x14ac:dyDescent="0.25">
      <c r="A29" s="1">
        <v>41426</v>
      </c>
      <c r="B29">
        <v>16.64</v>
      </c>
      <c r="C29" s="3">
        <f t="shared" si="2"/>
        <v>-0.10999999999999943</v>
      </c>
      <c r="D29">
        <v>16.64</v>
      </c>
      <c r="E29" s="3">
        <f t="shared" si="1"/>
        <v>-0.10999999999999943</v>
      </c>
      <c r="F29" s="3">
        <f t="shared" si="0"/>
        <v>24.320000000000014</v>
      </c>
      <c r="I29">
        <v>16.64</v>
      </c>
    </row>
    <row r="30" spans="1:9" x14ac:dyDescent="0.25">
      <c r="A30" s="1">
        <v>41456</v>
      </c>
      <c r="B30">
        <v>16.54</v>
      </c>
      <c r="C30" s="3">
        <f t="shared" si="2"/>
        <v>-0.10000000000000142</v>
      </c>
      <c r="D30">
        <v>16.54</v>
      </c>
      <c r="E30" s="3">
        <f t="shared" si="1"/>
        <v>-0.10000000000000142</v>
      </c>
      <c r="F30" s="3">
        <f t="shared" si="0"/>
        <v>24.220000000000013</v>
      </c>
      <c r="I30">
        <v>16.54</v>
      </c>
    </row>
    <row r="31" spans="1:9" x14ac:dyDescent="0.25">
      <c r="A31" s="1">
        <v>41487</v>
      </c>
      <c r="B31">
        <v>16.350000000000001</v>
      </c>
      <c r="C31" s="3">
        <f t="shared" si="2"/>
        <v>-0.18999999999999773</v>
      </c>
      <c r="D31">
        <v>16.350000000000001</v>
      </c>
      <c r="E31" s="3">
        <f t="shared" si="1"/>
        <v>-0.18999999999999773</v>
      </c>
      <c r="F31" s="3">
        <f t="shared" si="0"/>
        <v>24.030000000000015</v>
      </c>
      <c r="I31">
        <v>16.350000000000001</v>
      </c>
    </row>
    <row r="32" spans="1:9" x14ac:dyDescent="0.25">
      <c r="A32" s="1">
        <v>41518</v>
      </c>
      <c r="B32">
        <v>16.260000000000002</v>
      </c>
      <c r="C32" s="3">
        <f t="shared" si="2"/>
        <v>-8.9999999999999858E-2</v>
      </c>
      <c r="D32">
        <v>16.260000000000002</v>
      </c>
      <c r="E32" s="3">
        <f t="shared" si="1"/>
        <v>-8.9999999999999858E-2</v>
      </c>
      <c r="F32" s="3">
        <f t="shared" si="0"/>
        <v>23.940000000000015</v>
      </c>
      <c r="I32">
        <v>16.260000000000002</v>
      </c>
    </row>
    <row r="33" spans="1:9" x14ac:dyDescent="0.25">
      <c r="A33" s="1">
        <v>41548</v>
      </c>
      <c r="B33">
        <v>16.14</v>
      </c>
      <c r="C33" s="3">
        <f t="shared" si="2"/>
        <v>-0.12000000000000099</v>
      </c>
      <c r="D33">
        <v>16.14</v>
      </c>
      <c r="E33" s="3">
        <f t="shared" si="1"/>
        <v>-0.12000000000000099</v>
      </c>
      <c r="F33" s="3">
        <f t="shared" si="0"/>
        <v>23.820000000000014</v>
      </c>
      <c r="I33">
        <v>16.14</v>
      </c>
    </row>
    <row r="34" spans="1:9" x14ac:dyDescent="0.25">
      <c r="A34" s="1">
        <v>41579</v>
      </c>
      <c r="B34">
        <v>16.100000000000001</v>
      </c>
      <c r="C34" s="3">
        <f t="shared" si="2"/>
        <v>-3.9999999999999147E-2</v>
      </c>
      <c r="D34">
        <v>16.100000000000001</v>
      </c>
      <c r="E34" s="3">
        <f t="shared" si="1"/>
        <v>-3.9999999999999147E-2</v>
      </c>
      <c r="F34" s="3">
        <f t="shared" si="0"/>
        <v>23.780000000000015</v>
      </c>
      <c r="I34">
        <v>16.100000000000001</v>
      </c>
    </row>
    <row r="35" spans="1:9" x14ac:dyDescent="0.25">
      <c r="A35" s="1">
        <v>41609</v>
      </c>
      <c r="B35">
        <v>15.95</v>
      </c>
      <c r="C35" s="3">
        <f t="shared" si="2"/>
        <v>-0.15000000000000213</v>
      </c>
      <c r="D35">
        <v>15.95</v>
      </c>
      <c r="E35" s="3">
        <f t="shared" si="1"/>
        <v>-0.15000000000000213</v>
      </c>
      <c r="F35" s="3">
        <f t="shared" si="0"/>
        <v>23.630000000000013</v>
      </c>
      <c r="I35">
        <v>15.95</v>
      </c>
    </row>
    <row r="36" spans="1:9" x14ac:dyDescent="0.25">
      <c r="A36" s="1">
        <v>41640</v>
      </c>
      <c r="B36">
        <v>15.86</v>
      </c>
      <c r="C36" s="3">
        <f t="shared" si="2"/>
        <v>-8.9999999999999858E-2</v>
      </c>
      <c r="D36">
        <v>15.86</v>
      </c>
      <c r="E36" s="3">
        <f t="shared" si="1"/>
        <v>-8.9999999999999858E-2</v>
      </c>
      <c r="F36" s="3">
        <f t="shared" si="0"/>
        <v>23.540000000000013</v>
      </c>
      <c r="I36">
        <v>15.86</v>
      </c>
    </row>
    <row r="37" spans="1:9" x14ac:dyDescent="0.25">
      <c r="A37" s="1">
        <v>41671</v>
      </c>
      <c r="B37">
        <v>15.81</v>
      </c>
      <c r="C37" s="3">
        <f t="shared" si="2"/>
        <v>-4.9999999999998934E-2</v>
      </c>
      <c r="D37">
        <v>15.81</v>
      </c>
      <c r="E37" s="3">
        <f t="shared" si="1"/>
        <v>-4.9999999999998934E-2</v>
      </c>
      <c r="F37" s="3">
        <f t="shared" si="0"/>
        <v>23.490000000000016</v>
      </c>
      <c r="I37">
        <v>15.81</v>
      </c>
    </row>
    <row r="38" spans="1:9" x14ac:dyDescent="0.25">
      <c r="A38" s="1">
        <v>41699</v>
      </c>
      <c r="B38">
        <v>15.66</v>
      </c>
      <c r="C38" s="3">
        <f t="shared" si="2"/>
        <v>-0.15000000000000036</v>
      </c>
      <c r="D38">
        <v>15.66</v>
      </c>
      <c r="E38" s="3">
        <f t="shared" si="1"/>
        <v>-0.15000000000000036</v>
      </c>
      <c r="F38" s="3">
        <f t="shared" si="0"/>
        <v>23.340000000000018</v>
      </c>
      <c r="I38">
        <v>15.66</v>
      </c>
    </row>
    <row r="39" spans="1:9" x14ac:dyDescent="0.25">
      <c r="A39" s="1">
        <v>41730</v>
      </c>
      <c r="B39">
        <v>15.59</v>
      </c>
      <c r="C39" s="3">
        <f t="shared" si="2"/>
        <v>-7.0000000000000284E-2</v>
      </c>
      <c r="D39">
        <v>15.59</v>
      </c>
      <c r="E39" s="3">
        <f t="shared" si="1"/>
        <v>-7.0000000000000284E-2</v>
      </c>
      <c r="F39" s="3">
        <f t="shared" si="0"/>
        <v>23.270000000000017</v>
      </c>
      <c r="I39">
        <v>15.59</v>
      </c>
    </row>
    <row r="40" spans="1:9" x14ac:dyDescent="0.25">
      <c r="A40" s="1">
        <v>41760</v>
      </c>
      <c r="B40">
        <v>15.53</v>
      </c>
      <c r="C40" s="3">
        <f t="shared" si="2"/>
        <v>-6.0000000000000497E-2</v>
      </c>
      <c r="D40">
        <v>15.53</v>
      </c>
      <c r="E40" s="3">
        <f t="shared" si="1"/>
        <v>-6.0000000000000497E-2</v>
      </c>
      <c r="F40" s="3">
        <f t="shared" si="0"/>
        <v>23.210000000000015</v>
      </c>
      <c r="I40">
        <v>15.53</v>
      </c>
    </row>
    <row r="41" spans="1:9" x14ac:dyDescent="0.25">
      <c r="A41" s="1">
        <v>41791</v>
      </c>
      <c r="B41">
        <v>15.39</v>
      </c>
      <c r="C41" s="3">
        <f t="shared" si="2"/>
        <v>-0.13999999999999879</v>
      </c>
      <c r="D41">
        <v>15.39</v>
      </c>
      <c r="E41" s="3">
        <f t="shared" si="1"/>
        <v>-0.13999999999999879</v>
      </c>
      <c r="F41" s="3">
        <f t="shared" si="0"/>
        <v>23.070000000000014</v>
      </c>
      <c r="I41">
        <v>15.39</v>
      </c>
    </row>
    <row r="42" spans="1:9" x14ac:dyDescent="0.25">
      <c r="A42" s="1">
        <v>41821</v>
      </c>
      <c r="B42">
        <v>15.36</v>
      </c>
      <c r="C42" s="3">
        <f t="shared" si="2"/>
        <v>-3.0000000000001137E-2</v>
      </c>
      <c r="D42">
        <v>15.36</v>
      </c>
      <c r="E42" s="3">
        <f t="shared" si="1"/>
        <v>-3.0000000000001137E-2</v>
      </c>
      <c r="F42" s="3">
        <f t="shared" si="0"/>
        <v>23.040000000000013</v>
      </c>
      <c r="I42">
        <v>15.36</v>
      </c>
    </row>
    <row r="43" spans="1:9" x14ac:dyDescent="0.25">
      <c r="A43" s="1">
        <v>41852</v>
      </c>
      <c r="B43">
        <v>15.25</v>
      </c>
      <c r="C43" s="3">
        <f t="shared" si="2"/>
        <v>-0.10999999999999943</v>
      </c>
      <c r="D43">
        <v>15.25</v>
      </c>
      <c r="E43" s="3">
        <f t="shared" si="1"/>
        <v>-0.10999999999999943</v>
      </c>
      <c r="F43" s="3">
        <f t="shared" si="0"/>
        <v>22.930000000000014</v>
      </c>
      <c r="I43">
        <v>15.25</v>
      </c>
    </row>
    <row r="44" spans="1:9" x14ac:dyDescent="0.25">
      <c r="A44" s="1">
        <v>41883</v>
      </c>
      <c r="B44">
        <v>15.25</v>
      </c>
      <c r="C44" s="3">
        <f t="shared" si="2"/>
        <v>0</v>
      </c>
      <c r="D44">
        <v>15.25</v>
      </c>
      <c r="E44" s="3">
        <f t="shared" si="1"/>
        <v>0</v>
      </c>
      <c r="F44" s="3">
        <f t="shared" si="0"/>
        <v>22.930000000000014</v>
      </c>
      <c r="I44">
        <v>15.25</v>
      </c>
    </row>
    <row r="45" spans="1:9" x14ac:dyDescent="0.25">
      <c r="A45" s="1">
        <v>41913</v>
      </c>
      <c r="B45">
        <v>15.24</v>
      </c>
      <c r="C45" s="3">
        <f t="shared" si="2"/>
        <v>-9.9999999999997868E-3</v>
      </c>
      <c r="D45">
        <v>15.24</v>
      </c>
      <c r="E45" s="3">
        <f t="shared" si="1"/>
        <v>-9.9999999999997868E-3</v>
      </c>
      <c r="F45" s="3">
        <f t="shared" si="0"/>
        <v>22.920000000000016</v>
      </c>
      <c r="I45">
        <v>15.24</v>
      </c>
    </row>
    <row r="46" spans="1:9" x14ac:dyDescent="0.25">
      <c r="A46" s="1">
        <v>41944</v>
      </c>
      <c r="B46">
        <v>15.23</v>
      </c>
      <c r="C46" s="3">
        <f t="shared" si="2"/>
        <v>-9.9999999999997868E-3</v>
      </c>
      <c r="D46">
        <v>15.23</v>
      </c>
      <c r="E46" s="3">
        <f t="shared" si="1"/>
        <v>-9.9999999999997868E-3</v>
      </c>
      <c r="F46" s="3">
        <f t="shared" si="0"/>
        <v>22.910000000000014</v>
      </c>
      <c r="I46">
        <v>15.23</v>
      </c>
    </row>
    <row r="47" spans="1:9" x14ac:dyDescent="0.25">
      <c r="A47" s="1">
        <v>41974</v>
      </c>
      <c r="B47">
        <v>15.25</v>
      </c>
      <c r="C47" s="3">
        <f t="shared" si="2"/>
        <v>1.9999999999999574E-2</v>
      </c>
      <c r="D47">
        <v>15.25</v>
      </c>
      <c r="E47" s="3">
        <f t="shared" si="1"/>
        <v>1.9999999999999574E-2</v>
      </c>
      <c r="F47" s="3">
        <f t="shared" si="0"/>
        <v>22.930000000000014</v>
      </c>
      <c r="I47">
        <v>15.25</v>
      </c>
    </row>
    <row r="48" spans="1:9" x14ac:dyDescent="0.25">
      <c r="A48" s="1">
        <v>42005</v>
      </c>
      <c r="B48">
        <v>15.11</v>
      </c>
      <c r="C48" s="3">
        <f t="shared" si="2"/>
        <v>-0.14000000000000057</v>
      </c>
      <c r="D48">
        <v>15.11</v>
      </c>
      <c r="E48" s="3">
        <f t="shared" si="1"/>
        <v>-0.14000000000000057</v>
      </c>
      <c r="F48" s="3">
        <f t="shared" si="0"/>
        <v>22.790000000000013</v>
      </c>
      <c r="I48">
        <v>15.11</v>
      </c>
    </row>
    <row r="49" spans="1:9" x14ac:dyDescent="0.25">
      <c r="A49" s="1">
        <v>42036</v>
      </c>
      <c r="B49">
        <v>14.92</v>
      </c>
      <c r="C49" s="3">
        <f t="shared" si="2"/>
        <v>-0.1899999999999995</v>
      </c>
      <c r="D49">
        <v>14.92</v>
      </c>
      <c r="E49" s="3">
        <f t="shared" si="1"/>
        <v>-0.1899999999999995</v>
      </c>
      <c r="F49" s="3">
        <f t="shared" si="0"/>
        <v>22.600000000000012</v>
      </c>
      <c r="I49">
        <v>14.92</v>
      </c>
    </row>
    <row r="50" spans="1:9" x14ac:dyDescent="0.25">
      <c r="A50" s="1">
        <v>42064</v>
      </c>
      <c r="B50">
        <v>14.99</v>
      </c>
      <c r="C50" s="3">
        <f t="shared" si="2"/>
        <v>7.0000000000000284E-2</v>
      </c>
      <c r="D50">
        <v>14.99</v>
      </c>
      <c r="E50" s="3">
        <f t="shared" si="1"/>
        <v>7.0000000000000284E-2</v>
      </c>
      <c r="F50" s="3">
        <f t="shared" si="0"/>
        <v>22.670000000000012</v>
      </c>
      <c r="I50">
        <v>14.99</v>
      </c>
    </row>
    <row r="51" spans="1:9" x14ac:dyDescent="0.25">
      <c r="A51" s="1">
        <v>42095</v>
      </c>
      <c r="B51">
        <v>14.94</v>
      </c>
      <c r="C51" s="3">
        <f t="shared" si="2"/>
        <v>-5.0000000000000711E-2</v>
      </c>
      <c r="D51">
        <v>14.94</v>
      </c>
      <c r="E51" s="3">
        <f t="shared" si="1"/>
        <v>-5.0000000000000711E-2</v>
      </c>
      <c r="F51" s="3">
        <f t="shared" si="0"/>
        <v>22.620000000000012</v>
      </c>
      <c r="I51">
        <v>14.94</v>
      </c>
    </row>
    <row r="52" spans="1:9" x14ac:dyDescent="0.25">
      <c r="A52" s="1">
        <v>42125</v>
      </c>
      <c r="B52">
        <v>14.85</v>
      </c>
      <c r="C52" s="3">
        <f t="shared" si="2"/>
        <v>-8.9999999999999858E-2</v>
      </c>
      <c r="D52">
        <v>14.85</v>
      </c>
      <c r="E52" s="3">
        <f t="shared" si="1"/>
        <v>-8.9999999999999858E-2</v>
      </c>
      <c r="F52" s="3">
        <f t="shared" si="0"/>
        <v>22.530000000000012</v>
      </c>
      <c r="I52">
        <v>14.85</v>
      </c>
    </row>
    <row r="53" spans="1:9" x14ac:dyDescent="0.25">
      <c r="A53" s="1">
        <v>42156</v>
      </c>
      <c r="B53">
        <v>14.83</v>
      </c>
      <c r="C53" s="3">
        <f t="shared" si="2"/>
        <v>-1.9999999999999574E-2</v>
      </c>
      <c r="D53">
        <v>14.83</v>
      </c>
      <c r="E53" s="3">
        <f t="shared" si="1"/>
        <v>-1.9999999999999574E-2</v>
      </c>
      <c r="F53" s="3">
        <f t="shared" si="0"/>
        <v>22.510000000000012</v>
      </c>
      <c r="I53">
        <v>14.83</v>
      </c>
    </row>
    <row r="54" spans="1:9" x14ac:dyDescent="0.25">
      <c r="A54" s="1">
        <v>42186</v>
      </c>
      <c r="B54">
        <v>14.81</v>
      </c>
      <c r="C54" s="3">
        <f t="shared" si="2"/>
        <v>-1.9999999999999574E-2</v>
      </c>
      <c r="D54">
        <v>14.81</v>
      </c>
      <c r="E54" s="3">
        <f t="shared" si="1"/>
        <v>-1.9999999999999574E-2</v>
      </c>
      <c r="F54" s="3">
        <f t="shared" si="0"/>
        <v>22.490000000000013</v>
      </c>
      <c r="I54">
        <v>14.81</v>
      </c>
    </row>
    <row r="55" spans="1:9" x14ac:dyDescent="0.25">
      <c r="A55" s="1">
        <v>42217</v>
      </c>
      <c r="B55">
        <v>14.76</v>
      </c>
      <c r="C55" s="3">
        <f t="shared" si="2"/>
        <v>-5.0000000000000711E-2</v>
      </c>
      <c r="D55">
        <v>14.76</v>
      </c>
      <c r="E55" s="3">
        <f t="shared" si="1"/>
        <v>-5.0000000000000711E-2</v>
      </c>
      <c r="F55" s="3">
        <f t="shared" si="0"/>
        <v>22.440000000000012</v>
      </c>
      <c r="I55">
        <v>14.76</v>
      </c>
    </row>
    <row r="56" spans="1:9" x14ac:dyDescent="0.25">
      <c r="A56" s="1">
        <v>42248</v>
      </c>
      <c r="B56">
        <v>14.66</v>
      </c>
      <c r="C56" s="3">
        <f t="shared" si="2"/>
        <v>-9.9999999999999645E-2</v>
      </c>
      <c r="D56">
        <v>14.66</v>
      </c>
      <c r="E56" s="3">
        <f t="shared" si="1"/>
        <v>-9.9999999999999645E-2</v>
      </c>
      <c r="F56" s="3">
        <f t="shared" si="0"/>
        <v>22.340000000000011</v>
      </c>
      <c r="I56">
        <v>14.66</v>
      </c>
    </row>
    <row r="57" spans="1:9" x14ac:dyDescent="0.25">
      <c r="A57" s="1">
        <v>42278</v>
      </c>
      <c r="B57">
        <v>14.86</v>
      </c>
      <c r="C57" s="3">
        <f t="shared" si="2"/>
        <v>0.19999999999999929</v>
      </c>
      <c r="D57">
        <v>14.86</v>
      </c>
      <c r="E57" s="3">
        <f t="shared" si="1"/>
        <v>0.19999999999999929</v>
      </c>
      <c r="F57" s="3">
        <f t="shared" si="0"/>
        <v>22.54000000000001</v>
      </c>
      <c r="I57">
        <v>14.86</v>
      </c>
    </row>
    <row r="58" spans="1:9" x14ac:dyDescent="0.25">
      <c r="A58" s="1">
        <v>42309</v>
      </c>
      <c r="B58">
        <v>14.84</v>
      </c>
      <c r="C58" s="3">
        <f t="shared" si="2"/>
        <v>-1.9999999999999574E-2</v>
      </c>
      <c r="D58">
        <v>14.84</v>
      </c>
      <c r="E58" s="3">
        <f t="shared" si="1"/>
        <v>-1.9999999999999574E-2</v>
      </c>
      <c r="F58" s="3">
        <f t="shared" si="0"/>
        <v>22.52000000000001</v>
      </c>
      <c r="I58">
        <v>14.84</v>
      </c>
    </row>
    <row r="59" spans="1:9" x14ac:dyDescent="0.25">
      <c r="A59" s="1">
        <v>42339</v>
      </c>
      <c r="B59">
        <v>14.6</v>
      </c>
      <c r="C59" s="3">
        <f t="shared" si="2"/>
        <v>-0.24000000000000021</v>
      </c>
      <c r="D59">
        <v>14.6</v>
      </c>
      <c r="E59" s="3">
        <f t="shared" si="1"/>
        <v>-0.24000000000000021</v>
      </c>
      <c r="F59" s="3">
        <f t="shared" si="0"/>
        <v>22.280000000000008</v>
      </c>
      <c r="I59">
        <v>14.6</v>
      </c>
    </row>
    <row r="60" spans="1:9" x14ac:dyDescent="0.25">
      <c r="A60" s="1">
        <v>42370</v>
      </c>
      <c r="B60">
        <v>14.54</v>
      </c>
      <c r="C60" s="3">
        <f t="shared" si="2"/>
        <v>-6.0000000000000497E-2</v>
      </c>
      <c r="D60">
        <v>14.54</v>
      </c>
      <c r="E60" s="3">
        <f t="shared" si="1"/>
        <v>-6.0000000000000497E-2</v>
      </c>
      <c r="F60" s="3">
        <f t="shared" si="0"/>
        <v>22.220000000000006</v>
      </c>
      <c r="I60">
        <v>14.54</v>
      </c>
    </row>
    <row r="61" spans="1:9" x14ac:dyDescent="0.25">
      <c r="A61" s="1">
        <v>42401</v>
      </c>
      <c r="B61">
        <v>14.6</v>
      </c>
      <c r="C61" s="3">
        <f t="shared" si="2"/>
        <v>6.0000000000000497E-2</v>
      </c>
      <c r="D61">
        <v>14.6</v>
      </c>
      <c r="E61" s="3">
        <f t="shared" si="1"/>
        <v>6.0000000000000497E-2</v>
      </c>
      <c r="F61" s="3">
        <f t="shared" si="0"/>
        <v>22.280000000000008</v>
      </c>
      <c r="I61">
        <v>14.6</v>
      </c>
    </row>
    <row r="62" spans="1:9" x14ac:dyDescent="0.25">
      <c r="A62" s="1">
        <v>42430</v>
      </c>
      <c r="B62">
        <v>14.54</v>
      </c>
      <c r="C62" s="3">
        <f t="shared" si="2"/>
        <v>-6.0000000000000497E-2</v>
      </c>
      <c r="D62">
        <v>14.54</v>
      </c>
      <c r="E62" s="3">
        <f t="shared" si="1"/>
        <v>-6.0000000000000497E-2</v>
      </c>
      <c r="F62" s="3">
        <f t="shared" si="0"/>
        <v>22.220000000000006</v>
      </c>
      <c r="I62">
        <v>14.54</v>
      </c>
    </row>
    <row r="63" spans="1:9" x14ac:dyDescent="0.25">
      <c r="A63" s="1">
        <v>42461</v>
      </c>
      <c r="B63">
        <v>14.47</v>
      </c>
      <c r="C63" s="3">
        <f t="shared" si="2"/>
        <v>-6.9999999999998508E-2</v>
      </c>
      <c r="D63">
        <v>14.47</v>
      </c>
      <c r="E63" s="3">
        <f t="shared" si="1"/>
        <v>-6.9999999999998508E-2</v>
      </c>
      <c r="F63" s="3">
        <f t="shared" si="0"/>
        <v>22.150000000000006</v>
      </c>
      <c r="I63">
        <v>14.47</v>
      </c>
    </row>
    <row r="64" spans="1:9" x14ac:dyDescent="0.25">
      <c r="A64" s="1">
        <v>42491</v>
      </c>
      <c r="B64">
        <v>14.44</v>
      </c>
      <c r="C64" s="3">
        <f t="shared" si="2"/>
        <v>-3.0000000000001137E-2</v>
      </c>
      <c r="D64">
        <v>14.44</v>
      </c>
      <c r="E64" s="3">
        <f t="shared" si="1"/>
        <v>-3.0000000000001137E-2</v>
      </c>
      <c r="F64" s="3">
        <f t="shared" si="0"/>
        <v>22.120000000000005</v>
      </c>
      <c r="I64">
        <v>14.44</v>
      </c>
    </row>
    <row r="65" spans="1:9" x14ac:dyDescent="0.25">
      <c r="A65" s="1">
        <v>42522</v>
      </c>
      <c r="B65">
        <v>14.44</v>
      </c>
      <c r="C65" s="3">
        <f t="shared" si="2"/>
        <v>0</v>
      </c>
      <c r="D65">
        <v>14.44</v>
      </c>
      <c r="E65" s="3">
        <f t="shared" si="1"/>
        <v>0</v>
      </c>
      <c r="F65" s="3">
        <f t="shared" si="0"/>
        <v>22.120000000000005</v>
      </c>
      <c r="I65">
        <v>14.44</v>
      </c>
    </row>
    <row r="66" spans="1:9" x14ac:dyDescent="0.25">
      <c r="A66" s="1">
        <v>42552</v>
      </c>
      <c r="B66">
        <v>14.46</v>
      </c>
      <c r="C66" s="3">
        <f t="shared" si="2"/>
        <v>2.000000000000135E-2</v>
      </c>
      <c r="D66">
        <v>14.46</v>
      </c>
      <c r="E66" s="3">
        <f t="shared" ref="E66:E119" si="3">D66-D65</f>
        <v>2.000000000000135E-2</v>
      </c>
      <c r="F66" s="3">
        <f t="shared" ref="F66:F125" si="4">F67-E67</f>
        <v>22.140000000000008</v>
      </c>
      <c r="I66">
        <v>14.46</v>
      </c>
    </row>
    <row r="67" spans="1:9" x14ac:dyDescent="0.25">
      <c r="A67" s="1">
        <v>42583</v>
      </c>
      <c r="B67">
        <v>14.53</v>
      </c>
      <c r="C67" s="3">
        <f t="shared" si="2"/>
        <v>6.9999999999998508E-2</v>
      </c>
      <c r="D67">
        <v>14.53</v>
      </c>
      <c r="E67" s="3">
        <f t="shared" si="3"/>
        <v>6.9999999999998508E-2</v>
      </c>
      <c r="F67" s="3">
        <f t="shared" si="4"/>
        <v>22.210000000000008</v>
      </c>
      <c r="I67">
        <v>14.53</v>
      </c>
    </row>
    <row r="68" spans="1:9" x14ac:dyDescent="0.25">
      <c r="A68" s="1">
        <v>42614</v>
      </c>
      <c r="B68">
        <v>14.38</v>
      </c>
      <c r="C68" s="3">
        <f t="shared" ref="C68:C131" si="5">B68-B67</f>
        <v>-0.14999999999999858</v>
      </c>
      <c r="D68">
        <v>14.38</v>
      </c>
      <c r="E68" s="3">
        <f t="shared" si="3"/>
        <v>-0.14999999999999858</v>
      </c>
      <c r="F68" s="3">
        <f t="shared" si="4"/>
        <v>22.060000000000009</v>
      </c>
      <c r="I68">
        <v>14.38</v>
      </c>
    </row>
    <row r="69" spans="1:9" x14ac:dyDescent="0.25">
      <c r="A69" s="1">
        <v>42644</v>
      </c>
      <c r="B69">
        <v>14.46</v>
      </c>
      <c r="C69" s="3">
        <f t="shared" si="5"/>
        <v>8.0000000000000071E-2</v>
      </c>
      <c r="D69">
        <v>14.46</v>
      </c>
      <c r="E69" s="3">
        <f t="shared" si="3"/>
        <v>8.0000000000000071E-2</v>
      </c>
      <c r="F69" s="3">
        <f t="shared" si="4"/>
        <v>22.140000000000008</v>
      </c>
      <c r="I69">
        <v>14.46</v>
      </c>
    </row>
    <row r="70" spans="1:9" x14ac:dyDescent="0.25">
      <c r="A70" s="1">
        <v>42675</v>
      </c>
      <c r="B70">
        <v>14.34</v>
      </c>
      <c r="C70" s="3">
        <f t="shared" si="5"/>
        <v>-0.12000000000000099</v>
      </c>
      <c r="D70">
        <v>14.34</v>
      </c>
      <c r="E70" s="3">
        <f t="shared" si="3"/>
        <v>-0.12000000000000099</v>
      </c>
      <c r="F70" s="3">
        <f t="shared" si="4"/>
        <v>22.020000000000007</v>
      </c>
      <c r="I70">
        <v>14.34</v>
      </c>
    </row>
    <row r="71" spans="1:9" x14ac:dyDescent="0.25">
      <c r="A71" s="1">
        <v>42705</v>
      </c>
      <c r="B71">
        <v>14.46</v>
      </c>
      <c r="C71" s="3">
        <f t="shared" si="5"/>
        <v>0.12000000000000099</v>
      </c>
      <c r="D71">
        <v>14.46</v>
      </c>
      <c r="E71" s="3">
        <f t="shared" si="3"/>
        <v>0.12000000000000099</v>
      </c>
      <c r="F71" s="3">
        <f t="shared" si="4"/>
        <v>22.140000000000008</v>
      </c>
      <c r="I71">
        <v>14.46</v>
      </c>
    </row>
    <row r="72" spans="1:9" x14ac:dyDescent="0.25">
      <c r="A72" s="1">
        <v>42736</v>
      </c>
      <c r="B72">
        <v>14.49</v>
      </c>
      <c r="C72" s="3">
        <f t="shared" si="5"/>
        <v>2.9999999999999361E-2</v>
      </c>
      <c r="D72">
        <v>14.49</v>
      </c>
      <c r="E72" s="3">
        <f t="shared" si="3"/>
        <v>2.9999999999999361E-2</v>
      </c>
      <c r="F72" s="3">
        <f t="shared" si="4"/>
        <v>22.170000000000009</v>
      </c>
      <c r="I72">
        <v>14.49</v>
      </c>
    </row>
    <row r="73" spans="1:9" x14ac:dyDescent="0.25">
      <c r="A73" s="1">
        <v>42767</v>
      </c>
      <c r="B73">
        <v>14.48</v>
      </c>
      <c r="C73" s="3">
        <f t="shared" si="5"/>
        <v>-9.9999999999997868E-3</v>
      </c>
      <c r="D73">
        <v>14.48</v>
      </c>
      <c r="E73" s="3">
        <f t="shared" si="3"/>
        <v>-9.9999999999997868E-3</v>
      </c>
      <c r="F73" s="3">
        <f t="shared" si="4"/>
        <v>22.160000000000007</v>
      </c>
      <c r="I73">
        <v>14.48</v>
      </c>
    </row>
    <row r="74" spans="1:9" x14ac:dyDescent="0.25">
      <c r="A74" s="1">
        <v>42795</v>
      </c>
      <c r="B74">
        <v>14.79</v>
      </c>
      <c r="C74" s="3">
        <f t="shared" si="5"/>
        <v>0.30999999999999872</v>
      </c>
      <c r="D74">
        <v>14.79</v>
      </c>
      <c r="E74" s="3">
        <f t="shared" si="3"/>
        <v>0.30999999999999872</v>
      </c>
      <c r="F74" s="3">
        <f t="shared" si="4"/>
        <v>22.470000000000006</v>
      </c>
      <c r="I74">
        <v>14.79</v>
      </c>
    </row>
    <row r="75" spans="1:9" x14ac:dyDescent="0.25">
      <c r="A75" s="1">
        <v>42826</v>
      </c>
      <c r="B75">
        <v>14.81</v>
      </c>
      <c r="C75" s="3">
        <f t="shared" si="5"/>
        <v>2.000000000000135E-2</v>
      </c>
      <c r="D75">
        <v>14.81</v>
      </c>
      <c r="E75" s="3">
        <f t="shared" si="3"/>
        <v>2.000000000000135E-2</v>
      </c>
      <c r="F75" s="3">
        <f t="shared" si="4"/>
        <v>22.490000000000009</v>
      </c>
      <c r="I75">
        <v>14.81</v>
      </c>
    </row>
    <row r="76" spans="1:9" x14ac:dyDescent="0.25">
      <c r="A76" s="1">
        <v>42856</v>
      </c>
      <c r="B76">
        <v>14.88</v>
      </c>
      <c r="C76" s="3">
        <f t="shared" si="5"/>
        <v>7.0000000000000284E-2</v>
      </c>
      <c r="D76">
        <v>14.88</v>
      </c>
      <c r="E76" s="3">
        <f t="shared" si="3"/>
        <v>7.0000000000000284E-2</v>
      </c>
      <c r="F76" s="3">
        <f t="shared" si="4"/>
        <v>22.560000000000009</v>
      </c>
      <c r="I76">
        <v>14.88</v>
      </c>
    </row>
    <row r="77" spans="1:9" x14ac:dyDescent="0.25">
      <c r="A77" s="1">
        <v>42887</v>
      </c>
      <c r="B77">
        <v>14.94</v>
      </c>
      <c r="C77" s="3">
        <f t="shared" si="5"/>
        <v>5.9999999999998721E-2</v>
      </c>
      <c r="D77">
        <v>14.94</v>
      </c>
      <c r="E77" s="3">
        <f t="shared" si="3"/>
        <v>5.9999999999998721E-2</v>
      </c>
      <c r="F77" s="3">
        <f t="shared" si="4"/>
        <v>22.620000000000008</v>
      </c>
      <c r="I77">
        <v>14.94</v>
      </c>
    </row>
    <row r="78" spans="1:9" x14ac:dyDescent="0.25">
      <c r="A78" s="1">
        <v>42917</v>
      </c>
      <c r="B78">
        <v>14.99</v>
      </c>
      <c r="C78" s="3">
        <f t="shared" si="5"/>
        <v>5.0000000000000711E-2</v>
      </c>
      <c r="D78">
        <v>14.99</v>
      </c>
      <c r="E78" s="3">
        <f t="shared" si="3"/>
        <v>5.0000000000000711E-2</v>
      </c>
      <c r="F78" s="3">
        <f t="shared" si="4"/>
        <v>22.670000000000009</v>
      </c>
      <c r="I78">
        <v>14.99</v>
      </c>
    </row>
    <row r="79" spans="1:9" x14ac:dyDescent="0.25">
      <c r="A79" s="1">
        <v>42948</v>
      </c>
      <c r="B79">
        <v>15.07</v>
      </c>
      <c r="C79" s="3">
        <f t="shared" si="5"/>
        <v>8.0000000000000071E-2</v>
      </c>
      <c r="D79">
        <v>15.07</v>
      </c>
      <c r="E79" s="3">
        <f t="shared" si="3"/>
        <v>8.0000000000000071E-2</v>
      </c>
      <c r="F79" s="3">
        <f t="shared" si="4"/>
        <v>22.750000000000007</v>
      </c>
      <c r="I79">
        <v>15.07</v>
      </c>
    </row>
    <row r="80" spans="1:9" x14ac:dyDescent="0.25">
      <c r="A80" s="1">
        <v>42979</v>
      </c>
      <c r="B80">
        <v>15.17</v>
      </c>
      <c r="C80" s="3">
        <f t="shared" si="5"/>
        <v>9.9999999999999645E-2</v>
      </c>
      <c r="D80">
        <v>15.17</v>
      </c>
      <c r="E80" s="3">
        <f t="shared" si="3"/>
        <v>9.9999999999999645E-2</v>
      </c>
      <c r="F80" s="3">
        <f t="shared" si="4"/>
        <v>22.850000000000009</v>
      </c>
      <c r="I80">
        <v>15.17</v>
      </c>
    </row>
    <row r="81" spans="1:9" x14ac:dyDescent="0.25">
      <c r="A81" s="1">
        <v>43009</v>
      </c>
      <c r="B81">
        <v>15.82</v>
      </c>
      <c r="C81" s="3">
        <f t="shared" si="5"/>
        <v>0.65000000000000036</v>
      </c>
      <c r="D81">
        <v>15.82</v>
      </c>
      <c r="E81" s="3">
        <f t="shared" si="3"/>
        <v>0.65000000000000036</v>
      </c>
      <c r="F81" s="3">
        <f t="shared" si="4"/>
        <v>23.500000000000007</v>
      </c>
      <c r="I81">
        <v>15.82</v>
      </c>
    </row>
    <row r="82" spans="1:9" x14ac:dyDescent="0.25">
      <c r="A82" s="1">
        <v>43040</v>
      </c>
      <c r="B82">
        <v>15.83</v>
      </c>
      <c r="C82" s="3">
        <f t="shared" si="5"/>
        <v>9.9999999999997868E-3</v>
      </c>
      <c r="D82">
        <v>15.83</v>
      </c>
      <c r="E82" s="3">
        <f t="shared" si="3"/>
        <v>9.9999999999997868E-3</v>
      </c>
      <c r="F82" s="3">
        <f t="shared" si="4"/>
        <v>23.510000000000005</v>
      </c>
      <c r="I82">
        <v>15.83</v>
      </c>
    </row>
    <row r="83" spans="1:9" x14ac:dyDescent="0.25">
      <c r="A83" s="1">
        <v>43070</v>
      </c>
      <c r="B83">
        <v>15.91</v>
      </c>
      <c r="C83" s="3">
        <f t="shared" si="5"/>
        <v>8.0000000000000071E-2</v>
      </c>
      <c r="D83">
        <v>15.91</v>
      </c>
      <c r="E83" s="3">
        <f t="shared" si="3"/>
        <v>8.0000000000000071E-2</v>
      </c>
      <c r="F83" s="3">
        <f t="shared" si="4"/>
        <v>23.590000000000003</v>
      </c>
      <c r="I83">
        <v>15.91</v>
      </c>
    </row>
    <row r="84" spans="1:9" x14ac:dyDescent="0.25">
      <c r="A84" s="1">
        <v>43101</v>
      </c>
      <c r="B84">
        <v>15.99</v>
      </c>
      <c r="C84" s="3">
        <f t="shared" si="5"/>
        <v>8.0000000000000071E-2</v>
      </c>
      <c r="D84">
        <v>15.99</v>
      </c>
      <c r="E84" s="3">
        <f t="shared" si="3"/>
        <v>8.0000000000000071E-2</v>
      </c>
      <c r="F84" s="3">
        <f t="shared" si="4"/>
        <v>23.67</v>
      </c>
      <c r="I84">
        <v>15.99</v>
      </c>
    </row>
    <row r="85" spans="1:9" x14ac:dyDescent="0.25">
      <c r="A85" s="1">
        <v>43132</v>
      </c>
      <c r="B85">
        <v>15.92</v>
      </c>
      <c r="C85" s="3">
        <f t="shared" si="5"/>
        <v>-7.0000000000000284E-2</v>
      </c>
      <c r="D85">
        <v>15.92</v>
      </c>
      <c r="E85" s="3">
        <f t="shared" si="3"/>
        <v>-7.0000000000000284E-2</v>
      </c>
      <c r="F85" s="3">
        <f t="shared" si="4"/>
        <v>23.6</v>
      </c>
      <c r="I85">
        <v>15.92</v>
      </c>
    </row>
    <row r="86" spans="1:9" x14ac:dyDescent="0.25">
      <c r="A86" s="1">
        <v>43160</v>
      </c>
      <c r="B86">
        <v>16.03</v>
      </c>
      <c r="C86" s="3">
        <f t="shared" si="5"/>
        <v>0.11000000000000121</v>
      </c>
      <c r="D86">
        <v>16.03</v>
      </c>
      <c r="E86" s="3">
        <f t="shared" si="3"/>
        <v>0.11000000000000121</v>
      </c>
      <c r="F86" s="3">
        <f t="shared" si="4"/>
        <v>23.71</v>
      </c>
      <c r="I86">
        <v>16.03</v>
      </c>
    </row>
    <row r="87" spans="1:9" x14ac:dyDescent="0.25">
      <c r="A87" s="1">
        <v>43191</v>
      </c>
      <c r="B87">
        <v>15.94</v>
      </c>
      <c r="C87" s="3">
        <f t="shared" si="5"/>
        <v>-9.0000000000001634E-2</v>
      </c>
      <c r="D87">
        <v>15.94</v>
      </c>
      <c r="E87" s="3">
        <f t="shared" si="3"/>
        <v>-9.0000000000001634E-2</v>
      </c>
      <c r="F87" s="3">
        <f t="shared" si="4"/>
        <v>23.619999999999997</v>
      </c>
      <c r="I87">
        <v>15.94</v>
      </c>
    </row>
    <row r="88" spans="1:9" x14ac:dyDescent="0.25">
      <c r="A88" s="1">
        <v>43221</v>
      </c>
      <c r="B88">
        <v>15.25</v>
      </c>
      <c r="C88" s="3">
        <f t="shared" si="5"/>
        <v>-0.6899999999999995</v>
      </c>
      <c r="D88">
        <v>15.25</v>
      </c>
      <c r="E88" s="3">
        <f t="shared" si="3"/>
        <v>-0.6899999999999995</v>
      </c>
      <c r="F88" s="3">
        <f t="shared" si="4"/>
        <v>22.93</v>
      </c>
      <c r="I88">
        <v>15.25</v>
      </c>
    </row>
    <row r="89" spans="1:9" x14ac:dyDescent="0.25">
      <c r="A89" s="1">
        <v>43252</v>
      </c>
      <c r="B89">
        <v>15.96</v>
      </c>
      <c r="C89" s="3">
        <f t="shared" si="5"/>
        <v>0.71000000000000085</v>
      </c>
      <c r="D89">
        <v>15.96</v>
      </c>
      <c r="E89" s="3">
        <f t="shared" si="3"/>
        <v>0.71000000000000085</v>
      </c>
      <c r="F89" s="3">
        <f t="shared" si="4"/>
        <v>23.64</v>
      </c>
      <c r="I89">
        <v>15.96</v>
      </c>
    </row>
    <row r="90" spans="1:9" x14ac:dyDescent="0.25">
      <c r="A90" s="1">
        <v>43282</v>
      </c>
      <c r="B90">
        <v>16.010000000000002</v>
      </c>
      <c r="C90" s="3">
        <f t="shared" si="5"/>
        <v>5.0000000000000711E-2</v>
      </c>
      <c r="D90">
        <v>16.010000000000002</v>
      </c>
      <c r="E90" s="3">
        <f t="shared" si="3"/>
        <v>5.0000000000000711E-2</v>
      </c>
      <c r="F90" s="3">
        <f t="shared" si="4"/>
        <v>23.69</v>
      </c>
      <c r="I90">
        <v>16.010000000000002</v>
      </c>
    </row>
    <row r="91" spans="1:9" x14ac:dyDescent="0.25">
      <c r="A91" s="1">
        <v>43313</v>
      </c>
      <c r="B91">
        <v>16.059999999999999</v>
      </c>
      <c r="C91" s="3">
        <f t="shared" si="5"/>
        <v>4.9999999999997158E-2</v>
      </c>
      <c r="D91">
        <v>16.059999999999999</v>
      </c>
      <c r="E91" s="3">
        <f t="shared" si="3"/>
        <v>4.9999999999997158E-2</v>
      </c>
      <c r="F91" s="3">
        <f t="shared" si="4"/>
        <v>23.74</v>
      </c>
      <c r="I91">
        <v>16.059999999999999</v>
      </c>
    </row>
    <row r="92" spans="1:9" x14ac:dyDescent="0.25">
      <c r="A92" s="1">
        <v>43344</v>
      </c>
      <c r="B92">
        <v>16.059999999999999</v>
      </c>
      <c r="C92" s="3">
        <f t="shared" si="5"/>
        <v>0</v>
      </c>
      <c r="D92">
        <v>16.059999999999999</v>
      </c>
      <c r="E92" s="3">
        <f t="shared" si="3"/>
        <v>0</v>
      </c>
      <c r="F92" s="3">
        <f t="shared" si="4"/>
        <v>23.74</v>
      </c>
      <c r="I92">
        <v>16.059999999999999</v>
      </c>
    </row>
    <row r="93" spans="1:9" x14ac:dyDescent="0.25">
      <c r="A93" s="1">
        <v>43374</v>
      </c>
      <c r="B93">
        <v>16.12</v>
      </c>
      <c r="C93" s="3">
        <f t="shared" si="5"/>
        <v>6.0000000000002274E-2</v>
      </c>
      <c r="D93">
        <v>16.12</v>
      </c>
      <c r="E93" s="3">
        <f t="shared" si="3"/>
        <v>6.0000000000002274E-2</v>
      </c>
      <c r="F93" s="3">
        <f t="shared" si="4"/>
        <v>23.8</v>
      </c>
      <c r="I93">
        <v>16.12</v>
      </c>
    </row>
    <row r="94" spans="1:9" x14ac:dyDescent="0.25">
      <c r="A94" s="1">
        <v>43405</v>
      </c>
      <c r="B94">
        <v>16.18</v>
      </c>
      <c r="C94" s="3">
        <f t="shared" si="5"/>
        <v>5.9999999999998721E-2</v>
      </c>
      <c r="D94">
        <v>16.18</v>
      </c>
      <c r="E94" s="3">
        <f t="shared" si="3"/>
        <v>5.9999999999998721E-2</v>
      </c>
      <c r="F94" s="3">
        <f t="shared" si="4"/>
        <v>23.86</v>
      </c>
      <c r="I94">
        <v>16.18</v>
      </c>
    </row>
    <row r="95" spans="1:9" x14ac:dyDescent="0.25">
      <c r="A95" s="1">
        <v>43435</v>
      </c>
      <c r="B95">
        <v>16.23</v>
      </c>
      <c r="C95" s="3">
        <f t="shared" si="5"/>
        <v>5.0000000000000711E-2</v>
      </c>
      <c r="D95">
        <v>16.23</v>
      </c>
      <c r="E95" s="3">
        <f t="shared" si="3"/>
        <v>5.0000000000000711E-2</v>
      </c>
      <c r="F95" s="3">
        <f t="shared" si="4"/>
        <v>23.91</v>
      </c>
      <c r="I95">
        <v>16.23</v>
      </c>
    </row>
    <row r="96" spans="1:9" x14ac:dyDescent="0.25">
      <c r="A96" s="1">
        <v>43466</v>
      </c>
      <c r="B96">
        <v>16.260000000000002</v>
      </c>
      <c r="C96" s="3">
        <f t="shared" si="5"/>
        <v>3.0000000000001137E-2</v>
      </c>
      <c r="D96">
        <v>16.260000000000002</v>
      </c>
      <c r="E96" s="3">
        <f t="shared" si="3"/>
        <v>3.0000000000001137E-2</v>
      </c>
      <c r="F96" s="3">
        <f t="shared" si="4"/>
        <v>23.94</v>
      </c>
      <c r="I96">
        <v>16.260000000000002</v>
      </c>
    </row>
    <row r="97" spans="1:9" x14ac:dyDescent="0.25">
      <c r="A97" s="1">
        <v>43497</v>
      </c>
      <c r="B97">
        <v>16.3</v>
      </c>
      <c r="C97" s="3">
        <f t="shared" si="5"/>
        <v>3.9999999999999147E-2</v>
      </c>
      <c r="D97">
        <v>16.3</v>
      </c>
      <c r="E97" s="3">
        <f t="shared" si="3"/>
        <v>3.9999999999999147E-2</v>
      </c>
      <c r="F97" s="3">
        <f t="shared" si="4"/>
        <v>23.98</v>
      </c>
      <c r="I97">
        <v>16.3</v>
      </c>
    </row>
    <row r="98" spans="1:9" x14ac:dyDescent="0.25">
      <c r="A98" s="1">
        <v>43525</v>
      </c>
      <c r="B98">
        <v>16.2</v>
      </c>
      <c r="C98" s="3">
        <f t="shared" si="5"/>
        <v>-0.10000000000000142</v>
      </c>
      <c r="D98">
        <v>16.2</v>
      </c>
      <c r="E98" s="3">
        <f t="shared" si="3"/>
        <v>-0.10000000000000142</v>
      </c>
      <c r="F98" s="3">
        <f t="shared" si="4"/>
        <v>23.88</v>
      </c>
      <c r="I98">
        <v>16.2</v>
      </c>
    </row>
    <row r="99" spans="1:9" x14ac:dyDescent="0.25">
      <c r="A99" s="1">
        <v>43556</v>
      </c>
      <c r="B99">
        <v>16.34</v>
      </c>
      <c r="C99" s="3">
        <f t="shared" si="5"/>
        <v>0.14000000000000057</v>
      </c>
      <c r="D99">
        <v>16.34</v>
      </c>
      <c r="E99" s="3">
        <f t="shared" si="3"/>
        <v>0.14000000000000057</v>
      </c>
      <c r="F99" s="3">
        <f t="shared" si="4"/>
        <v>24.02</v>
      </c>
      <c r="I99">
        <v>16.34</v>
      </c>
    </row>
    <row r="100" spans="1:9" x14ac:dyDescent="0.25">
      <c r="A100" s="1">
        <v>43586</v>
      </c>
      <c r="B100">
        <v>16.41</v>
      </c>
      <c r="C100" s="3">
        <f t="shared" si="5"/>
        <v>7.0000000000000284E-2</v>
      </c>
      <c r="D100">
        <v>16.41</v>
      </c>
      <c r="E100" s="3">
        <f t="shared" si="3"/>
        <v>7.0000000000000284E-2</v>
      </c>
      <c r="F100" s="3">
        <f t="shared" si="4"/>
        <v>24.09</v>
      </c>
      <c r="I100">
        <v>16.41</v>
      </c>
    </row>
    <row r="101" spans="1:9" x14ac:dyDescent="0.25">
      <c r="A101" s="1">
        <v>43617</v>
      </c>
      <c r="B101">
        <v>16.309999999999999</v>
      </c>
      <c r="C101" s="3">
        <f t="shared" si="5"/>
        <v>-0.10000000000000142</v>
      </c>
      <c r="D101">
        <v>16.309999999999999</v>
      </c>
      <c r="E101" s="3">
        <f t="shared" si="3"/>
        <v>-0.10000000000000142</v>
      </c>
      <c r="F101" s="3">
        <f t="shared" si="4"/>
        <v>23.99</v>
      </c>
      <c r="I101">
        <v>16.309999999999999</v>
      </c>
    </row>
    <row r="102" spans="1:9" x14ac:dyDescent="0.25">
      <c r="A102" s="1">
        <v>43647</v>
      </c>
      <c r="B102">
        <v>16.489999999999998</v>
      </c>
      <c r="C102" s="3">
        <f t="shared" si="5"/>
        <v>0.17999999999999972</v>
      </c>
      <c r="D102">
        <v>16.489999999999998</v>
      </c>
      <c r="E102" s="3">
        <f t="shared" si="3"/>
        <v>0.17999999999999972</v>
      </c>
      <c r="F102" s="3">
        <f t="shared" si="4"/>
        <v>24.169999999999998</v>
      </c>
      <c r="I102">
        <v>16.489999999999998</v>
      </c>
    </row>
    <row r="103" spans="1:9" x14ac:dyDescent="0.25">
      <c r="A103" s="1">
        <v>43678</v>
      </c>
      <c r="B103">
        <v>16.38</v>
      </c>
      <c r="C103" s="3">
        <f t="shared" si="5"/>
        <v>-0.10999999999999943</v>
      </c>
      <c r="D103">
        <v>16.38</v>
      </c>
      <c r="E103" s="3">
        <f t="shared" si="3"/>
        <v>-0.10999999999999943</v>
      </c>
      <c r="F103" s="3">
        <f t="shared" si="4"/>
        <v>24.06</v>
      </c>
      <c r="I103">
        <v>16.38</v>
      </c>
    </row>
    <row r="104" spans="1:9" x14ac:dyDescent="0.25">
      <c r="A104" s="1">
        <v>43709</v>
      </c>
      <c r="B104">
        <v>16.559999999999999</v>
      </c>
      <c r="C104" s="3">
        <f t="shared" si="5"/>
        <v>0.17999999999999972</v>
      </c>
      <c r="D104">
        <v>16.559999999999999</v>
      </c>
      <c r="E104" s="3">
        <f t="shared" si="3"/>
        <v>0.17999999999999972</v>
      </c>
      <c r="F104" s="3">
        <f t="shared" si="4"/>
        <v>24.24</v>
      </c>
      <c r="I104">
        <v>16.559999999999999</v>
      </c>
    </row>
    <row r="105" spans="1:9" x14ac:dyDescent="0.25">
      <c r="A105" s="1">
        <v>43739</v>
      </c>
      <c r="B105">
        <v>16.62</v>
      </c>
      <c r="C105" s="3">
        <f t="shared" si="5"/>
        <v>6.0000000000002274E-2</v>
      </c>
      <c r="D105">
        <v>16.62</v>
      </c>
      <c r="E105" s="3">
        <f t="shared" si="3"/>
        <v>6.0000000000002274E-2</v>
      </c>
      <c r="F105" s="3">
        <f t="shared" si="4"/>
        <v>24.3</v>
      </c>
      <c r="I105">
        <v>16.62</v>
      </c>
    </row>
    <row r="106" spans="1:9" x14ac:dyDescent="0.25">
      <c r="A106" s="1">
        <v>43770</v>
      </c>
      <c r="B106">
        <v>16.5</v>
      </c>
      <c r="C106" s="3">
        <f t="shared" si="5"/>
        <v>-0.12000000000000099</v>
      </c>
      <c r="D106">
        <v>16.5</v>
      </c>
      <c r="E106" s="3">
        <f t="shared" si="3"/>
        <v>-0.12000000000000099</v>
      </c>
      <c r="F106" s="3">
        <f t="shared" si="4"/>
        <v>24.18</v>
      </c>
      <c r="I106">
        <v>16.5</v>
      </c>
    </row>
    <row r="107" spans="1:9" x14ac:dyDescent="0.25">
      <c r="A107" s="1">
        <v>43800</v>
      </c>
      <c r="B107">
        <v>16.72</v>
      </c>
      <c r="C107" s="3">
        <f t="shared" si="5"/>
        <v>0.21999999999999886</v>
      </c>
      <c r="D107">
        <v>16.72</v>
      </c>
      <c r="E107" s="3">
        <f t="shared" si="3"/>
        <v>0.21999999999999886</v>
      </c>
      <c r="F107" s="3">
        <f t="shared" si="4"/>
        <v>24.4</v>
      </c>
      <c r="I107">
        <v>16.72</v>
      </c>
    </row>
    <row r="108" spans="1:9" x14ac:dyDescent="0.25">
      <c r="A108" s="1">
        <v>43831</v>
      </c>
      <c r="B108">
        <v>16.84</v>
      </c>
      <c r="C108" s="3">
        <f t="shared" si="5"/>
        <v>0.12000000000000099</v>
      </c>
      <c r="D108">
        <v>16.84</v>
      </c>
      <c r="E108" s="3">
        <f t="shared" si="3"/>
        <v>0.12000000000000099</v>
      </c>
      <c r="F108" s="3">
        <f t="shared" si="4"/>
        <v>24.52</v>
      </c>
      <c r="I108">
        <v>16.84</v>
      </c>
    </row>
    <row r="109" spans="1:9" x14ac:dyDescent="0.25">
      <c r="A109" s="1">
        <v>43862</v>
      </c>
      <c r="B109">
        <v>16.72</v>
      </c>
      <c r="C109" s="3">
        <f t="shared" si="5"/>
        <v>-0.12000000000000099</v>
      </c>
      <c r="D109">
        <v>16.72</v>
      </c>
      <c r="E109" s="3">
        <f t="shared" si="3"/>
        <v>-0.12000000000000099</v>
      </c>
      <c r="F109" s="3">
        <f t="shared" si="4"/>
        <v>24.4</v>
      </c>
      <c r="I109">
        <v>16.72</v>
      </c>
    </row>
    <row r="110" spans="1:9" x14ac:dyDescent="0.25">
      <c r="A110" s="1">
        <v>43891</v>
      </c>
      <c r="B110">
        <v>16.78</v>
      </c>
      <c r="C110" s="3">
        <f t="shared" si="5"/>
        <v>6.0000000000002274E-2</v>
      </c>
      <c r="D110">
        <v>16.78</v>
      </c>
      <c r="E110" s="3">
        <f t="shared" si="3"/>
        <v>6.0000000000002274E-2</v>
      </c>
      <c r="F110" s="3">
        <f t="shared" si="4"/>
        <v>24.46</v>
      </c>
      <c r="I110">
        <v>16.78</v>
      </c>
    </row>
    <row r="111" spans="1:9" x14ac:dyDescent="0.25">
      <c r="A111" s="1">
        <v>43922</v>
      </c>
      <c r="B111">
        <v>16.829999999999998</v>
      </c>
      <c r="C111" s="3">
        <f t="shared" si="5"/>
        <v>4.9999999999997158E-2</v>
      </c>
      <c r="D111">
        <v>16.829999999999998</v>
      </c>
      <c r="E111" s="3">
        <f t="shared" si="3"/>
        <v>4.9999999999997158E-2</v>
      </c>
      <c r="F111" s="3">
        <f t="shared" si="4"/>
        <v>24.509999999999998</v>
      </c>
      <c r="I111">
        <v>16.829999999999998</v>
      </c>
    </row>
    <row r="112" spans="1:9" x14ac:dyDescent="0.25">
      <c r="A112" s="1">
        <v>43952</v>
      </c>
      <c r="B112">
        <v>16.73</v>
      </c>
      <c r="C112" s="3">
        <f t="shared" si="5"/>
        <v>-9.9999999999997868E-2</v>
      </c>
      <c r="D112">
        <v>16.73</v>
      </c>
      <c r="E112" s="3">
        <f t="shared" si="3"/>
        <v>-9.9999999999997868E-2</v>
      </c>
      <c r="F112" s="3">
        <f t="shared" si="4"/>
        <v>24.41</v>
      </c>
      <c r="I112">
        <v>16.73</v>
      </c>
    </row>
    <row r="113" spans="1:9" x14ac:dyDescent="0.25">
      <c r="A113" s="1">
        <v>43983</v>
      </c>
      <c r="B113">
        <v>16.829999999999998</v>
      </c>
      <c r="C113" s="3">
        <f t="shared" si="5"/>
        <v>9.9999999999997868E-2</v>
      </c>
      <c r="D113">
        <v>16.829999999999998</v>
      </c>
      <c r="E113" s="3">
        <f t="shared" si="3"/>
        <v>9.9999999999997868E-2</v>
      </c>
      <c r="F113" s="3">
        <f t="shared" si="4"/>
        <v>24.509999999999998</v>
      </c>
      <c r="I113">
        <v>16.829999999999998</v>
      </c>
    </row>
    <row r="114" spans="1:9" x14ac:dyDescent="0.25">
      <c r="A114" s="1">
        <v>44013</v>
      </c>
      <c r="B114">
        <v>17.170000000000002</v>
      </c>
      <c r="C114" s="3">
        <f t="shared" si="5"/>
        <v>0.34000000000000341</v>
      </c>
      <c r="D114">
        <v>17.170000000000002</v>
      </c>
      <c r="E114" s="3">
        <f t="shared" si="3"/>
        <v>0.34000000000000341</v>
      </c>
      <c r="F114" s="3">
        <f t="shared" si="4"/>
        <v>24.85</v>
      </c>
      <c r="I114">
        <v>17.170000000000002</v>
      </c>
    </row>
    <row r="115" spans="1:9" ht="15.75" thickBot="1" x14ac:dyDescent="0.3">
      <c r="A115" s="1">
        <v>44044</v>
      </c>
      <c r="B115">
        <v>16.850000000000001</v>
      </c>
      <c r="C115" s="3">
        <f t="shared" si="5"/>
        <v>-0.32000000000000028</v>
      </c>
      <c r="D115">
        <v>16.850000000000001</v>
      </c>
      <c r="E115" s="3">
        <f t="shared" si="3"/>
        <v>-0.32000000000000028</v>
      </c>
      <c r="F115" s="3">
        <f t="shared" si="4"/>
        <v>24.53</v>
      </c>
      <c r="I115">
        <v>16.850000000000001</v>
      </c>
    </row>
    <row r="116" spans="1:9" ht="15.75" thickBot="1" x14ac:dyDescent="0.3">
      <c r="A116" s="1">
        <v>44075</v>
      </c>
      <c r="B116">
        <v>26.2</v>
      </c>
      <c r="C116" s="3">
        <f>B116-B115</f>
        <v>9.3499999999999979</v>
      </c>
      <c r="D116" s="4">
        <f>(D115+D117)/2</f>
        <v>16.855</v>
      </c>
      <c r="E116" s="3">
        <f t="shared" si="3"/>
        <v>4.9999999999990052E-3</v>
      </c>
      <c r="F116" s="6">
        <f t="shared" si="4"/>
        <v>24.535</v>
      </c>
      <c r="I116">
        <v>16.93</v>
      </c>
    </row>
    <row r="117" spans="1:9" ht="15.75" thickBot="1" x14ac:dyDescent="0.3">
      <c r="A117" s="1">
        <v>44105</v>
      </c>
      <c r="B117">
        <v>16.86</v>
      </c>
      <c r="C117" s="3">
        <f t="shared" si="5"/>
        <v>-9.34</v>
      </c>
      <c r="D117">
        <v>16.86</v>
      </c>
      <c r="E117" s="3">
        <f t="shared" si="3"/>
        <v>4.9999999999990052E-3</v>
      </c>
      <c r="F117" s="7">
        <f t="shared" si="4"/>
        <v>24.54</v>
      </c>
      <c r="I117">
        <v>16.86</v>
      </c>
    </row>
    <row r="118" spans="1:9" x14ac:dyDescent="0.25">
      <c r="A118" s="1">
        <v>44136</v>
      </c>
      <c r="B118">
        <v>17.079999999999998</v>
      </c>
      <c r="C118" s="3">
        <f t="shared" si="5"/>
        <v>0.21999999999999886</v>
      </c>
      <c r="D118">
        <v>17.079999999999998</v>
      </c>
      <c r="E118" s="3">
        <f t="shared" si="3"/>
        <v>0.21999999999999886</v>
      </c>
      <c r="F118" s="3">
        <f t="shared" si="4"/>
        <v>24.759999999999998</v>
      </c>
      <c r="I118">
        <v>17.079999999999998</v>
      </c>
    </row>
    <row r="119" spans="1:9" x14ac:dyDescent="0.25">
      <c r="A119" s="1">
        <v>44166</v>
      </c>
      <c r="B119">
        <v>17.190000000000001</v>
      </c>
      <c r="C119" s="3">
        <f t="shared" si="5"/>
        <v>0.11000000000000298</v>
      </c>
      <c r="D119">
        <v>17.190000000000001</v>
      </c>
      <c r="E119" s="3">
        <f t="shared" si="3"/>
        <v>0.11000000000000298</v>
      </c>
      <c r="F119" s="3">
        <f t="shared" si="4"/>
        <v>24.87</v>
      </c>
      <c r="I119">
        <v>17.190000000000001</v>
      </c>
    </row>
    <row r="120" spans="1:9" x14ac:dyDescent="0.25">
      <c r="A120" s="1">
        <v>44197</v>
      </c>
      <c r="B120">
        <v>17</v>
      </c>
      <c r="C120" s="3">
        <f t="shared" si="5"/>
        <v>-0.19000000000000128</v>
      </c>
      <c r="D120">
        <v>17</v>
      </c>
      <c r="E120" s="3">
        <f t="shared" ref="E120" si="6">D120-D119</f>
        <v>-0.19000000000000128</v>
      </c>
      <c r="F120" s="3">
        <f t="shared" si="4"/>
        <v>24.68</v>
      </c>
      <c r="I120">
        <v>17</v>
      </c>
    </row>
    <row r="121" spans="1:9" x14ac:dyDescent="0.25">
      <c r="A121" s="1">
        <v>44228</v>
      </c>
      <c r="B121">
        <v>17.03</v>
      </c>
      <c r="C121" s="3">
        <f t="shared" si="5"/>
        <v>3.0000000000001137E-2</v>
      </c>
      <c r="D121">
        <v>17.03</v>
      </c>
      <c r="E121" s="3">
        <f t="shared" ref="E121" si="7">D121-D120</f>
        <v>3.0000000000001137E-2</v>
      </c>
      <c r="F121" s="3">
        <f t="shared" si="4"/>
        <v>24.71</v>
      </c>
      <c r="I121">
        <v>17.03</v>
      </c>
    </row>
    <row r="122" spans="1:9" x14ac:dyDescent="0.25">
      <c r="A122" s="1">
        <v>44256</v>
      </c>
      <c r="B122">
        <v>17.22</v>
      </c>
      <c r="C122" s="3">
        <f t="shared" si="5"/>
        <v>0.18999999999999773</v>
      </c>
      <c r="D122">
        <v>17.22</v>
      </c>
      <c r="E122" s="3">
        <f t="shared" ref="E122" si="8">D122-D121</f>
        <v>0.18999999999999773</v>
      </c>
      <c r="F122" s="3">
        <f t="shared" si="4"/>
        <v>24.9</v>
      </c>
      <c r="I122">
        <v>17.22</v>
      </c>
    </row>
    <row r="123" spans="1:9" x14ac:dyDescent="0.25">
      <c r="A123" s="1">
        <v>44287</v>
      </c>
      <c r="B123">
        <v>17.23</v>
      </c>
      <c r="C123" s="3">
        <f t="shared" si="5"/>
        <v>1.0000000000001563E-2</v>
      </c>
      <c r="D123">
        <v>17.23</v>
      </c>
      <c r="E123" s="3">
        <f t="shared" ref="E123" si="9">D123-D122</f>
        <v>1.0000000000001563E-2</v>
      </c>
      <c r="F123" s="3">
        <f t="shared" si="4"/>
        <v>24.91</v>
      </c>
      <c r="I123">
        <v>17.23</v>
      </c>
    </row>
    <row r="124" spans="1:9" x14ac:dyDescent="0.25">
      <c r="A124" s="1">
        <v>44317</v>
      </c>
      <c r="B124">
        <v>17.28</v>
      </c>
      <c r="C124" s="3">
        <f t="shared" si="5"/>
        <v>5.0000000000000711E-2</v>
      </c>
      <c r="D124">
        <v>17.28</v>
      </c>
      <c r="E124" s="3">
        <f t="shared" ref="E124" si="10">D124-D123</f>
        <v>5.0000000000000711E-2</v>
      </c>
      <c r="F124" s="3">
        <f t="shared" si="4"/>
        <v>24.96</v>
      </c>
      <c r="I124">
        <v>17.28</v>
      </c>
    </row>
    <row r="125" spans="1:9" x14ac:dyDescent="0.25">
      <c r="A125" s="1">
        <v>44348</v>
      </c>
      <c r="B125">
        <v>17.350000000000001</v>
      </c>
      <c r="C125" s="3">
        <f t="shared" si="5"/>
        <v>7.0000000000000284E-2</v>
      </c>
      <c r="D125">
        <v>17.350000000000001</v>
      </c>
      <c r="E125" s="3">
        <f t="shared" ref="E125" si="11">D125-D124</f>
        <v>7.0000000000000284E-2</v>
      </c>
      <c r="F125" s="3">
        <f t="shared" si="4"/>
        <v>25.03</v>
      </c>
      <c r="I125">
        <v>17.350000000000001</v>
      </c>
    </row>
    <row r="126" spans="1:9" ht="15.75" thickBot="1" x14ac:dyDescent="0.3">
      <c r="A126" s="1">
        <v>44378</v>
      </c>
      <c r="B126">
        <v>17.5</v>
      </c>
      <c r="C126" s="3">
        <f t="shared" si="5"/>
        <v>0.14999999999999858</v>
      </c>
      <c r="D126">
        <v>17.5</v>
      </c>
      <c r="E126" s="3">
        <f t="shared" ref="E126" si="12">D126-D125</f>
        <v>0.14999999999999858</v>
      </c>
      <c r="F126" s="3">
        <f>F127-E127</f>
        <v>25.18</v>
      </c>
      <c r="I126">
        <v>17.5</v>
      </c>
    </row>
    <row r="127" spans="1:9" x14ac:dyDescent="0.25">
      <c r="A127" s="1">
        <v>44409</v>
      </c>
      <c r="B127">
        <v>17.649999999999999</v>
      </c>
      <c r="C127" s="3">
        <f t="shared" si="5"/>
        <v>0.14999999999999858</v>
      </c>
      <c r="D127">
        <v>17.649999999999999</v>
      </c>
      <c r="E127" s="3">
        <f t="shared" ref="E127" si="13">D127-D126</f>
        <v>0.14999999999999858</v>
      </c>
      <c r="F127" s="6">
        <f>F128</f>
        <v>25.33</v>
      </c>
      <c r="G127" s="5"/>
      <c r="I127">
        <v>17.649999999999999</v>
      </c>
    </row>
    <row r="128" spans="1:9" ht="15.75" thickBot="1" x14ac:dyDescent="0.3">
      <c r="A128" s="1">
        <v>44440</v>
      </c>
      <c r="B128">
        <v>22.93</v>
      </c>
      <c r="C128" s="3">
        <f t="shared" si="5"/>
        <v>5.2800000000000011</v>
      </c>
      <c r="D128">
        <v>22.93</v>
      </c>
      <c r="E128" s="3">
        <f t="shared" ref="E128" si="14">D128-D127</f>
        <v>5.2800000000000011</v>
      </c>
      <c r="F128" s="7">
        <f t="shared" ref="F128:F131" si="15">F129-E129</f>
        <v>25.33</v>
      </c>
      <c r="G128" s="5"/>
      <c r="I128">
        <v>17.7</v>
      </c>
    </row>
    <row r="129" spans="1:9" ht="15.75" thickBot="1" x14ac:dyDescent="0.3">
      <c r="A129" s="1">
        <v>44470</v>
      </c>
      <c r="B129">
        <v>25.69</v>
      </c>
      <c r="C129" s="3">
        <f t="shared" si="5"/>
        <v>2.7600000000000016</v>
      </c>
      <c r="D129" s="4">
        <f>(D128+D130)/2</f>
        <v>23.164999999999999</v>
      </c>
      <c r="E129" s="3">
        <f t="shared" ref="E129" si="16">D129-D128</f>
        <v>0.23499999999999943</v>
      </c>
      <c r="F129" s="3">
        <f t="shared" si="15"/>
        <v>25.564999999999998</v>
      </c>
      <c r="G129" s="5"/>
      <c r="I129">
        <v>17.559999999999999</v>
      </c>
    </row>
    <row r="130" spans="1:9" x14ac:dyDescent="0.25">
      <c r="A130" s="1">
        <v>44501</v>
      </c>
      <c r="B130">
        <v>23.4</v>
      </c>
      <c r="C130" s="3">
        <f t="shared" si="5"/>
        <v>-2.2900000000000027</v>
      </c>
      <c r="D130">
        <v>23.4</v>
      </c>
      <c r="E130" s="3">
        <f t="shared" ref="E130" si="17">D130-D129</f>
        <v>0.23499999999999943</v>
      </c>
      <c r="F130" s="3">
        <f t="shared" si="15"/>
        <v>25.799999999999997</v>
      </c>
      <c r="G130" s="5"/>
      <c r="I130">
        <v>17.62</v>
      </c>
    </row>
    <row r="131" spans="1:9" x14ac:dyDescent="0.25">
      <c r="A131" s="1">
        <v>44531</v>
      </c>
      <c r="B131">
        <v>23.41</v>
      </c>
      <c r="C131" s="3">
        <f t="shared" si="5"/>
        <v>1.0000000000001563E-2</v>
      </c>
      <c r="D131">
        <v>23.41</v>
      </c>
      <c r="E131" s="3">
        <f t="shared" ref="E131" si="18">D131-D130</f>
        <v>1.0000000000001563E-2</v>
      </c>
      <c r="F131" s="3">
        <f t="shared" si="15"/>
        <v>25.81</v>
      </c>
      <c r="G131" s="5"/>
      <c r="I131">
        <v>17.670000000000002</v>
      </c>
    </row>
    <row r="132" spans="1:9" ht="15.75" thickBot="1" x14ac:dyDescent="0.3">
      <c r="A132" s="1">
        <v>44562</v>
      </c>
      <c r="B132">
        <v>22.85</v>
      </c>
      <c r="C132" s="3">
        <f t="shared" ref="C132:E167" si="19">B132-B131</f>
        <v>-0.55999999999999872</v>
      </c>
      <c r="D132">
        <v>22.85</v>
      </c>
      <c r="E132" s="3">
        <f>D132-D131</f>
        <v>-0.55999999999999872</v>
      </c>
      <c r="F132" s="3">
        <f>F133-E133</f>
        <v>25.25</v>
      </c>
      <c r="G132" s="5"/>
      <c r="I132">
        <v>17.72</v>
      </c>
    </row>
    <row r="133" spans="1:9" x14ac:dyDescent="0.25">
      <c r="A133" s="1">
        <v>44593</v>
      </c>
      <c r="B133">
        <v>23.23</v>
      </c>
      <c r="C133" s="5">
        <f t="shared" si="19"/>
        <v>0.37999999999999901</v>
      </c>
      <c r="D133">
        <v>23.23</v>
      </c>
      <c r="E133" s="5">
        <f t="shared" si="19"/>
        <v>0.37999999999999901</v>
      </c>
      <c r="F133" s="6">
        <f>F134</f>
        <v>25.63</v>
      </c>
      <c r="G133" s="5"/>
      <c r="I133">
        <v>17.600000000000001</v>
      </c>
    </row>
    <row r="134" spans="1:9" ht="15.75" thickBot="1" x14ac:dyDescent="0.3">
      <c r="A134" s="1">
        <v>44621</v>
      </c>
      <c r="B134">
        <v>25.63</v>
      </c>
      <c r="C134" s="5">
        <f t="shared" si="19"/>
        <v>2.3999999999999986</v>
      </c>
      <c r="D134">
        <v>25.63</v>
      </c>
      <c r="F134" s="7">
        <f t="shared" ref="F134:F175" si="20">D134</f>
        <v>25.63</v>
      </c>
      <c r="I134">
        <v>17.79</v>
      </c>
    </row>
    <row r="135" spans="1:9" x14ac:dyDescent="0.25">
      <c r="A135" s="1">
        <v>44652</v>
      </c>
      <c r="B135">
        <v>25.18</v>
      </c>
      <c r="C135" s="5">
        <f t="shared" si="19"/>
        <v>-0.44999999999999929</v>
      </c>
      <c r="D135">
        <v>25.18</v>
      </c>
      <c r="F135" s="5">
        <f t="shared" si="20"/>
        <v>25.18</v>
      </c>
      <c r="I135">
        <v>17.62</v>
      </c>
    </row>
    <row r="136" spans="1:9" x14ac:dyDescent="0.25">
      <c r="A136" s="1">
        <v>44682</v>
      </c>
      <c r="B136">
        <v>25.19</v>
      </c>
      <c r="C136" s="3">
        <f t="shared" si="19"/>
        <v>1.0000000000001563E-2</v>
      </c>
      <c r="D136">
        <v>25.19</v>
      </c>
      <c r="F136" s="3">
        <f t="shared" si="20"/>
        <v>25.19</v>
      </c>
      <c r="I136">
        <v>17.829999999999998</v>
      </c>
    </row>
    <row r="137" spans="1:9" x14ac:dyDescent="0.25">
      <c r="A137" s="1">
        <v>44713</v>
      </c>
      <c r="B137">
        <v>25.06</v>
      </c>
      <c r="C137" s="3">
        <f t="shared" si="19"/>
        <v>-0.13000000000000256</v>
      </c>
      <c r="D137">
        <v>25.06</v>
      </c>
      <c r="F137" s="3">
        <f t="shared" si="20"/>
        <v>25.06</v>
      </c>
      <c r="I137">
        <v>17.86</v>
      </c>
    </row>
    <row r="138" spans="1:9" x14ac:dyDescent="0.25">
      <c r="A138" s="1">
        <v>44743</v>
      </c>
      <c r="B138">
        <v>24.71</v>
      </c>
      <c r="C138" s="3">
        <f t="shared" si="19"/>
        <v>-0.34999999999999787</v>
      </c>
      <c r="D138">
        <v>24.71</v>
      </c>
      <c r="F138" s="3">
        <f t="shared" si="20"/>
        <v>24.71</v>
      </c>
      <c r="I138">
        <v>17.68</v>
      </c>
    </row>
    <row r="139" spans="1:9" x14ac:dyDescent="0.25">
      <c r="A139" s="1">
        <v>44774</v>
      </c>
      <c r="B139">
        <v>24.93</v>
      </c>
      <c r="C139" s="3">
        <f t="shared" si="19"/>
        <v>0.21999999999999886</v>
      </c>
      <c r="D139">
        <v>24.93</v>
      </c>
      <c r="F139" s="3">
        <f t="shared" si="20"/>
        <v>24.93</v>
      </c>
      <c r="I139">
        <v>17.850000000000001</v>
      </c>
    </row>
    <row r="140" spans="1:9" x14ac:dyDescent="0.25">
      <c r="A140" s="1">
        <v>44805</v>
      </c>
      <c r="B140">
        <v>24.87</v>
      </c>
      <c r="C140" s="3">
        <f t="shared" si="19"/>
        <v>-5.9999999999998721E-2</v>
      </c>
      <c r="D140">
        <v>24.87</v>
      </c>
      <c r="F140" s="3">
        <f t="shared" si="20"/>
        <v>24.87</v>
      </c>
      <c r="I140">
        <v>17.88</v>
      </c>
    </row>
    <row r="141" spans="1:9" x14ac:dyDescent="0.25">
      <c r="A141" s="1">
        <v>44835</v>
      </c>
      <c r="B141">
        <v>24.14</v>
      </c>
      <c r="C141" s="3">
        <f t="shared" si="19"/>
        <v>-0.73000000000000043</v>
      </c>
      <c r="D141">
        <v>24.14</v>
      </c>
      <c r="F141" s="3">
        <f t="shared" si="20"/>
        <v>24.14</v>
      </c>
      <c r="I141">
        <v>17.420000000000002</v>
      </c>
    </row>
    <row r="142" spans="1:9" x14ac:dyDescent="0.25">
      <c r="A142" s="1">
        <v>44866</v>
      </c>
      <c r="B142">
        <v>24.18</v>
      </c>
      <c r="C142" s="3">
        <f t="shared" si="19"/>
        <v>3.9999999999999147E-2</v>
      </c>
      <c r="D142">
        <v>24.18</v>
      </c>
      <c r="F142" s="3">
        <f t="shared" si="20"/>
        <v>24.18</v>
      </c>
      <c r="I142">
        <v>17.48</v>
      </c>
    </row>
    <row r="143" spans="1:9" x14ac:dyDescent="0.25">
      <c r="A143" s="1">
        <v>44896</v>
      </c>
      <c r="B143">
        <v>24.07</v>
      </c>
      <c r="C143" s="3">
        <f t="shared" si="19"/>
        <v>-0.10999999999999943</v>
      </c>
      <c r="D143">
        <v>24.07</v>
      </c>
      <c r="F143" s="3">
        <f t="shared" si="20"/>
        <v>24.07</v>
      </c>
      <c r="I143">
        <v>17.309999999999999</v>
      </c>
    </row>
    <row r="144" spans="1:9" x14ac:dyDescent="0.25">
      <c r="A144" s="1">
        <v>44927</v>
      </c>
      <c r="B144">
        <v>24.67</v>
      </c>
      <c r="C144" s="3">
        <f t="shared" si="19"/>
        <v>0.60000000000000142</v>
      </c>
      <c r="D144">
        <v>24.67</v>
      </c>
      <c r="F144" s="3">
        <f t="shared" si="20"/>
        <v>24.67</v>
      </c>
      <c r="I144">
        <v>17.82</v>
      </c>
    </row>
    <row r="145" spans="1:9" x14ac:dyDescent="0.25">
      <c r="A145" s="1">
        <v>44958</v>
      </c>
      <c r="B145">
        <v>24.79</v>
      </c>
      <c r="C145" s="3">
        <f t="shared" si="19"/>
        <v>0.11999999999999744</v>
      </c>
      <c r="D145">
        <v>24.79</v>
      </c>
      <c r="F145" s="3">
        <f t="shared" si="20"/>
        <v>24.79</v>
      </c>
      <c r="I145">
        <v>17.95</v>
      </c>
    </row>
    <row r="146" spans="1:9" x14ac:dyDescent="0.25">
      <c r="A146" s="1">
        <v>44986</v>
      </c>
      <c r="B146">
        <v>24.82</v>
      </c>
      <c r="C146" s="3">
        <f t="shared" si="19"/>
        <v>3.0000000000001137E-2</v>
      </c>
      <c r="D146">
        <v>24.82</v>
      </c>
      <c r="F146" s="3">
        <f t="shared" si="20"/>
        <v>24.82</v>
      </c>
      <c r="I146">
        <v>18</v>
      </c>
    </row>
    <row r="147" spans="1:9" x14ac:dyDescent="0.25">
      <c r="A147" s="1">
        <v>45017</v>
      </c>
      <c r="B147">
        <v>24.55</v>
      </c>
      <c r="C147" s="3">
        <f t="shared" si="19"/>
        <v>-0.26999999999999957</v>
      </c>
      <c r="D147">
        <v>24.55</v>
      </c>
      <c r="F147" s="3">
        <f t="shared" si="20"/>
        <v>24.55</v>
      </c>
      <c r="I147">
        <v>17.79</v>
      </c>
    </row>
    <row r="148" spans="1:9" x14ac:dyDescent="0.25">
      <c r="A148" s="1">
        <v>45047</v>
      </c>
      <c r="B148">
        <v>24.73</v>
      </c>
      <c r="C148" s="3">
        <f t="shared" si="19"/>
        <v>0.17999999999999972</v>
      </c>
      <c r="D148">
        <v>24.73</v>
      </c>
      <c r="F148" s="3">
        <f t="shared" si="20"/>
        <v>24.73</v>
      </c>
      <c r="I148">
        <v>17.95</v>
      </c>
    </row>
    <row r="149" spans="1:9" x14ac:dyDescent="0.25">
      <c r="A149" s="1">
        <v>45078</v>
      </c>
      <c r="B149">
        <v>24.82</v>
      </c>
      <c r="C149" s="3">
        <f t="shared" si="19"/>
        <v>8.9999999999999858E-2</v>
      </c>
      <c r="D149">
        <v>24.82</v>
      </c>
      <c r="F149" s="3">
        <f t="shared" si="20"/>
        <v>24.82</v>
      </c>
      <c r="I149">
        <v>17.98</v>
      </c>
    </row>
    <row r="150" spans="1:9" x14ac:dyDescent="0.25">
      <c r="A150" s="1">
        <v>45108</v>
      </c>
      <c r="B150">
        <v>24.94</v>
      </c>
      <c r="C150" s="3">
        <f t="shared" si="19"/>
        <v>0.12000000000000099</v>
      </c>
      <c r="D150">
        <v>24.94</v>
      </c>
      <c r="F150" s="3">
        <f t="shared" si="20"/>
        <v>24.94</v>
      </c>
      <c r="I150">
        <v>18.02</v>
      </c>
    </row>
    <row r="151" spans="1:9" x14ac:dyDescent="0.25">
      <c r="A151" s="1">
        <v>45139</v>
      </c>
      <c r="B151">
        <v>25.04</v>
      </c>
      <c r="C151" s="3">
        <f t="shared" si="19"/>
        <v>9.9999999999997868E-2</v>
      </c>
      <c r="D151">
        <v>25.04</v>
      </c>
      <c r="F151" s="3">
        <f t="shared" si="20"/>
        <v>25.04</v>
      </c>
      <c r="I151">
        <v>18.739999999999998</v>
      </c>
    </row>
    <row r="152" spans="1:9" x14ac:dyDescent="0.25">
      <c r="A152" s="1">
        <v>45170</v>
      </c>
      <c r="B152">
        <v>24.9</v>
      </c>
      <c r="C152" s="3">
        <f t="shared" si="19"/>
        <v>-0.14000000000000057</v>
      </c>
      <c r="D152">
        <v>24.9</v>
      </c>
      <c r="F152" s="3">
        <f t="shared" si="20"/>
        <v>24.9</v>
      </c>
      <c r="I152">
        <v>18.57</v>
      </c>
    </row>
    <row r="153" spans="1:9" x14ac:dyDescent="0.25">
      <c r="A153" s="1">
        <v>45200</v>
      </c>
      <c r="B153">
        <v>25.25</v>
      </c>
      <c r="C153" s="3">
        <f t="shared" si="19"/>
        <v>0.35000000000000142</v>
      </c>
      <c r="D153">
        <v>25.25</v>
      </c>
      <c r="F153" s="3">
        <f t="shared" si="20"/>
        <v>25.25</v>
      </c>
      <c r="I153">
        <v>18.899999999999999</v>
      </c>
    </row>
    <row r="154" spans="1:9" x14ac:dyDescent="0.25">
      <c r="A154" s="1">
        <v>45231</v>
      </c>
      <c r="B154">
        <v>25.4</v>
      </c>
      <c r="C154" s="3">
        <f t="shared" si="19"/>
        <v>0.14999999999999858</v>
      </c>
      <c r="D154">
        <v>25.4</v>
      </c>
      <c r="F154" s="3">
        <f t="shared" si="20"/>
        <v>25.4</v>
      </c>
      <c r="I154">
        <v>18.61</v>
      </c>
    </row>
    <row r="155" spans="1:9" x14ac:dyDescent="0.25">
      <c r="A155" s="1">
        <v>45261</v>
      </c>
      <c r="B155">
        <v>25.3</v>
      </c>
      <c r="C155" s="3">
        <f t="shared" si="19"/>
        <v>-9.9999999999997868E-2</v>
      </c>
      <c r="D155">
        <v>25.3</v>
      </c>
      <c r="F155" s="3">
        <f t="shared" si="20"/>
        <v>25.3</v>
      </c>
      <c r="I155">
        <v>18.48</v>
      </c>
    </row>
    <row r="156" spans="1:9" x14ac:dyDescent="0.25">
      <c r="A156" s="1">
        <v>45292</v>
      </c>
      <c r="B156">
        <v>25.59</v>
      </c>
      <c r="C156" s="3">
        <f t="shared" si="19"/>
        <v>0.28999999999999915</v>
      </c>
      <c r="D156">
        <v>25.59</v>
      </c>
      <c r="F156" s="3">
        <f t="shared" si="20"/>
        <v>25.59</v>
      </c>
      <c r="I156">
        <v>18.73</v>
      </c>
    </row>
    <row r="157" spans="1:9" x14ac:dyDescent="0.25">
      <c r="A157" s="1">
        <v>45323</v>
      </c>
      <c r="B157">
        <v>25.61</v>
      </c>
      <c r="C157" s="3">
        <f t="shared" si="19"/>
        <v>1.9999999999999574E-2</v>
      </c>
      <c r="D157">
        <v>25.61</v>
      </c>
      <c r="F157" s="3">
        <f t="shared" si="20"/>
        <v>25.61</v>
      </c>
      <c r="I157">
        <v>18.77</v>
      </c>
    </row>
    <row r="158" spans="1:9" x14ac:dyDescent="0.25">
      <c r="A158" s="1">
        <v>45352</v>
      </c>
      <c r="B158">
        <v>25.33</v>
      </c>
      <c r="C158" s="3">
        <f t="shared" si="19"/>
        <v>-0.28000000000000114</v>
      </c>
      <c r="D158">
        <v>25.33</v>
      </c>
      <c r="F158" s="3">
        <f t="shared" si="20"/>
        <v>25.33</v>
      </c>
      <c r="I158">
        <v>18.53</v>
      </c>
    </row>
    <row r="159" spans="1:9" x14ac:dyDescent="0.25">
      <c r="A159" s="1">
        <v>45383</v>
      </c>
      <c r="B159">
        <v>25.59</v>
      </c>
      <c r="C159" s="3">
        <f t="shared" si="19"/>
        <v>0.26000000000000156</v>
      </c>
      <c r="D159">
        <v>25.59</v>
      </c>
      <c r="F159" s="3">
        <f t="shared" si="20"/>
        <v>25.59</v>
      </c>
      <c r="I159">
        <v>18.850000000000001</v>
      </c>
    </row>
    <row r="160" spans="1:9" x14ac:dyDescent="0.25">
      <c r="A160" s="1">
        <v>45413</v>
      </c>
      <c r="B160">
        <v>25.57</v>
      </c>
      <c r="C160" s="3">
        <f t="shared" si="19"/>
        <v>-1.9999999999999574E-2</v>
      </c>
      <c r="D160">
        <v>25.57</v>
      </c>
      <c r="F160" s="3">
        <f t="shared" si="20"/>
        <v>25.57</v>
      </c>
      <c r="I160">
        <v>18.88</v>
      </c>
    </row>
    <row r="161" spans="1:9" x14ac:dyDescent="0.25">
      <c r="A161" s="1">
        <v>45444</v>
      </c>
      <c r="B161">
        <v>25.34</v>
      </c>
      <c r="C161" s="3">
        <f t="shared" si="19"/>
        <v>-0.23000000000000043</v>
      </c>
      <c r="D161">
        <v>25.34</v>
      </c>
      <c r="F161" s="3">
        <f t="shared" si="20"/>
        <v>25.34</v>
      </c>
      <c r="I161">
        <v>18.739999999999998</v>
      </c>
    </row>
    <row r="162" spans="1:9" x14ac:dyDescent="0.25">
      <c r="A162" s="1">
        <v>45474</v>
      </c>
      <c r="B162">
        <v>25.52</v>
      </c>
      <c r="C162" s="3">
        <f t="shared" si="19"/>
        <v>0.17999999999999972</v>
      </c>
      <c r="D162">
        <v>25.52</v>
      </c>
      <c r="F162" s="3">
        <f t="shared" si="20"/>
        <v>25.52</v>
      </c>
      <c r="I162">
        <v>18.93</v>
      </c>
    </row>
    <row r="163" spans="1:9" x14ac:dyDescent="0.25">
      <c r="A163" s="1">
        <v>45505</v>
      </c>
      <c r="B163">
        <v>25.51</v>
      </c>
      <c r="C163" s="3">
        <f t="shared" si="19"/>
        <v>-9.9999999999980105E-3</v>
      </c>
      <c r="D163">
        <v>25.51</v>
      </c>
      <c r="F163" s="3">
        <f t="shared" si="20"/>
        <v>25.51</v>
      </c>
      <c r="I163">
        <v>18.940000000000001</v>
      </c>
    </row>
    <row r="164" spans="1:9" x14ac:dyDescent="0.25">
      <c r="A164" s="1">
        <v>45536</v>
      </c>
      <c r="B164">
        <v>25.67</v>
      </c>
      <c r="C164" s="3">
        <f t="shared" si="19"/>
        <v>0.16000000000000014</v>
      </c>
      <c r="D164">
        <v>25.67</v>
      </c>
      <c r="F164" s="3">
        <f t="shared" si="20"/>
        <v>25.67</v>
      </c>
      <c r="I164">
        <v>19.149999999999999</v>
      </c>
    </row>
    <row r="165" spans="1:9" x14ac:dyDescent="0.25">
      <c r="A165" s="1">
        <v>45566</v>
      </c>
      <c r="B165">
        <v>25.76</v>
      </c>
      <c r="C165" s="3">
        <f t="shared" si="19"/>
        <v>8.9999999999999858E-2</v>
      </c>
      <c r="D165">
        <v>25.76</v>
      </c>
      <c r="F165">
        <v>25.76</v>
      </c>
      <c r="I165">
        <v>19.3</v>
      </c>
    </row>
    <row r="166" spans="1:9" x14ac:dyDescent="0.25">
      <c r="A166" s="1">
        <v>45597</v>
      </c>
      <c r="B166">
        <v>25.39</v>
      </c>
      <c r="C166" s="3">
        <f t="shared" si="19"/>
        <v>-0.37000000000000099</v>
      </c>
      <c r="D166">
        <v>25.39</v>
      </c>
      <c r="F166">
        <v>25.39</v>
      </c>
      <c r="I166">
        <v>18.989999999999998</v>
      </c>
    </row>
    <row r="167" spans="1:9" x14ac:dyDescent="0.25">
      <c r="A167" s="1">
        <v>45627</v>
      </c>
      <c r="B167">
        <v>25.73</v>
      </c>
      <c r="C167" s="3">
        <f t="shared" si="19"/>
        <v>0.33999999999999986</v>
      </c>
      <c r="D167">
        <v>25.73</v>
      </c>
      <c r="F167">
        <v>25.73</v>
      </c>
      <c r="I167">
        <v>19.21</v>
      </c>
    </row>
    <row r="168" spans="1:9" x14ac:dyDescent="0.25">
      <c r="A168" s="1">
        <v>45658</v>
      </c>
      <c r="B168">
        <v>25.73</v>
      </c>
      <c r="C168" s="3">
        <f t="shared" ref="C168:C174" si="21">B168-B167</f>
        <v>0</v>
      </c>
      <c r="D168">
        <v>25.73</v>
      </c>
      <c r="F168">
        <v>25.73</v>
      </c>
      <c r="I168">
        <v>19.34</v>
      </c>
    </row>
    <row r="169" spans="1:9" x14ac:dyDescent="0.25">
      <c r="A169" s="1">
        <v>45689</v>
      </c>
      <c r="B169">
        <v>25.95</v>
      </c>
      <c r="C169" s="3">
        <f t="shared" si="21"/>
        <v>0.21999999999999886</v>
      </c>
      <c r="D169">
        <v>25.95</v>
      </c>
      <c r="F169">
        <v>25.95</v>
      </c>
      <c r="I169">
        <v>19.57</v>
      </c>
    </row>
    <row r="170" spans="1:9" x14ac:dyDescent="0.25">
      <c r="A170" s="1">
        <v>45717</v>
      </c>
      <c r="B170">
        <v>25.88</v>
      </c>
      <c r="C170" s="3">
        <f t="shared" si="21"/>
        <v>-7.0000000000000284E-2</v>
      </c>
      <c r="D170">
        <v>25.88</v>
      </c>
      <c r="F170">
        <v>25.88</v>
      </c>
      <c r="I170">
        <v>19.68</v>
      </c>
    </row>
    <row r="171" spans="1:9" x14ac:dyDescent="0.25">
      <c r="A171" s="1">
        <v>45748</v>
      </c>
      <c r="B171">
        <v>25.84</v>
      </c>
      <c r="C171" s="3">
        <f t="shared" si="21"/>
        <v>-3.9999999999999147E-2</v>
      </c>
      <c r="D171">
        <v>25.84</v>
      </c>
      <c r="F171">
        <v>25.84</v>
      </c>
      <c r="I171">
        <v>19.75</v>
      </c>
    </row>
    <row r="172" spans="1:9" x14ac:dyDescent="0.25">
      <c r="A172" s="1">
        <v>45778</v>
      </c>
      <c r="B172">
        <v>25.67</v>
      </c>
      <c r="C172" s="3">
        <f t="shared" si="21"/>
        <v>-0.16999999999999815</v>
      </c>
      <c r="D172">
        <v>25.67</v>
      </c>
      <c r="F172">
        <v>25.67</v>
      </c>
      <c r="I172">
        <v>19.649999999999999</v>
      </c>
    </row>
    <row r="173" spans="1:9" x14ac:dyDescent="0.25">
      <c r="A173" s="1">
        <v>45809</v>
      </c>
      <c r="B173">
        <v>25.91</v>
      </c>
      <c r="C173" s="3">
        <f t="shared" si="21"/>
        <v>0.23999999999999844</v>
      </c>
      <c r="D173">
        <v>25.91</v>
      </c>
      <c r="F173">
        <v>25.91</v>
      </c>
      <c r="I173">
        <v>19.97</v>
      </c>
    </row>
    <row r="174" spans="1:9" x14ac:dyDescent="0.25">
      <c r="A174" s="1">
        <v>45839</v>
      </c>
      <c r="B174">
        <v>26</v>
      </c>
      <c r="C174" s="3">
        <f t="shared" si="21"/>
        <v>8.9999999999999858E-2</v>
      </c>
      <c r="D174">
        <v>26</v>
      </c>
      <c r="F174">
        <v>26</v>
      </c>
      <c r="I174">
        <v>20.11</v>
      </c>
    </row>
    <row r="175" spans="1:9" x14ac:dyDescent="0.25">
      <c r="I175">
        <v>20.239999999999998</v>
      </c>
    </row>
  </sheetData>
  <conditionalFormatting sqref="D1:D167 E1 D175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STP-20250318155627342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2025-03-18T20:10:26Z</dcterms:created>
  <dcterms:modified xsi:type="dcterms:W3CDTF">2025-10-13T18:40:45Z</dcterms:modified>
</cp:coreProperties>
</file>